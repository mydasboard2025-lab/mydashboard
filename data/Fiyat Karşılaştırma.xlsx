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parmaksiz\Desktop\Documents\PROJELER\karar verici dahsboard\Model Dashboard Veriler\12.03.26\"/>
    </mc:Choice>
  </mc:AlternateContent>
  <xr:revisionPtr revIDLastSave="0" documentId="8_{5DF74EC6-C07F-4841-B992-072DE09BB269}" xr6:coauthVersionLast="47" xr6:coauthVersionMax="47" xr10:uidLastSave="{00000000-0000-0000-0000-000000000000}"/>
  <bookViews>
    <workbookView xWindow="-120" yWindow="-120" windowWidth="29040" windowHeight="17640" xr2:uid="{86718B0D-0EAE-4470-A77F-ADF0379C3F9F}"/>
  </bookViews>
  <sheets>
    <sheet name="12.03.2026 Fiyat Karşılaştırma" sheetId="1" r:id="rId1"/>
  </sheets>
  <externalReferences>
    <externalReference r:id="rId2"/>
  </externalReferences>
  <definedNames>
    <definedName name="_" localSheetId="0" hidden="1">Main.SAPF4Help()</definedName>
    <definedName name="_" hidden="1">Main.SAPF4Help()</definedName>
    <definedName name="_xlnm._FilterDatabase" localSheetId="0" hidden="1">'12.03.2026 Fiyat Karşılaştırma'!$A$7:$AU$7</definedName>
    <definedName name="_Key1" hidden="1">#REF!</definedName>
    <definedName name="_Order1" hidden="1">255</definedName>
    <definedName name="_Sort" hidden="1">#REF!</definedName>
    <definedName name="A">"#ref!"</definedName>
    <definedName name="a_schnittstellentabelle_Excel_erzeugen">#REF!</definedName>
    <definedName name="a_temp_typvergleich_excel">#REF!</definedName>
    <definedName name="AA">"#ref!"</definedName>
    <definedName name="AG">'12.03.2026 Fiyat Karşılaştırma'!$AR:$AR</definedName>
    <definedName name="asd">#REF!</definedName>
    <definedName name="B">"#ref!"</definedName>
    <definedName name="BB">"#ref!"</definedName>
    <definedName name="CC">"#ref!"</definedName>
    <definedName name="D">"#ref!"</definedName>
    <definedName name="dasdasdas">#REF!</definedName>
    <definedName name="_xlnm.Database">#REF!</definedName>
    <definedName name="dfddasd">#REF!</definedName>
    <definedName name="dfdf">#REF!</definedName>
    <definedName name="f" hidden="1">#REF!</definedName>
    <definedName name="fkdfk">#REF!</definedName>
    <definedName name="G">#REF!</definedName>
    <definedName name="gfgs" hidden="1">#REF!</definedName>
    <definedName name="opop" hidden="1">#REF!</definedName>
    <definedName name="poswter" hidden="1">#REF!</definedName>
    <definedName name="_xlnm.Print_Area" localSheetId="0">'12.03.2026 Fiyat Karşılaştırma'!$C:$AF</definedName>
    <definedName name="_xlnm.Print_Titles" localSheetId="0">'12.03.2026 Fiyat Karşılaştırma'!$1:$7</definedName>
    <definedName name="q" hidden="1">#REF!</definedName>
    <definedName name="QQQQQ" hidden="1">#REF!</definedName>
    <definedName name="rnv">#REF!</definedName>
    <definedName name="SAPBEXhrIndnt" hidden="1">1</definedName>
    <definedName name="SAPBEXrevision" hidden="1">0</definedName>
    <definedName name="SAPBEXsysID" hidden="1">"JRP"</definedName>
    <definedName name="SAPBEXwbID" hidden="1">"9OVD1ZUAMLEMHK8UVEYP9R8ZN"</definedName>
    <definedName name="SAPFuncF4Help" localSheetId="0" hidden="1">Main.SAPF4Help()</definedName>
    <definedName name="SAPFuncF4Help" hidden="1">Main.SAPF4Help()</definedName>
    <definedName name="sdasdsadasd">#REF!</definedName>
    <definedName name="sgdtxhy" hidden="1">#REF!</definedName>
    <definedName name="simon">#REF!</definedName>
    <definedName name="t" hidden="1">#REF!</definedName>
    <definedName name="Tab_Query">#REF!</definedName>
    <definedName name="Taux_de_change">#REF!</definedName>
    <definedName name="Taux_de_TVA">#REF!</definedName>
    <definedName name="test">#REF!</definedName>
    <definedName name="Test2" hidden="1">#REF!</definedName>
    <definedName name="tyuy" hidden="1">#REF!</definedName>
    <definedName name="volume">#REF!</definedName>
    <definedName name="w" hidden="1">#REF!</definedName>
    <definedName name="WORKBOOK_SAPBEXq0001" comment="DP_4">"DP_4"</definedName>
    <definedName name="WORKBOOK_SAPBEXq0002" comment="DP_5">"DP_5"</definedName>
    <definedName name="WORKBOOK_SAPBEXq0003" comment="DP_6">"DP_6"</definedName>
    <definedName name="ww" hidden="1">#REF!</definedName>
    <definedName name="www">#REF!</definedName>
    <definedName name="xx" hidden="1">#REF!</definedName>
    <definedName name="Zone_520i">#REF!</definedName>
    <definedName name="Zone_523i">#REF!</definedName>
    <definedName name="Zone_528i">#REF!</definedName>
    <definedName name="Zones_525td_tds">#REF!</definedName>
    <definedName name="Zones_535i_540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35" i="1" l="1"/>
  <c r="AZ135" i="1"/>
  <c r="AY135" i="1"/>
  <c r="AS135" i="1"/>
  <c r="AQ135" i="1"/>
  <c r="AP135" i="1"/>
  <c r="AO135" i="1"/>
  <c r="AG135" i="1"/>
  <c r="AF135" i="1"/>
  <c r="AD135" i="1"/>
  <c r="X135" i="1"/>
  <c r="R135" i="1"/>
  <c r="B135" i="1"/>
  <c r="BA134" i="1"/>
  <c r="AZ134" i="1"/>
  <c r="AY134" i="1"/>
  <c r="AQ134" i="1"/>
  <c r="AP134" i="1"/>
  <c r="AO134" i="1"/>
  <c r="AK134" i="1"/>
  <c r="AG134" i="1"/>
  <c r="AF134" i="1"/>
  <c r="AD134" i="1"/>
  <c r="X134" i="1"/>
  <c r="R134" i="1"/>
  <c r="H134" i="1"/>
  <c r="AH134" i="1" s="1"/>
  <c r="B134" i="1"/>
  <c r="BA132" i="1"/>
  <c r="AZ132" i="1"/>
  <c r="AY132" i="1"/>
  <c r="AS132" i="1"/>
  <c r="AQ132" i="1"/>
  <c r="AP132" i="1"/>
  <c r="AO132" i="1"/>
  <c r="AH132" i="1" s="1"/>
  <c r="AG132" i="1"/>
  <c r="AF132" i="1"/>
  <c r="AD132" i="1"/>
  <c r="X132" i="1"/>
  <c r="R132" i="1"/>
  <c r="B132" i="1"/>
  <c r="BA130" i="1"/>
  <c r="AZ130" i="1"/>
  <c r="AY130" i="1"/>
  <c r="AS130" i="1"/>
  <c r="AQ130" i="1"/>
  <c r="AP130" i="1"/>
  <c r="AO130" i="1"/>
  <c r="AJ130" i="1"/>
  <c r="AH130" i="1"/>
  <c r="AG130" i="1"/>
  <c r="AF130" i="1"/>
  <c r="AD130" i="1"/>
  <c r="Z130" i="1" s="1"/>
  <c r="X130" i="1"/>
  <c r="R130" i="1"/>
  <c r="K130" i="1"/>
  <c r="AL130" i="1" s="1"/>
  <c r="B130" i="1"/>
  <c r="BA128" i="1"/>
  <c r="AZ128" i="1"/>
  <c r="AY128" i="1"/>
  <c r="AS128" i="1"/>
  <c r="AQ128" i="1"/>
  <c r="AP128" i="1"/>
  <c r="AO128" i="1"/>
  <c r="AG128" i="1"/>
  <c r="AF128" i="1"/>
  <c r="AD128" i="1"/>
  <c r="X128" i="1"/>
  <c r="R128" i="1"/>
  <c r="B128" i="1"/>
  <c r="BA127" i="1"/>
  <c r="AZ127" i="1"/>
  <c r="AY127" i="1"/>
  <c r="BA126" i="1"/>
  <c r="AZ126" i="1"/>
  <c r="AY126" i="1"/>
  <c r="AS126" i="1"/>
  <c r="AQ126" i="1"/>
  <c r="AP126" i="1"/>
  <c r="AO126" i="1"/>
  <c r="AH126" i="1" s="1"/>
  <c r="AJ126" i="1" s="1"/>
  <c r="AX126" i="1" s="1" a="1"/>
  <c r="AX126" i="1" s="1"/>
  <c r="AG126" i="1"/>
  <c r="AF126" i="1"/>
  <c r="AD126" i="1"/>
  <c r="AA126" i="1" s="1"/>
  <c r="Z126" i="1"/>
  <c r="X126" i="1"/>
  <c r="R126" i="1"/>
  <c r="B126" i="1"/>
  <c r="BA125" i="1"/>
  <c r="AZ125" i="1"/>
  <c r="AY125" i="1"/>
  <c r="AS125" i="1"/>
  <c r="AQ125" i="1"/>
  <c r="AP125" i="1"/>
  <c r="AO125" i="1"/>
  <c r="AH125" i="1" s="1"/>
  <c r="AJ125" i="1" s="1"/>
  <c r="AX125" i="1" s="1" a="1"/>
  <c r="AX125" i="1" s="1"/>
  <c r="AK125" i="1"/>
  <c r="AG125" i="1"/>
  <c r="AF125" i="1"/>
  <c r="AD125" i="1"/>
  <c r="AB125" i="1"/>
  <c r="AA125" i="1"/>
  <c r="Z125" i="1"/>
  <c r="AC125" i="1" s="1"/>
  <c r="X125" i="1"/>
  <c r="R125" i="1"/>
  <c r="I125" i="1"/>
  <c r="B125" i="1"/>
  <c r="BA124" i="1"/>
  <c r="AZ124" i="1"/>
  <c r="AY124" i="1"/>
  <c r="AQ124" i="1"/>
  <c r="AH124" i="1" s="1"/>
  <c r="AK124" i="1" s="1"/>
  <c r="AP124" i="1"/>
  <c r="AO124" i="1"/>
  <c r="AJ124" i="1"/>
  <c r="AG124" i="1"/>
  <c r="AF124" i="1"/>
  <c r="AD124" i="1"/>
  <c r="AA124" i="1" s="1"/>
  <c r="AB124" i="1" s="1"/>
  <c r="X124" i="1"/>
  <c r="U124" i="1"/>
  <c r="V124" i="1" s="1"/>
  <c r="T124" i="1"/>
  <c r="W124" i="1" s="1"/>
  <c r="R124" i="1"/>
  <c r="K124" i="1"/>
  <c r="I124" i="1"/>
  <c r="B124" i="1"/>
  <c r="BA122" i="1"/>
  <c r="AZ122" i="1"/>
  <c r="AY122" i="1"/>
  <c r="AS122" i="1"/>
  <c r="AQ122" i="1"/>
  <c r="AP122" i="1"/>
  <c r="AO122" i="1"/>
  <c r="K122" i="1" s="1"/>
  <c r="AL122" i="1" s="1"/>
  <c r="AH122" i="1"/>
  <c r="AG122" i="1"/>
  <c r="AF122" i="1"/>
  <c r="AD122" i="1"/>
  <c r="X122" i="1"/>
  <c r="R122" i="1"/>
  <c r="B122" i="1"/>
  <c r="BA121" i="1"/>
  <c r="AZ121" i="1"/>
  <c r="AY121" i="1"/>
  <c r="AQ121" i="1"/>
  <c r="AP121" i="1"/>
  <c r="AO121" i="1"/>
  <c r="AG121" i="1"/>
  <c r="AF121" i="1"/>
  <c r="AD121" i="1"/>
  <c r="X121" i="1"/>
  <c r="R121" i="1"/>
  <c r="H121" i="1"/>
  <c r="B121" i="1"/>
  <c r="BA120" i="1"/>
  <c r="AZ120" i="1"/>
  <c r="AY120" i="1"/>
  <c r="AS120" i="1"/>
  <c r="AQ120" i="1"/>
  <c r="AP120" i="1"/>
  <c r="AO120" i="1"/>
  <c r="AH120" i="1"/>
  <c r="AK120" i="1" s="1"/>
  <c r="AG120" i="1"/>
  <c r="AF120" i="1"/>
  <c r="AD120" i="1"/>
  <c r="X120" i="1"/>
  <c r="R120" i="1"/>
  <c r="K120" i="1"/>
  <c r="AL120" i="1" s="1"/>
  <c r="AM120" i="1" s="1"/>
  <c r="I120" i="1"/>
  <c r="B120" i="1"/>
  <c r="BA119" i="1"/>
  <c r="AZ119" i="1"/>
  <c r="AY119" i="1"/>
  <c r="AQ119" i="1"/>
  <c r="AH119" i="1" s="1"/>
  <c r="AP119" i="1"/>
  <c r="AO119" i="1"/>
  <c r="AD119" i="1"/>
  <c r="X119" i="1"/>
  <c r="R119" i="1"/>
  <c r="I119" i="1"/>
  <c r="B119" i="1"/>
  <c r="BA118" i="1"/>
  <c r="AZ118" i="1"/>
  <c r="AY118" i="1"/>
  <c r="AQ118" i="1"/>
  <c r="AP118" i="1"/>
  <c r="AO118" i="1"/>
  <c r="AH118" i="1" s="1"/>
  <c r="AK118" i="1" s="1"/>
  <c r="AJ118" i="1"/>
  <c r="AG118" i="1"/>
  <c r="AF118" i="1"/>
  <c r="AD118" i="1"/>
  <c r="X118" i="1"/>
  <c r="R118" i="1"/>
  <c r="I118" i="1"/>
  <c r="B118" i="1"/>
  <c r="BA116" i="1"/>
  <c r="AZ116" i="1"/>
  <c r="AY116" i="1"/>
  <c r="AS116" i="1"/>
  <c r="AQ116" i="1"/>
  <c r="K116" i="1" s="1"/>
  <c r="AL116" i="1" s="1"/>
  <c r="AP116" i="1"/>
  <c r="AX116" i="1" s="1" a="1"/>
  <c r="AX116" i="1" s="1"/>
  <c r="AA116" i="1" s="1"/>
  <c r="AO116" i="1"/>
  <c r="AJ116" i="1"/>
  <c r="AH116" i="1"/>
  <c r="AK116" i="1" s="1"/>
  <c r="AG116" i="1"/>
  <c r="AF116" i="1"/>
  <c r="AD116" i="1"/>
  <c r="X116" i="1"/>
  <c r="R116" i="1"/>
  <c r="B116" i="1"/>
  <c r="BA115" i="1"/>
  <c r="AZ115" i="1"/>
  <c r="AY115" i="1"/>
  <c r="AQ115" i="1"/>
  <c r="AP115" i="1"/>
  <c r="AX115" i="1" s="1" a="1"/>
  <c r="AX115" i="1" s="1"/>
  <c r="AO115" i="1"/>
  <c r="K115" i="1" s="1"/>
  <c r="AL115" i="1" s="1"/>
  <c r="AM115" i="1" s="1"/>
  <c r="AH115" i="1"/>
  <c r="AJ115" i="1" s="1"/>
  <c r="AD115" i="1"/>
  <c r="Z115" i="1" s="1"/>
  <c r="X115" i="1"/>
  <c r="R115" i="1"/>
  <c r="AN115" i="1" s="1"/>
  <c r="I115" i="1"/>
  <c r="B115" i="1"/>
  <c r="BA114" i="1"/>
  <c r="AZ114" i="1"/>
  <c r="AY114" i="1"/>
  <c r="AQ114" i="1"/>
  <c r="AP114" i="1"/>
  <c r="AO114" i="1"/>
  <c r="AG114" i="1"/>
  <c r="AF114" i="1"/>
  <c r="AD114" i="1"/>
  <c r="X114" i="1"/>
  <c r="R114" i="1"/>
  <c r="I114" i="1"/>
  <c r="B114" i="1"/>
  <c r="BA112" i="1"/>
  <c r="AZ112" i="1"/>
  <c r="AY112" i="1"/>
  <c r="AS112" i="1"/>
  <c r="AQ112" i="1"/>
  <c r="AP112" i="1"/>
  <c r="AO112" i="1"/>
  <c r="K112" i="1" s="1"/>
  <c r="AN112" i="1"/>
  <c r="AL112" i="1"/>
  <c r="AM112" i="1" s="1"/>
  <c r="AH112" i="1"/>
  <c r="AG112" i="1"/>
  <c r="AF112" i="1"/>
  <c r="AD112" i="1"/>
  <c r="X112" i="1"/>
  <c r="R112" i="1"/>
  <c r="B112" i="1"/>
  <c r="BA111" i="1"/>
  <c r="AZ111" i="1"/>
  <c r="AY111" i="1"/>
  <c r="AQ111" i="1"/>
  <c r="AP111" i="1"/>
  <c r="AO111" i="1"/>
  <c r="K111" i="1" s="1"/>
  <c r="AM111" i="1"/>
  <c r="AL111" i="1"/>
  <c r="AN111" i="1" s="1"/>
  <c r="AH111" i="1"/>
  <c r="AJ111" i="1" s="1"/>
  <c r="AG111" i="1"/>
  <c r="AF111" i="1"/>
  <c r="AD111" i="1"/>
  <c r="X111" i="1"/>
  <c r="R111" i="1"/>
  <c r="AK111" i="1" s="1"/>
  <c r="L111" i="1"/>
  <c r="I111" i="1"/>
  <c r="B111" i="1"/>
  <c r="BA110" i="1"/>
  <c r="AZ110" i="1"/>
  <c r="AY110" i="1"/>
  <c r="AQ110" i="1"/>
  <c r="AH110" i="1" s="1"/>
  <c r="AP110" i="1"/>
  <c r="AO110" i="1"/>
  <c r="AG110" i="1"/>
  <c r="AF110" i="1"/>
  <c r="AD110" i="1"/>
  <c r="X110" i="1"/>
  <c r="R110" i="1"/>
  <c r="I110" i="1"/>
  <c r="B110" i="1"/>
  <c r="BA109" i="1"/>
  <c r="AZ109" i="1"/>
  <c r="AY109" i="1"/>
  <c r="AQ109" i="1"/>
  <c r="AP109" i="1"/>
  <c r="AO109" i="1"/>
  <c r="AD109" i="1"/>
  <c r="X109" i="1"/>
  <c r="R109" i="1"/>
  <c r="I109" i="1"/>
  <c r="B109" i="1"/>
  <c r="BA108" i="1"/>
  <c r="AZ108" i="1"/>
  <c r="AY108" i="1"/>
  <c r="AQ108" i="1"/>
  <c r="AP108" i="1"/>
  <c r="AO108" i="1"/>
  <c r="K108" i="1" s="1"/>
  <c r="AH108" i="1"/>
  <c r="AJ108" i="1" s="1"/>
  <c r="AG108" i="1"/>
  <c r="AF108" i="1"/>
  <c r="AD108" i="1"/>
  <c r="X108" i="1"/>
  <c r="R108" i="1"/>
  <c r="AK108" i="1" s="1"/>
  <c r="I108" i="1"/>
  <c r="H108" i="1"/>
  <c r="B108" i="1"/>
  <c r="BA107" i="1"/>
  <c r="AZ107" i="1"/>
  <c r="AY107" i="1"/>
  <c r="AQ107" i="1"/>
  <c r="AP107" i="1"/>
  <c r="AO107" i="1"/>
  <c r="AH107" i="1"/>
  <c r="AK107" i="1" s="1"/>
  <c r="AG107" i="1"/>
  <c r="AF107" i="1"/>
  <c r="AD107" i="1"/>
  <c r="X107" i="1"/>
  <c r="R107" i="1"/>
  <c r="H107" i="1"/>
  <c r="K107" i="1" s="1"/>
  <c r="B107" i="1"/>
  <c r="BA105" i="1"/>
  <c r="AZ105" i="1"/>
  <c r="AY105" i="1"/>
  <c r="AS105" i="1"/>
  <c r="AQ105" i="1"/>
  <c r="AP105" i="1"/>
  <c r="AO105" i="1"/>
  <c r="AG105" i="1"/>
  <c r="AF105" i="1"/>
  <c r="AD105" i="1"/>
  <c r="X105" i="1"/>
  <c r="R105" i="1"/>
  <c r="B105" i="1"/>
  <c r="BA104" i="1"/>
  <c r="AZ104" i="1"/>
  <c r="AY104" i="1"/>
  <c r="AQ104" i="1"/>
  <c r="AP104" i="1"/>
  <c r="AO104" i="1"/>
  <c r="K104" i="1" s="1"/>
  <c r="AL104" i="1" s="1"/>
  <c r="AK104" i="1"/>
  <c r="AJ104" i="1"/>
  <c r="AH104" i="1"/>
  <c r="AG104" i="1"/>
  <c r="AF104" i="1"/>
  <c r="AD104" i="1"/>
  <c r="X104" i="1"/>
  <c r="R104" i="1"/>
  <c r="I104" i="1"/>
  <c r="B104" i="1"/>
  <c r="BA103" i="1"/>
  <c r="AZ103" i="1"/>
  <c r="AY103" i="1"/>
  <c r="AQ103" i="1"/>
  <c r="AP103" i="1"/>
  <c r="AO103" i="1"/>
  <c r="AH103" i="1"/>
  <c r="AD103" i="1"/>
  <c r="X103" i="1"/>
  <c r="R103" i="1"/>
  <c r="I103" i="1"/>
  <c r="B103" i="1"/>
  <c r="BA102" i="1"/>
  <c r="AZ102" i="1"/>
  <c r="AY102" i="1"/>
  <c r="AQ102" i="1"/>
  <c r="AH102" i="1" s="1"/>
  <c r="AK102" i="1" s="1"/>
  <c r="AP102" i="1"/>
  <c r="AO102" i="1"/>
  <c r="AL102" i="1"/>
  <c r="AM102" i="1" s="1"/>
  <c r="Z102" i="1" s="1"/>
  <c r="AJ102" i="1"/>
  <c r="AG102" i="1"/>
  <c r="AF102" i="1"/>
  <c r="AD102" i="1"/>
  <c r="X102" i="1"/>
  <c r="R102" i="1"/>
  <c r="K102" i="1"/>
  <c r="H102" i="1"/>
  <c r="I102" i="1" s="1"/>
  <c r="B102" i="1"/>
  <c r="BA101" i="1"/>
  <c r="AZ101" i="1"/>
  <c r="AY101" i="1"/>
  <c r="AQ101" i="1"/>
  <c r="K101" i="1" s="1"/>
  <c r="AP101" i="1"/>
  <c r="AO101" i="1"/>
  <c r="AG101" i="1"/>
  <c r="AF101" i="1"/>
  <c r="AD101" i="1"/>
  <c r="X101" i="1"/>
  <c r="R101" i="1"/>
  <c r="I101" i="1"/>
  <c r="H101" i="1"/>
  <c r="B101" i="1"/>
  <c r="BA99" i="1"/>
  <c r="AZ99" i="1"/>
  <c r="AY99" i="1"/>
  <c r="AS99" i="1"/>
  <c r="AQ99" i="1"/>
  <c r="AP99" i="1"/>
  <c r="AO99" i="1"/>
  <c r="AL99" i="1"/>
  <c r="AH99" i="1"/>
  <c r="AG99" i="1"/>
  <c r="AF99" i="1"/>
  <c r="AD99" i="1"/>
  <c r="X99" i="1"/>
  <c r="R99" i="1"/>
  <c r="K99" i="1"/>
  <c r="B99" i="1"/>
  <c r="BA98" i="1"/>
  <c r="AZ98" i="1"/>
  <c r="AY98" i="1"/>
  <c r="AS98" i="1"/>
  <c r="AQ98" i="1"/>
  <c r="AP98" i="1"/>
  <c r="AO98" i="1"/>
  <c r="AN98" i="1"/>
  <c r="AL98" i="1"/>
  <c r="AM98" i="1" s="1"/>
  <c r="Z98" i="1" s="1"/>
  <c r="AK98" i="1"/>
  <c r="AJ98" i="1"/>
  <c r="AH98" i="1"/>
  <c r="AG98" i="1"/>
  <c r="AF98" i="1"/>
  <c r="K98" i="1"/>
  <c r="I98" i="1"/>
  <c r="B98" i="1"/>
  <c r="BA97" i="1"/>
  <c r="AZ97" i="1"/>
  <c r="AY97" i="1"/>
  <c r="AQ97" i="1"/>
  <c r="AP97" i="1"/>
  <c r="AO97" i="1"/>
  <c r="AH97" i="1" s="1"/>
  <c r="AK97" i="1" s="1"/>
  <c r="AG97" i="1"/>
  <c r="AF97" i="1"/>
  <c r="AD97" i="1"/>
  <c r="X97" i="1"/>
  <c r="R97" i="1"/>
  <c r="K97" i="1"/>
  <c r="I97" i="1"/>
  <c r="B97" i="1"/>
  <c r="BA96" i="1"/>
  <c r="AZ96" i="1"/>
  <c r="AY96" i="1"/>
  <c r="AQ96" i="1"/>
  <c r="AP96" i="1"/>
  <c r="AO96" i="1"/>
  <c r="AG96" i="1"/>
  <c r="AF96" i="1"/>
  <c r="AD96" i="1"/>
  <c r="X96" i="1"/>
  <c r="R96" i="1"/>
  <c r="I96" i="1"/>
  <c r="B96" i="1"/>
  <c r="BA95" i="1"/>
  <c r="AZ95" i="1"/>
  <c r="AY95" i="1"/>
  <c r="AQ95" i="1"/>
  <c r="AP95" i="1"/>
  <c r="AO95" i="1"/>
  <c r="AD95" i="1"/>
  <c r="X95" i="1"/>
  <c r="R95" i="1"/>
  <c r="I95" i="1"/>
  <c r="B95" i="1"/>
  <c r="BA94" i="1"/>
  <c r="AZ94" i="1"/>
  <c r="AY94" i="1"/>
  <c r="AQ94" i="1"/>
  <c r="AH94" i="1" s="1"/>
  <c r="AP94" i="1"/>
  <c r="AO94" i="1"/>
  <c r="AG94" i="1"/>
  <c r="AF94" i="1"/>
  <c r="AD94" i="1"/>
  <c r="X94" i="1"/>
  <c r="R94" i="1"/>
  <c r="K94" i="1"/>
  <c r="I94" i="1"/>
  <c r="B94" i="1"/>
  <c r="BA93" i="1"/>
  <c r="AZ93" i="1"/>
  <c r="AY93" i="1"/>
  <c r="AQ93" i="1"/>
  <c r="AP93" i="1"/>
  <c r="AO93" i="1"/>
  <c r="AH93" i="1" s="1"/>
  <c r="AG93" i="1"/>
  <c r="AF93" i="1"/>
  <c r="AD93" i="1"/>
  <c r="X93" i="1"/>
  <c r="R93" i="1"/>
  <c r="I93" i="1"/>
  <c r="H93" i="1"/>
  <c r="K93" i="1" s="1"/>
  <c r="B93" i="1"/>
  <c r="BA91" i="1"/>
  <c r="AZ91" i="1"/>
  <c r="AY91" i="1"/>
  <c r="AS91" i="1"/>
  <c r="AQ91" i="1"/>
  <c r="AP91" i="1"/>
  <c r="AO91" i="1"/>
  <c r="AG91" i="1"/>
  <c r="AF91" i="1"/>
  <c r="AD91" i="1"/>
  <c r="X91" i="1"/>
  <c r="R91" i="1"/>
  <c r="B91" i="1"/>
  <c r="BA90" i="1"/>
  <c r="AZ90" i="1"/>
  <c r="AY90" i="1"/>
  <c r="AQ90" i="1"/>
  <c r="AP90" i="1"/>
  <c r="AO90" i="1"/>
  <c r="AH90" i="1" s="1"/>
  <c r="AJ90" i="1" s="1"/>
  <c r="AG90" i="1"/>
  <c r="AF90" i="1"/>
  <c r="AD90" i="1"/>
  <c r="X90" i="1"/>
  <c r="R90" i="1"/>
  <c r="H90" i="1"/>
  <c r="I90" i="1" s="1"/>
  <c r="B90" i="1"/>
  <c r="BA89" i="1"/>
  <c r="AZ89" i="1"/>
  <c r="AY89" i="1"/>
  <c r="AQ89" i="1"/>
  <c r="AP89" i="1"/>
  <c r="AO89" i="1"/>
  <c r="AJ89" i="1"/>
  <c r="AH89" i="1"/>
  <c r="AG89" i="1"/>
  <c r="AF89" i="1"/>
  <c r="AD89" i="1"/>
  <c r="X89" i="1"/>
  <c r="R89" i="1"/>
  <c r="H89" i="1"/>
  <c r="K89" i="1" s="1"/>
  <c r="B89" i="1"/>
  <c r="BA88" i="1"/>
  <c r="AZ88" i="1"/>
  <c r="AY88" i="1"/>
  <c r="AP88" i="1"/>
  <c r="AO88" i="1"/>
  <c r="K88" i="1" s="1"/>
  <c r="AL88" i="1" s="1"/>
  <c r="AH88" i="1"/>
  <c r="AG88" i="1"/>
  <c r="AF88" i="1"/>
  <c r="AD88" i="1"/>
  <c r="Z88" i="1"/>
  <c r="X88" i="1"/>
  <c r="R88" i="1"/>
  <c r="I88" i="1"/>
  <c r="B88" i="1"/>
  <c r="BA87" i="1"/>
  <c r="AZ87" i="1"/>
  <c r="AY87" i="1"/>
  <c r="AQ87" i="1"/>
  <c r="AP87" i="1"/>
  <c r="AO87" i="1"/>
  <c r="AG87" i="1"/>
  <c r="AF87" i="1"/>
  <c r="AD87" i="1"/>
  <c r="X87" i="1"/>
  <c r="R87" i="1"/>
  <c r="I87" i="1"/>
  <c r="B87" i="1"/>
  <c r="BA86" i="1"/>
  <c r="AZ86" i="1"/>
  <c r="AY86" i="1"/>
  <c r="AQ86" i="1"/>
  <c r="AP86" i="1"/>
  <c r="AO86" i="1"/>
  <c r="AM86" i="1"/>
  <c r="Z86" i="1" s="1"/>
  <c r="AJ86" i="1"/>
  <c r="AH86" i="1"/>
  <c r="AG86" i="1"/>
  <c r="AF86" i="1"/>
  <c r="AD86" i="1"/>
  <c r="X86" i="1"/>
  <c r="R86" i="1"/>
  <c r="K86" i="1"/>
  <c r="AL86" i="1" s="1"/>
  <c r="AN86" i="1" s="1"/>
  <c r="I86" i="1"/>
  <c r="B86" i="1"/>
  <c r="BA85" i="1"/>
  <c r="AZ85" i="1"/>
  <c r="AY85" i="1"/>
  <c r="AQ85" i="1"/>
  <c r="AH85" i="1" s="1"/>
  <c r="AP85" i="1"/>
  <c r="AO85" i="1"/>
  <c r="AG85" i="1"/>
  <c r="AF85" i="1"/>
  <c r="AJ85" i="1" s="1"/>
  <c r="AD85" i="1"/>
  <c r="X85" i="1"/>
  <c r="R85" i="1"/>
  <c r="K85" i="1"/>
  <c r="I85" i="1"/>
  <c r="B85" i="1"/>
  <c r="BA83" i="1"/>
  <c r="AZ83" i="1"/>
  <c r="AY83" i="1"/>
  <c r="AS83" i="1"/>
  <c r="AP83" i="1"/>
  <c r="AO83" i="1"/>
  <c r="AG83" i="1"/>
  <c r="AF83" i="1"/>
  <c r="AD83" i="1"/>
  <c r="X83" i="1"/>
  <c r="R83" i="1"/>
  <c r="B83" i="1"/>
  <c r="BA81" i="1"/>
  <c r="AZ81" i="1"/>
  <c r="AY81" i="1"/>
  <c r="AS81" i="1"/>
  <c r="K81" i="1" s="1"/>
  <c r="AL81" i="1" s="1"/>
  <c r="AN81" i="1" s="1"/>
  <c r="AQ81" i="1"/>
  <c r="AP81" i="1"/>
  <c r="AO81" i="1"/>
  <c r="AH81" i="1" s="1"/>
  <c r="AM81" i="1"/>
  <c r="AG81" i="1"/>
  <c r="AF81" i="1"/>
  <c r="AD81" i="1"/>
  <c r="X81" i="1"/>
  <c r="U81" i="1" s="1"/>
  <c r="T81" i="1"/>
  <c r="R81" i="1"/>
  <c r="B81" i="1"/>
  <c r="BA80" i="1"/>
  <c r="AZ80" i="1"/>
  <c r="AY80" i="1"/>
  <c r="AS80" i="1"/>
  <c r="AQ80" i="1"/>
  <c r="AP80" i="1"/>
  <c r="AO80" i="1"/>
  <c r="K80" i="1" s="1"/>
  <c r="AG80" i="1"/>
  <c r="AF80" i="1"/>
  <c r="AD80" i="1"/>
  <c r="AC80" i="1"/>
  <c r="AA80" i="1"/>
  <c r="AB80" i="1" s="1"/>
  <c r="Z80" i="1"/>
  <c r="X80" i="1"/>
  <c r="U80" i="1"/>
  <c r="V80" i="1" s="1"/>
  <c r="R80" i="1"/>
  <c r="I80" i="1"/>
  <c r="B80" i="1"/>
  <c r="BA79" i="1"/>
  <c r="AZ79" i="1"/>
  <c r="AY79" i="1"/>
  <c r="AS79" i="1"/>
  <c r="AQ79" i="1"/>
  <c r="AH79" i="1" s="1"/>
  <c r="AP79" i="1"/>
  <c r="AO79" i="1"/>
  <c r="AG79" i="1"/>
  <c r="AF79" i="1"/>
  <c r="AD79" i="1"/>
  <c r="X79" i="1"/>
  <c r="V79" i="1"/>
  <c r="U79" i="1"/>
  <c r="T79" i="1"/>
  <c r="W79" i="1" s="1"/>
  <c r="R79" i="1"/>
  <c r="I79" i="1"/>
  <c r="B79" i="1"/>
  <c r="BA78" i="1"/>
  <c r="AZ78" i="1"/>
  <c r="AY78" i="1"/>
  <c r="BA77" i="1"/>
  <c r="AZ77" i="1"/>
  <c r="AY77" i="1"/>
  <c r="AS77" i="1"/>
  <c r="AQ77" i="1"/>
  <c r="AH77" i="1" s="1"/>
  <c r="AJ77" i="1" s="1"/>
  <c r="AP77" i="1"/>
  <c r="AO77" i="1"/>
  <c r="AK77" i="1"/>
  <c r="AG77" i="1"/>
  <c r="AF77" i="1"/>
  <c r="AD77" i="1"/>
  <c r="X77" i="1"/>
  <c r="R77" i="1"/>
  <c r="B77" i="1"/>
  <c r="BA76" i="1"/>
  <c r="AZ76" i="1"/>
  <c r="AY76" i="1"/>
  <c r="AQ76" i="1"/>
  <c r="AP76" i="1"/>
  <c r="AO76" i="1"/>
  <c r="AG76" i="1"/>
  <c r="AF76" i="1"/>
  <c r="AD76" i="1"/>
  <c r="X76" i="1"/>
  <c r="R76" i="1"/>
  <c r="K76" i="1"/>
  <c r="H76" i="1"/>
  <c r="I76" i="1" s="1"/>
  <c r="B76" i="1"/>
  <c r="BA75" i="1"/>
  <c r="AZ75" i="1"/>
  <c r="AY75" i="1"/>
  <c r="AQ75" i="1"/>
  <c r="AP75" i="1"/>
  <c r="AO75" i="1"/>
  <c r="AH75" i="1" s="1"/>
  <c r="AF75" i="1"/>
  <c r="AD75" i="1"/>
  <c r="X75" i="1"/>
  <c r="R75" i="1"/>
  <c r="AG75" i="1" s="1"/>
  <c r="K75" i="1"/>
  <c r="I75" i="1"/>
  <c r="B75" i="1"/>
  <c r="BA74" i="1"/>
  <c r="AZ74" i="1"/>
  <c r="AY74" i="1"/>
  <c r="AQ74" i="1"/>
  <c r="K74" i="1" s="1"/>
  <c r="AP74" i="1"/>
  <c r="AO74" i="1"/>
  <c r="AH74" i="1"/>
  <c r="AG74" i="1"/>
  <c r="AF74" i="1"/>
  <c r="AD74" i="1"/>
  <c r="X74" i="1"/>
  <c r="R74" i="1"/>
  <c r="I74" i="1"/>
  <c r="B74" i="1"/>
  <c r="BA72" i="1"/>
  <c r="AZ72" i="1"/>
  <c r="AY72" i="1"/>
  <c r="AS72" i="1"/>
  <c r="AQ72" i="1"/>
  <c r="AP72" i="1"/>
  <c r="AO72" i="1"/>
  <c r="AG72" i="1"/>
  <c r="AF72" i="1"/>
  <c r="AD72" i="1"/>
  <c r="X72" i="1"/>
  <c r="R72" i="1"/>
  <c r="B72" i="1"/>
  <c r="BA71" i="1"/>
  <c r="AZ71" i="1"/>
  <c r="AY71" i="1"/>
  <c r="AQ71" i="1"/>
  <c r="AP71" i="1"/>
  <c r="AO71" i="1"/>
  <c r="AG71" i="1"/>
  <c r="AF71" i="1"/>
  <c r="AD71" i="1"/>
  <c r="X71" i="1"/>
  <c r="R71" i="1"/>
  <c r="I71" i="1"/>
  <c r="B71" i="1"/>
  <c r="BA70" i="1"/>
  <c r="AZ70" i="1"/>
  <c r="AY70" i="1"/>
  <c r="AQ70" i="1"/>
  <c r="AP70" i="1"/>
  <c r="AO70" i="1"/>
  <c r="AL70" i="1"/>
  <c r="AH70" i="1"/>
  <c r="AF70" i="1"/>
  <c r="AG70" i="1" s="1"/>
  <c r="AD70" i="1"/>
  <c r="X70" i="1"/>
  <c r="R70" i="1"/>
  <c r="K70" i="1"/>
  <c r="I70" i="1"/>
  <c r="B70" i="1"/>
  <c r="BA69" i="1"/>
  <c r="AZ69" i="1"/>
  <c r="AY69" i="1"/>
  <c r="AQ69" i="1"/>
  <c r="AP69" i="1"/>
  <c r="AO69" i="1"/>
  <c r="AL69" i="1"/>
  <c r="AG69" i="1"/>
  <c r="AF69" i="1"/>
  <c r="AD69" i="1"/>
  <c r="X69" i="1"/>
  <c r="R69" i="1"/>
  <c r="K69" i="1"/>
  <c r="I69" i="1"/>
  <c r="H69" i="1"/>
  <c r="AH69" i="1" s="1"/>
  <c r="B69" i="1"/>
  <c r="BA67" i="1"/>
  <c r="AZ67" i="1"/>
  <c r="AY67" i="1"/>
  <c r="AS67" i="1"/>
  <c r="AQ67" i="1"/>
  <c r="K67" i="1" s="1"/>
  <c r="AL67" i="1" s="1"/>
  <c r="AP67" i="1"/>
  <c r="AO67" i="1"/>
  <c r="AH67" i="1"/>
  <c r="AG67" i="1"/>
  <c r="AF67" i="1"/>
  <c r="AD67" i="1"/>
  <c r="X67" i="1"/>
  <c r="R67" i="1"/>
  <c r="B67" i="1"/>
  <c r="BA66" i="1"/>
  <c r="AZ66" i="1"/>
  <c r="AY66" i="1"/>
  <c r="AQ66" i="1"/>
  <c r="AP66" i="1"/>
  <c r="AO66" i="1"/>
  <c r="AD66" i="1"/>
  <c r="X66" i="1"/>
  <c r="R66" i="1"/>
  <c r="AG66" i="1" s="1"/>
  <c r="I66" i="1"/>
  <c r="B66" i="1"/>
  <c r="BA65" i="1"/>
  <c r="AZ65" i="1"/>
  <c r="AY65" i="1"/>
  <c r="AQ65" i="1"/>
  <c r="AP65" i="1"/>
  <c r="AO65" i="1"/>
  <c r="AL65" i="1"/>
  <c r="AH65" i="1"/>
  <c r="AG65" i="1"/>
  <c r="AF65" i="1"/>
  <c r="AD65" i="1"/>
  <c r="X65" i="1"/>
  <c r="R65" i="1"/>
  <c r="L65" i="1"/>
  <c r="K65" i="1"/>
  <c r="I65" i="1"/>
  <c r="B65" i="1"/>
  <c r="BA64" i="1"/>
  <c r="AZ64" i="1"/>
  <c r="AY64" i="1"/>
  <c r="AQ64" i="1"/>
  <c r="AP64" i="1"/>
  <c r="AO64" i="1"/>
  <c r="AH64" i="1"/>
  <c r="AG64" i="1"/>
  <c r="AD64" i="1"/>
  <c r="X64" i="1"/>
  <c r="R64" i="1"/>
  <c r="L64" i="1"/>
  <c r="K64" i="1"/>
  <c r="AL64" i="1" s="1"/>
  <c r="AM64" i="1" s="1"/>
  <c r="I64" i="1"/>
  <c r="B64" i="1"/>
  <c r="BA63" i="1"/>
  <c r="AZ63" i="1"/>
  <c r="AY63" i="1"/>
  <c r="AQ63" i="1"/>
  <c r="K63" i="1" s="1"/>
  <c r="AL63" i="1" s="1"/>
  <c r="AP63" i="1"/>
  <c r="AO63" i="1"/>
  <c r="AN63" i="1"/>
  <c r="AH63" i="1"/>
  <c r="AG63" i="1"/>
  <c r="AF63" i="1"/>
  <c r="AD63" i="1"/>
  <c r="X63" i="1"/>
  <c r="R63" i="1"/>
  <c r="L63" i="1"/>
  <c r="I63" i="1"/>
  <c r="B63" i="1"/>
  <c r="BA62" i="1"/>
  <c r="AZ62" i="1"/>
  <c r="AY62" i="1"/>
  <c r="AQ62" i="1"/>
  <c r="AP62" i="1"/>
  <c r="AO62" i="1"/>
  <c r="AM62" i="1"/>
  <c r="AL62" i="1"/>
  <c r="AJ62" i="1"/>
  <c r="AH62" i="1"/>
  <c r="AG62" i="1"/>
  <c r="AF62" i="1"/>
  <c r="AD62" i="1"/>
  <c r="X62" i="1"/>
  <c r="R62" i="1"/>
  <c r="K62" i="1"/>
  <c r="H62" i="1"/>
  <c r="I62" i="1" s="1"/>
  <c r="B62" i="1"/>
  <c r="BA61" i="1"/>
  <c r="AZ61" i="1"/>
  <c r="AY61" i="1"/>
  <c r="AQ61" i="1"/>
  <c r="AP61" i="1"/>
  <c r="AO61" i="1"/>
  <c r="AG61" i="1"/>
  <c r="AF61" i="1"/>
  <c r="AD61" i="1"/>
  <c r="X61" i="1"/>
  <c r="R61" i="1"/>
  <c r="I61" i="1"/>
  <c r="H61" i="1"/>
  <c r="B61" i="1"/>
  <c r="BA60" i="1"/>
  <c r="AZ60" i="1"/>
  <c r="AY60" i="1"/>
  <c r="AS60" i="1"/>
  <c r="AQ60" i="1"/>
  <c r="AP60" i="1"/>
  <c r="AO60" i="1"/>
  <c r="AH60" i="1"/>
  <c r="AG60" i="1"/>
  <c r="AF60" i="1"/>
  <c r="AD60" i="1"/>
  <c r="AA60" i="1"/>
  <c r="AB60" i="1" s="1"/>
  <c r="X60" i="1"/>
  <c r="V60" i="1"/>
  <c r="U60" i="1"/>
  <c r="T60" i="1"/>
  <c r="W60" i="1" s="1"/>
  <c r="R60" i="1"/>
  <c r="I60" i="1"/>
  <c r="B60" i="1"/>
  <c r="BA58" i="1"/>
  <c r="AZ58" i="1"/>
  <c r="AY58" i="1"/>
  <c r="AS58" i="1"/>
  <c r="AQ58" i="1"/>
  <c r="AP58" i="1"/>
  <c r="AO58" i="1"/>
  <c r="AG58" i="1"/>
  <c r="AF58" i="1"/>
  <c r="AD58" i="1"/>
  <c r="X58" i="1"/>
  <c r="R58" i="1"/>
  <c r="B58" i="1"/>
  <c r="BA57" i="1"/>
  <c r="AZ57" i="1"/>
  <c r="AY57" i="1"/>
  <c r="AS57" i="1"/>
  <c r="AQ57" i="1"/>
  <c r="AP57" i="1"/>
  <c r="AO57" i="1"/>
  <c r="AL57" i="1"/>
  <c r="AK57" i="1"/>
  <c r="AH57" i="1"/>
  <c r="AG57" i="1"/>
  <c r="AF57" i="1"/>
  <c r="K57" i="1"/>
  <c r="I57" i="1"/>
  <c r="B57" i="1"/>
  <c r="BA56" i="1"/>
  <c r="AZ56" i="1"/>
  <c r="AY56" i="1"/>
  <c r="AQ56" i="1"/>
  <c r="AP56" i="1"/>
  <c r="AO56" i="1"/>
  <c r="AK56" i="1"/>
  <c r="AJ56" i="1"/>
  <c r="AH56" i="1"/>
  <c r="AG56" i="1"/>
  <c r="AD56" i="1"/>
  <c r="X56" i="1"/>
  <c r="K56" i="1"/>
  <c r="I56" i="1"/>
  <c r="B56" i="1"/>
  <c r="BA55" i="1"/>
  <c r="AZ55" i="1"/>
  <c r="AY55" i="1"/>
  <c r="AQ55" i="1"/>
  <c r="K55" i="1" s="1"/>
  <c r="AP55" i="1"/>
  <c r="AV55" i="1" s="1" a="1"/>
  <c r="AV55" i="1" s="1"/>
  <c r="AO55" i="1"/>
  <c r="AM55" i="1"/>
  <c r="AL55" i="1"/>
  <c r="AN55" i="1" s="1"/>
  <c r="AK55" i="1"/>
  <c r="AH55" i="1"/>
  <c r="AJ55" i="1" s="1"/>
  <c r="AG55" i="1"/>
  <c r="AF55" i="1"/>
  <c r="AD55" i="1"/>
  <c r="X55" i="1"/>
  <c r="R55" i="1"/>
  <c r="I55" i="1"/>
  <c r="B55" i="1"/>
  <c r="BA54" i="1"/>
  <c r="AZ54" i="1"/>
  <c r="AY54" i="1"/>
  <c r="AQ54" i="1"/>
  <c r="AP54" i="1"/>
  <c r="AO54" i="1"/>
  <c r="AG54" i="1"/>
  <c r="AD54" i="1"/>
  <c r="X54" i="1"/>
  <c r="I54" i="1"/>
  <c r="B54" i="1"/>
  <c r="BA53" i="1"/>
  <c r="AZ53" i="1"/>
  <c r="AY53" i="1"/>
  <c r="AQ53" i="1"/>
  <c r="AP53" i="1"/>
  <c r="AO53" i="1"/>
  <c r="AG53" i="1"/>
  <c r="AF53" i="1"/>
  <c r="AD53" i="1"/>
  <c r="X53" i="1"/>
  <c r="R53" i="1"/>
  <c r="I53" i="1"/>
  <c r="B53" i="1"/>
  <c r="BA52" i="1"/>
  <c r="AZ52" i="1"/>
  <c r="AY52" i="1"/>
  <c r="AQ52" i="1"/>
  <c r="AP52" i="1"/>
  <c r="AO52" i="1"/>
  <c r="AG52" i="1"/>
  <c r="AF52" i="1"/>
  <c r="AD52" i="1"/>
  <c r="X52" i="1"/>
  <c r="R52" i="1"/>
  <c r="I52" i="1"/>
  <c r="B52" i="1"/>
  <c r="BA51" i="1"/>
  <c r="AZ51" i="1"/>
  <c r="AY51" i="1"/>
  <c r="AQ51" i="1"/>
  <c r="AP51" i="1"/>
  <c r="AO51" i="1"/>
  <c r="AG51" i="1"/>
  <c r="AF51" i="1"/>
  <c r="AD51" i="1"/>
  <c r="X51" i="1"/>
  <c r="R51" i="1"/>
  <c r="I51" i="1"/>
  <c r="B51" i="1"/>
  <c r="BA49" i="1"/>
  <c r="AZ49" i="1"/>
  <c r="AY49" i="1"/>
  <c r="AS49" i="1"/>
  <c r="AQ49" i="1"/>
  <c r="AP49" i="1"/>
  <c r="AO49" i="1"/>
  <c r="AG49" i="1"/>
  <c r="AF49" i="1"/>
  <c r="AD49" i="1"/>
  <c r="X49" i="1"/>
  <c r="R49" i="1"/>
  <c r="B49" i="1"/>
  <c r="BA48" i="1"/>
  <c r="AZ48" i="1"/>
  <c r="AY48" i="1"/>
  <c r="AS48" i="1"/>
  <c r="AQ48" i="1"/>
  <c r="AP48" i="1"/>
  <c r="AO48" i="1"/>
  <c r="K48" i="1" s="1"/>
  <c r="AH48" i="1"/>
  <c r="AG48" i="1"/>
  <c r="AF48" i="1"/>
  <c r="B48" i="1"/>
  <c r="BA47" i="1"/>
  <c r="AZ47" i="1"/>
  <c r="AY47" i="1"/>
  <c r="AQ47" i="1"/>
  <c r="AP47" i="1"/>
  <c r="AO47" i="1"/>
  <c r="AG47" i="1"/>
  <c r="AF47" i="1"/>
  <c r="AD47" i="1"/>
  <c r="X47" i="1"/>
  <c r="R47" i="1"/>
  <c r="I47" i="1"/>
  <c r="B47" i="1"/>
  <c r="BA46" i="1"/>
  <c r="AZ46" i="1"/>
  <c r="AY46" i="1"/>
  <c r="AQ46" i="1"/>
  <c r="AP46" i="1"/>
  <c r="AO46" i="1"/>
  <c r="AG46" i="1"/>
  <c r="AF46" i="1"/>
  <c r="AD46" i="1"/>
  <c r="X46" i="1"/>
  <c r="R46" i="1"/>
  <c r="K46" i="1"/>
  <c r="I46" i="1"/>
  <c r="BA45" i="1"/>
  <c r="AZ45" i="1"/>
  <c r="AY45" i="1"/>
  <c r="AQ45" i="1"/>
  <c r="AP45" i="1"/>
  <c r="AO45" i="1"/>
  <c r="AH45" i="1"/>
  <c r="AG45" i="1"/>
  <c r="AF45" i="1"/>
  <c r="AD45" i="1"/>
  <c r="X45" i="1"/>
  <c r="R45" i="1"/>
  <c r="K45" i="1"/>
  <c r="I45" i="1"/>
  <c r="B45" i="1"/>
  <c r="JHO43" i="1"/>
  <c r="IBN43" i="1"/>
  <c r="HFJ43" i="1"/>
  <c r="GOG43" i="1"/>
  <c r="GNR43" i="1"/>
  <c r="FWO43" i="1"/>
  <c r="FLQ43" i="1"/>
  <c r="FLM43" i="1"/>
  <c r="EYF43" i="1"/>
  <c r="ESC43" i="1"/>
  <c r="EMD43" i="1"/>
  <c r="EMC43" i="1"/>
  <c r="EAO43" i="1"/>
  <c r="DVP43" i="1"/>
  <c r="DQW43" i="1"/>
  <c r="DQU43" i="1"/>
  <c r="DLX43" i="1"/>
  <c r="DHF43" i="1"/>
  <c r="DHC43" i="1"/>
  <c r="DCG43" i="1"/>
  <c r="CXN43" i="1"/>
  <c r="CXL43" i="1"/>
  <c r="CSO43" i="1"/>
  <c r="COG43" i="1"/>
  <c r="COE43" i="1"/>
  <c r="CKC43" i="1"/>
  <c r="CJX43" i="1"/>
  <c r="CGF43" i="1"/>
  <c r="CCS43" i="1"/>
  <c r="CCQ43" i="1"/>
  <c r="BZA43" i="1"/>
  <c r="BVM43" i="1"/>
  <c r="BVK43" i="1"/>
  <c r="BSG43" i="1"/>
  <c r="BPM43" i="1"/>
  <c r="BMV43" i="1"/>
  <c r="BKB43" i="1"/>
  <c r="BII43" i="1"/>
  <c r="BGM43" i="1"/>
  <c r="BEW43" i="1"/>
  <c r="BER43" i="1"/>
  <c r="BDA43" i="1"/>
  <c r="BCW43" i="1"/>
  <c r="BBA43" i="1"/>
  <c r="AZG43" i="1"/>
  <c r="AXK43" i="1"/>
  <c r="ATU43" i="1"/>
  <c r="ARY43" i="1"/>
  <c r="AOO43" i="1"/>
  <c r="AMT43" i="1"/>
  <c r="AMN43" i="1"/>
  <c r="AKX43" i="1"/>
  <c r="AHD43" i="1"/>
  <c r="AFM43" i="1"/>
  <c r="AFH43" i="1"/>
  <c r="ADM43" i="1"/>
  <c r="ABR43" i="1"/>
  <c r="ZV43" i="1"/>
  <c r="UK43" i="1"/>
  <c r="RA43" i="1"/>
  <c r="PE43" i="1"/>
  <c r="OZ43" i="1"/>
  <c r="NJ43" i="1"/>
  <c r="ND43" i="1"/>
  <c r="JR43" i="1"/>
  <c r="II43" i="1"/>
  <c r="GX43" i="1"/>
  <c r="FO43" i="1"/>
  <c r="BV43" i="1"/>
  <c r="AS43" i="1"/>
  <c r="AR43" i="1"/>
  <c r="I43" i="1"/>
  <c r="XEU42" i="1"/>
  <c r="XEU43" i="1" s="1"/>
  <c r="XET42" i="1"/>
  <c r="XET43" i="1" s="1"/>
  <c r="XES42" i="1"/>
  <c r="XES43" i="1" s="1"/>
  <c r="XER42" i="1"/>
  <c r="XER43" i="1" s="1"/>
  <c r="XEQ42" i="1"/>
  <c r="XEQ43" i="1" s="1"/>
  <c r="XEP42" i="1"/>
  <c r="XEP43" i="1" s="1"/>
  <c r="XEO42" i="1"/>
  <c r="XEO43" i="1" s="1"/>
  <c r="XEN42" i="1"/>
  <c r="XEN43" i="1" s="1"/>
  <c r="XEM42" i="1"/>
  <c r="XEM43" i="1" s="1"/>
  <c r="XEL42" i="1"/>
  <c r="XEL43" i="1" s="1"/>
  <c r="XEK42" i="1"/>
  <c r="XEK43" i="1" s="1"/>
  <c r="XEJ42" i="1"/>
  <c r="XEJ43" i="1" s="1"/>
  <c r="XEI42" i="1"/>
  <c r="XEI43" i="1" s="1"/>
  <c r="XEH42" i="1"/>
  <c r="XEH43" i="1" s="1"/>
  <c r="XEG42" i="1"/>
  <c r="XEG43" i="1" s="1"/>
  <c r="XEF42" i="1"/>
  <c r="XEF43" i="1" s="1"/>
  <c r="XEE42" i="1"/>
  <c r="XEE43" i="1" s="1"/>
  <c r="XED42" i="1"/>
  <c r="XED43" i="1" s="1"/>
  <c r="XEC42" i="1"/>
  <c r="XEC43" i="1" s="1"/>
  <c r="XEB42" i="1"/>
  <c r="XEB43" i="1" s="1"/>
  <c r="XEA42" i="1"/>
  <c r="XEA43" i="1" s="1"/>
  <c r="XDZ42" i="1"/>
  <c r="XDZ43" i="1" s="1"/>
  <c r="XDY42" i="1"/>
  <c r="XDY43" i="1" s="1"/>
  <c r="XDX42" i="1"/>
  <c r="XDX43" i="1" s="1"/>
  <c r="XDW42" i="1"/>
  <c r="XDW43" i="1" s="1"/>
  <c r="XDV42" i="1"/>
  <c r="XDV43" i="1" s="1"/>
  <c r="XDU42" i="1"/>
  <c r="XDU43" i="1" s="1"/>
  <c r="XDT42" i="1"/>
  <c r="XDT43" i="1" s="1"/>
  <c r="XDS42" i="1"/>
  <c r="XDS43" i="1" s="1"/>
  <c r="XDR42" i="1"/>
  <c r="XDR43" i="1" s="1"/>
  <c r="XDQ42" i="1"/>
  <c r="XDQ43" i="1" s="1"/>
  <c r="XDP42" i="1"/>
  <c r="XDP43" i="1" s="1"/>
  <c r="XDO42" i="1"/>
  <c r="XDO43" i="1" s="1"/>
  <c r="XDN42" i="1"/>
  <c r="XDN43" i="1" s="1"/>
  <c r="XDM42" i="1"/>
  <c r="XDM43" i="1" s="1"/>
  <c r="XDL42" i="1"/>
  <c r="XDL43" i="1" s="1"/>
  <c r="XDK42" i="1"/>
  <c r="XDK43" i="1" s="1"/>
  <c r="XDJ42" i="1"/>
  <c r="XDJ43" i="1" s="1"/>
  <c r="XDI42" i="1"/>
  <c r="XDI43" i="1" s="1"/>
  <c r="XDH42" i="1"/>
  <c r="XDH43" i="1" s="1"/>
  <c r="XDG42" i="1"/>
  <c r="XDG43" i="1" s="1"/>
  <c r="XDF42" i="1"/>
  <c r="XDF43" i="1" s="1"/>
  <c r="XDE42" i="1"/>
  <c r="XDE43" i="1" s="1"/>
  <c r="XDD42" i="1"/>
  <c r="XDD43" i="1" s="1"/>
  <c r="XDC42" i="1"/>
  <c r="XDC43" i="1" s="1"/>
  <c r="XDB42" i="1"/>
  <c r="XDB43" i="1" s="1"/>
  <c r="XDA42" i="1"/>
  <c r="XDA43" i="1" s="1"/>
  <c r="XCZ42" i="1"/>
  <c r="XCZ43" i="1" s="1"/>
  <c r="XCY42" i="1"/>
  <c r="XCY43" i="1" s="1"/>
  <c r="XCX42" i="1"/>
  <c r="XCX43" i="1" s="1"/>
  <c r="XCW42" i="1"/>
  <c r="XCW43" i="1" s="1"/>
  <c r="XCV42" i="1"/>
  <c r="XCV43" i="1" s="1"/>
  <c r="XCU42" i="1"/>
  <c r="XCU43" i="1" s="1"/>
  <c r="XCT42" i="1"/>
  <c r="XCT43" i="1" s="1"/>
  <c r="XCS42" i="1"/>
  <c r="XCS43" i="1" s="1"/>
  <c r="XCR42" i="1"/>
  <c r="XCR43" i="1" s="1"/>
  <c r="XCQ42" i="1"/>
  <c r="XCQ43" i="1" s="1"/>
  <c r="XCP42" i="1"/>
  <c r="XCP43" i="1" s="1"/>
  <c r="XCO42" i="1"/>
  <c r="XCO43" i="1" s="1"/>
  <c r="XCN42" i="1"/>
  <c r="XCN43" i="1" s="1"/>
  <c r="XCM42" i="1"/>
  <c r="XCM43" i="1" s="1"/>
  <c r="XCL42" i="1"/>
  <c r="XCL43" i="1" s="1"/>
  <c r="XCK42" i="1"/>
  <c r="XCK43" i="1" s="1"/>
  <c r="XCJ42" i="1"/>
  <c r="XCJ43" i="1" s="1"/>
  <c r="XCI42" i="1"/>
  <c r="XCI43" i="1" s="1"/>
  <c r="XCH42" i="1"/>
  <c r="XCH43" i="1" s="1"/>
  <c r="XCG42" i="1"/>
  <c r="XCG43" i="1" s="1"/>
  <c r="XCF42" i="1"/>
  <c r="XCF43" i="1" s="1"/>
  <c r="XCE42" i="1"/>
  <c r="XCE43" i="1" s="1"/>
  <c r="XCD42" i="1"/>
  <c r="XCD43" i="1" s="1"/>
  <c r="XCC42" i="1"/>
  <c r="XCC43" i="1" s="1"/>
  <c r="XCB42" i="1"/>
  <c r="XCB43" i="1" s="1"/>
  <c r="XCA42" i="1"/>
  <c r="XCA43" i="1" s="1"/>
  <c r="XBZ42" i="1"/>
  <c r="XBZ43" i="1" s="1"/>
  <c r="XBY42" i="1"/>
  <c r="XBY43" i="1" s="1"/>
  <c r="XBX42" i="1"/>
  <c r="XBX43" i="1" s="1"/>
  <c r="XBW42" i="1"/>
  <c r="XBW43" i="1" s="1"/>
  <c r="XBV42" i="1"/>
  <c r="XBV43" i="1" s="1"/>
  <c r="XBU42" i="1"/>
  <c r="XBU43" i="1" s="1"/>
  <c r="XBT42" i="1"/>
  <c r="XBT43" i="1" s="1"/>
  <c r="XBS42" i="1"/>
  <c r="XBS43" i="1" s="1"/>
  <c r="XBR42" i="1"/>
  <c r="XBR43" i="1" s="1"/>
  <c r="XBQ42" i="1"/>
  <c r="XBQ43" i="1" s="1"/>
  <c r="XBP42" i="1"/>
  <c r="XBP43" i="1" s="1"/>
  <c r="XBO42" i="1"/>
  <c r="XBO43" i="1" s="1"/>
  <c r="XBN42" i="1"/>
  <c r="XBN43" i="1" s="1"/>
  <c r="XBM42" i="1"/>
  <c r="XBM43" i="1" s="1"/>
  <c r="XBL42" i="1"/>
  <c r="XBL43" i="1" s="1"/>
  <c r="XBK42" i="1"/>
  <c r="XBK43" i="1" s="1"/>
  <c r="XBJ42" i="1"/>
  <c r="XBJ43" i="1" s="1"/>
  <c r="XBI42" i="1"/>
  <c r="XBI43" i="1" s="1"/>
  <c r="XBH42" i="1"/>
  <c r="XBH43" i="1" s="1"/>
  <c r="XBG42" i="1"/>
  <c r="XBG43" i="1" s="1"/>
  <c r="XBF42" i="1"/>
  <c r="XBF43" i="1" s="1"/>
  <c r="XBE42" i="1"/>
  <c r="XBE43" i="1" s="1"/>
  <c r="XBD42" i="1"/>
  <c r="XBD43" i="1" s="1"/>
  <c r="XBC42" i="1"/>
  <c r="XBC43" i="1" s="1"/>
  <c r="XBB42" i="1"/>
  <c r="XBB43" i="1" s="1"/>
  <c r="XBA42" i="1"/>
  <c r="XBA43" i="1" s="1"/>
  <c r="XAZ42" i="1"/>
  <c r="XAZ43" i="1" s="1"/>
  <c r="XAY42" i="1"/>
  <c r="XAY43" i="1" s="1"/>
  <c r="XAX42" i="1"/>
  <c r="XAX43" i="1" s="1"/>
  <c r="XAW42" i="1"/>
  <c r="XAW43" i="1" s="1"/>
  <c r="XAV42" i="1"/>
  <c r="XAV43" i="1" s="1"/>
  <c r="XAU42" i="1"/>
  <c r="XAU43" i="1" s="1"/>
  <c r="XAT42" i="1"/>
  <c r="XAT43" i="1" s="1"/>
  <c r="XAS42" i="1"/>
  <c r="XAS43" i="1" s="1"/>
  <c r="XAR42" i="1"/>
  <c r="XAR43" i="1" s="1"/>
  <c r="XAQ42" i="1"/>
  <c r="XAQ43" i="1" s="1"/>
  <c r="XAP42" i="1"/>
  <c r="XAP43" i="1" s="1"/>
  <c r="XAO42" i="1"/>
  <c r="XAO43" i="1" s="1"/>
  <c r="XAN42" i="1"/>
  <c r="XAN43" i="1" s="1"/>
  <c r="XAM42" i="1"/>
  <c r="XAM43" i="1" s="1"/>
  <c r="XAL42" i="1"/>
  <c r="XAL43" i="1" s="1"/>
  <c r="XAK42" i="1"/>
  <c r="XAK43" i="1" s="1"/>
  <c r="XAJ42" i="1"/>
  <c r="XAJ43" i="1" s="1"/>
  <c r="XAI42" i="1"/>
  <c r="XAI43" i="1" s="1"/>
  <c r="XAH42" i="1"/>
  <c r="XAH43" i="1" s="1"/>
  <c r="XAG42" i="1"/>
  <c r="XAG43" i="1" s="1"/>
  <c r="XAF42" i="1"/>
  <c r="XAF43" i="1" s="1"/>
  <c r="XAE42" i="1"/>
  <c r="XAE43" i="1" s="1"/>
  <c r="XAD42" i="1"/>
  <c r="XAD43" i="1" s="1"/>
  <c r="XAC42" i="1"/>
  <c r="XAC43" i="1" s="1"/>
  <c r="XAB42" i="1"/>
  <c r="XAB43" i="1" s="1"/>
  <c r="XAA42" i="1"/>
  <c r="XAA43" i="1" s="1"/>
  <c r="WZZ42" i="1"/>
  <c r="WZZ43" i="1" s="1"/>
  <c r="WZY42" i="1"/>
  <c r="WZY43" i="1" s="1"/>
  <c r="WZX42" i="1"/>
  <c r="WZX43" i="1" s="1"/>
  <c r="WZW42" i="1"/>
  <c r="WZW43" i="1" s="1"/>
  <c r="WZV42" i="1"/>
  <c r="WZV43" i="1" s="1"/>
  <c r="WZU42" i="1"/>
  <c r="WZU43" i="1" s="1"/>
  <c r="WZT42" i="1"/>
  <c r="WZT43" i="1" s="1"/>
  <c r="WZS42" i="1"/>
  <c r="WZS43" i="1" s="1"/>
  <c r="WZR42" i="1"/>
  <c r="WZR43" i="1" s="1"/>
  <c r="WZQ42" i="1"/>
  <c r="WZQ43" i="1" s="1"/>
  <c r="WZP42" i="1"/>
  <c r="WZP43" i="1" s="1"/>
  <c r="WZO42" i="1"/>
  <c r="WZO43" i="1" s="1"/>
  <c r="WZN42" i="1"/>
  <c r="WZN43" i="1" s="1"/>
  <c r="WZM42" i="1"/>
  <c r="WZM43" i="1" s="1"/>
  <c r="WZL42" i="1"/>
  <c r="WZL43" i="1" s="1"/>
  <c r="WZK42" i="1"/>
  <c r="WZK43" i="1" s="1"/>
  <c r="WZJ42" i="1"/>
  <c r="WZJ43" i="1" s="1"/>
  <c r="WZI42" i="1"/>
  <c r="WZI43" i="1" s="1"/>
  <c r="WZH42" i="1"/>
  <c r="WZH43" i="1" s="1"/>
  <c r="WZG42" i="1"/>
  <c r="WZG43" i="1" s="1"/>
  <c r="WZF42" i="1"/>
  <c r="WZF43" i="1" s="1"/>
  <c r="WZE42" i="1"/>
  <c r="WZE43" i="1" s="1"/>
  <c r="WZD42" i="1"/>
  <c r="WZD43" i="1" s="1"/>
  <c r="WZC42" i="1"/>
  <c r="WZC43" i="1" s="1"/>
  <c r="WZB42" i="1"/>
  <c r="WZB43" i="1" s="1"/>
  <c r="WZA42" i="1"/>
  <c r="WZA43" i="1" s="1"/>
  <c r="WYZ42" i="1"/>
  <c r="WYZ43" i="1" s="1"/>
  <c r="WYY42" i="1"/>
  <c r="WYY43" i="1" s="1"/>
  <c r="WYX42" i="1"/>
  <c r="WYX43" i="1" s="1"/>
  <c r="WYW42" i="1"/>
  <c r="WYW43" i="1" s="1"/>
  <c r="WYV42" i="1"/>
  <c r="WYV43" i="1" s="1"/>
  <c r="WYU42" i="1"/>
  <c r="WYU43" i="1" s="1"/>
  <c r="WYT42" i="1"/>
  <c r="WYT43" i="1" s="1"/>
  <c r="WYS42" i="1"/>
  <c r="WYS43" i="1" s="1"/>
  <c r="WYR42" i="1"/>
  <c r="WYR43" i="1" s="1"/>
  <c r="WYQ42" i="1"/>
  <c r="WYQ43" i="1" s="1"/>
  <c r="WYP42" i="1"/>
  <c r="WYP43" i="1" s="1"/>
  <c r="WYO42" i="1"/>
  <c r="WYO43" i="1" s="1"/>
  <c r="WYN42" i="1"/>
  <c r="WYN43" i="1" s="1"/>
  <c r="WYM42" i="1"/>
  <c r="WYM43" i="1" s="1"/>
  <c r="WYL42" i="1"/>
  <c r="WYL43" i="1" s="1"/>
  <c r="WYK42" i="1"/>
  <c r="WYK43" i="1" s="1"/>
  <c r="WYJ42" i="1"/>
  <c r="WYJ43" i="1" s="1"/>
  <c r="WYI42" i="1"/>
  <c r="WYI43" i="1" s="1"/>
  <c r="WYH42" i="1"/>
  <c r="WYH43" i="1" s="1"/>
  <c r="WYG42" i="1"/>
  <c r="WYG43" i="1" s="1"/>
  <c r="WYF42" i="1"/>
  <c r="WYF43" i="1" s="1"/>
  <c r="WYE42" i="1"/>
  <c r="WYE43" i="1" s="1"/>
  <c r="WYD42" i="1"/>
  <c r="WYD43" i="1" s="1"/>
  <c r="WYC42" i="1"/>
  <c r="WYC43" i="1" s="1"/>
  <c r="WYB42" i="1"/>
  <c r="WYB43" i="1" s="1"/>
  <c r="WYA42" i="1"/>
  <c r="WYA43" i="1" s="1"/>
  <c r="WXZ42" i="1"/>
  <c r="WXZ43" i="1" s="1"/>
  <c r="WXY42" i="1"/>
  <c r="WXY43" i="1" s="1"/>
  <c r="WXX42" i="1"/>
  <c r="WXX43" i="1" s="1"/>
  <c r="WXW42" i="1"/>
  <c r="WXW43" i="1" s="1"/>
  <c r="WXV42" i="1"/>
  <c r="WXV43" i="1" s="1"/>
  <c r="WXU42" i="1"/>
  <c r="WXU43" i="1" s="1"/>
  <c r="WXT42" i="1"/>
  <c r="WXT43" i="1" s="1"/>
  <c r="WXS42" i="1"/>
  <c r="WXS43" i="1" s="1"/>
  <c r="WXR42" i="1"/>
  <c r="WXR43" i="1" s="1"/>
  <c r="WXQ42" i="1"/>
  <c r="WXQ43" i="1" s="1"/>
  <c r="WXP42" i="1"/>
  <c r="WXP43" i="1" s="1"/>
  <c r="WXO42" i="1"/>
  <c r="WXO43" i="1" s="1"/>
  <c r="WXN42" i="1"/>
  <c r="WXN43" i="1" s="1"/>
  <c r="WXM42" i="1"/>
  <c r="WXM43" i="1" s="1"/>
  <c r="WXL42" i="1"/>
  <c r="WXL43" i="1" s="1"/>
  <c r="WXK42" i="1"/>
  <c r="WXK43" i="1" s="1"/>
  <c r="WXJ42" i="1"/>
  <c r="WXJ43" i="1" s="1"/>
  <c r="WXI42" i="1"/>
  <c r="WXI43" i="1" s="1"/>
  <c r="WXH42" i="1"/>
  <c r="WXH43" i="1" s="1"/>
  <c r="WXG42" i="1"/>
  <c r="WXG43" i="1" s="1"/>
  <c r="WXF42" i="1"/>
  <c r="WXF43" i="1" s="1"/>
  <c r="WXE42" i="1"/>
  <c r="WXE43" i="1" s="1"/>
  <c r="WXD42" i="1"/>
  <c r="WXD43" i="1" s="1"/>
  <c r="WXC42" i="1"/>
  <c r="WXC43" i="1" s="1"/>
  <c r="WXB42" i="1"/>
  <c r="WXB43" i="1" s="1"/>
  <c r="WXA42" i="1"/>
  <c r="WXA43" i="1" s="1"/>
  <c r="WWZ42" i="1"/>
  <c r="WWZ43" i="1" s="1"/>
  <c r="WWY42" i="1"/>
  <c r="WWY43" i="1" s="1"/>
  <c r="WWX42" i="1"/>
  <c r="WWX43" i="1" s="1"/>
  <c r="WWW42" i="1"/>
  <c r="WWW43" i="1" s="1"/>
  <c r="WWV42" i="1"/>
  <c r="WWV43" i="1" s="1"/>
  <c r="WWU42" i="1"/>
  <c r="WWU43" i="1" s="1"/>
  <c r="WWT42" i="1"/>
  <c r="WWT43" i="1" s="1"/>
  <c r="WWS42" i="1"/>
  <c r="WWS43" i="1" s="1"/>
  <c r="WWR42" i="1"/>
  <c r="WWR43" i="1" s="1"/>
  <c r="WWQ42" i="1"/>
  <c r="WWQ43" i="1" s="1"/>
  <c r="WWP42" i="1"/>
  <c r="WWP43" i="1" s="1"/>
  <c r="WWO42" i="1"/>
  <c r="WWO43" i="1" s="1"/>
  <c r="WWN42" i="1"/>
  <c r="WWN43" i="1" s="1"/>
  <c r="WWM42" i="1"/>
  <c r="WWM43" i="1" s="1"/>
  <c r="WWL42" i="1"/>
  <c r="WWL43" i="1" s="1"/>
  <c r="WWK42" i="1"/>
  <c r="WWK43" i="1" s="1"/>
  <c r="WWJ42" i="1"/>
  <c r="WWJ43" i="1" s="1"/>
  <c r="WWI42" i="1"/>
  <c r="WWI43" i="1" s="1"/>
  <c r="WWH42" i="1"/>
  <c r="WWH43" i="1" s="1"/>
  <c r="WWG42" i="1"/>
  <c r="WWG43" i="1" s="1"/>
  <c r="WWF42" i="1"/>
  <c r="WWF43" i="1" s="1"/>
  <c r="WWE42" i="1"/>
  <c r="WWE43" i="1" s="1"/>
  <c r="WWD42" i="1"/>
  <c r="WWD43" i="1" s="1"/>
  <c r="WWC42" i="1"/>
  <c r="WWC43" i="1" s="1"/>
  <c r="WWB42" i="1"/>
  <c r="WWB43" i="1" s="1"/>
  <c r="WWA42" i="1"/>
  <c r="WWA43" i="1" s="1"/>
  <c r="WVZ42" i="1"/>
  <c r="WVZ43" i="1" s="1"/>
  <c r="WVY42" i="1"/>
  <c r="WVY43" i="1" s="1"/>
  <c r="WVX42" i="1"/>
  <c r="WVX43" i="1" s="1"/>
  <c r="WVW42" i="1"/>
  <c r="WVW43" i="1" s="1"/>
  <c r="WVV42" i="1"/>
  <c r="WVV43" i="1" s="1"/>
  <c r="WVU42" i="1"/>
  <c r="WVU43" i="1" s="1"/>
  <c r="WVT42" i="1"/>
  <c r="WVT43" i="1" s="1"/>
  <c r="WVS42" i="1"/>
  <c r="WVS43" i="1" s="1"/>
  <c r="WVR42" i="1"/>
  <c r="WVR43" i="1" s="1"/>
  <c r="WVQ42" i="1"/>
  <c r="WVQ43" i="1" s="1"/>
  <c r="WVP42" i="1"/>
  <c r="WVP43" i="1" s="1"/>
  <c r="WVO42" i="1"/>
  <c r="WVO43" i="1" s="1"/>
  <c r="WVN42" i="1"/>
  <c r="WVN43" i="1" s="1"/>
  <c r="WVM42" i="1"/>
  <c r="WVM43" i="1" s="1"/>
  <c r="WVL42" i="1"/>
  <c r="WVL43" i="1" s="1"/>
  <c r="WVK42" i="1"/>
  <c r="WVK43" i="1" s="1"/>
  <c r="WVJ42" i="1"/>
  <c r="WVJ43" i="1" s="1"/>
  <c r="WVI42" i="1"/>
  <c r="WVI43" i="1" s="1"/>
  <c r="WVH42" i="1"/>
  <c r="WVH43" i="1" s="1"/>
  <c r="WVG42" i="1"/>
  <c r="WVG43" i="1" s="1"/>
  <c r="WVF42" i="1"/>
  <c r="WVF43" i="1" s="1"/>
  <c r="WVE42" i="1"/>
  <c r="WVE43" i="1" s="1"/>
  <c r="WVD42" i="1"/>
  <c r="WVD43" i="1" s="1"/>
  <c r="WVC42" i="1"/>
  <c r="WVC43" i="1" s="1"/>
  <c r="WVB42" i="1"/>
  <c r="WVB43" i="1" s="1"/>
  <c r="WVA42" i="1"/>
  <c r="WVA43" i="1" s="1"/>
  <c r="WUZ42" i="1"/>
  <c r="WUZ43" i="1" s="1"/>
  <c r="WUY42" i="1"/>
  <c r="WUY43" i="1" s="1"/>
  <c r="WUX42" i="1"/>
  <c r="WUX43" i="1" s="1"/>
  <c r="WUW42" i="1"/>
  <c r="WUW43" i="1" s="1"/>
  <c r="WUV42" i="1"/>
  <c r="WUV43" i="1" s="1"/>
  <c r="WUU42" i="1"/>
  <c r="WUU43" i="1" s="1"/>
  <c r="WUT42" i="1"/>
  <c r="WUT43" i="1" s="1"/>
  <c r="WUS42" i="1"/>
  <c r="WUS43" i="1" s="1"/>
  <c r="WUR42" i="1"/>
  <c r="WUR43" i="1" s="1"/>
  <c r="WUQ42" i="1"/>
  <c r="WUQ43" i="1" s="1"/>
  <c r="WUP42" i="1"/>
  <c r="WUP43" i="1" s="1"/>
  <c r="WUO42" i="1"/>
  <c r="WUO43" i="1" s="1"/>
  <c r="WUN42" i="1"/>
  <c r="WUN43" i="1" s="1"/>
  <c r="WUM42" i="1"/>
  <c r="WUM43" i="1" s="1"/>
  <c r="WUL42" i="1"/>
  <c r="WUL43" i="1" s="1"/>
  <c r="WUK42" i="1"/>
  <c r="WUK43" i="1" s="1"/>
  <c r="WUJ42" i="1"/>
  <c r="WUJ43" i="1" s="1"/>
  <c r="WUI42" i="1"/>
  <c r="WUI43" i="1" s="1"/>
  <c r="WUH42" i="1"/>
  <c r="WUH43" i="1" s="1"/>
  <c r="WUG42" i="1"/>
  <c r="WUG43" i="1" s="1"/>
  <c r="WUF42" i="1"/>
  <c r="WUF43" i="1" s="1"/>
  <c r="WUE42" i="1"/>
  <c r="WUE43" i="1" s="1"/>
  <c r="WUD42" i="1"/>
  <c r="WUD43" i="1" s="1"/>
  <c r="WUC42" i="1"/>
  <c r="WUC43" i="1" s="1"/>
  <c r="WUB42" i="1"/>
  <c r="WUB43" i="1" s="1"/>
  <c r="WUA42" i="1"/>
  <c r="WUA43" i="1" s="1"/>
  <c r="WTZ42" i="1"/>
  <c r="WTZ43" i="1" s="1"/>
  <c r="WTY42" i="1"/>
  <c r="WTY43" i="1" s="1"/>
  <c r="WTX42" i="1"/>
  <c r="WTX43" i="1" s="1"/>
  <c r="WTW42" i="1"/>
  <c r="WTW43" i="1" s="1"/>
  <c r="WTV42" i="1"/>
  <c r="WTV43" i="1" s="1"/>
  <c r="WTU42" i="1"/>
  <c r="WTU43" i="1" s="1"/>
  <c r="WTT42" i="1"/>
  <c r="WTT43" i="1" s="1"/>
  <c r="WTS42" i="1"/>
  <c r="WTS43" i="1" s="1"/>
  <c r="WTR42" i="1"/>
  <c r="WTR43" i="1" s="1"/>
  <c r="WTQ42" i="1"/>
  <c r="WTQ43" i="1" s="1"/>
  <c r="WTP42" i="1"/>
  <c r="WTP43" i="1" s="1"/>
  <c r="WTO42" i="1"/>
  <c r="WTO43" i="1" s="1"/>
  <c r="WTN42" i="1"/>
  <c r="WTN43" i="1" s="1"/>
  <c r="WTM42" i="1"/>
  <c r="WTM43" i="1" s="1"/>
  <c r="WTL42" i="1"/>
  <c r="WTL43" i="1" s="1"/>
  <c r="WTK42" i="1"/>
  <c r="WTK43" i="1" s="1"/>
  <c r="WTJ42" i="1"/>
  <c r="WTJ43" i="1" s="1"/>
  <c r="WTI42" i="1"/>
  <c r="WTI43" i="1" s="1"/>
  <c r="WTH42" i="1"/>
  <c r="WTH43" i="1" s="1"/>
  <c r="WTG42" i="1"/>
  <c r="WTG43" i="1" s="1"/>
  <c r="WTF42" i="1"/>
  <c r="WTF43" i="1" s="1"/>
  <c r="WTE42" i="1"/>
  <c r="WTE43" i="1" s="1"/>
  <c r="WTD42" i="1"/>
  <c r="WTD43" i="1" s="1"/>
  <c r="WTC42" i="1"/>
  <c r="WTC43" i="1" s="1"/>
  <c r="WTB42" i="1"/>
  <c r="WTB43" i="1" s="1"/>
  <c r="WTA42" i="1"/>
  <c r="WTA43" i="1" s="1"/>
  <c r="WSZ42" i="1"/>
  <c r="WSZ43" i="1" s="1"/>
  <c r="WSY42" i="1"/>
  <c r="WSY43" i="1" s="1"/>
  <c r="WSX42" i="1"/>
  <c r="WSX43" i="1" s="1"/>
  <c r="WSW42" i="1"/>
  <c r="WSW43" i="1" s="1"/>
  <c r="WSV42" i="1"/>
  <c r="WSV43" i="1" s="1"/>
  <c r="WSU42" i="1"/>
  <c r="WSU43" i="1" s="1"/>
  <c r="WST42" i="1"/>
  <c r="WST43" i="1" s="1"/>
  <c r="WSS42" i="1"/>
  <c r="WSS43" i="1" s="1"/>
  <c r="WSR42" i="1"/>
  <c r="WSR43" i="1" s="1"/>
  <c r="WSQ42" i="1"/>
  <c r="WSQ43" i="1" s="1"/>
  <c r="WSP42" i="1"/>
  <c r="WSP43" i="1" s="1"/>
  <c r="WSO42" i="1"/>
  <c r="WSO43" i="1" s="1"/>
  <c r="WSN42" i="1"/>
  <c r="WSN43" i="1" s="1"/>
  <c r="WSM42" i="1"/>
  <c r="WSM43" i="1" s="1"/>
  <c r="WSL42" i="1"/>
  <c r="WSL43" i="1" s="1"/>
  <c r="WSK42" i="1"/>
  <c r="WSK43" i="1" s="1"/>
  <c r="WSJ42" i="1"/>
  <c r="WSJ43" i="1" s="1"/>
  <c r="WSI42" i="1"/>
  <c r="WSI43" i="1" s="1"/>
  <c r="WSH42" i="1"/>
  <c r="WSH43" i="1" s="1"/>
  <c r="WSG42" i="1"/>
  <c r="WSG43" i="1" s="1"/>
  <c r="WSF42" i="1"/>
  <c r="WSF43" i="1" s="1"/>
  <c r="WSE42" i="1"/>
  <c r="WSE43" i="1" s="1"/>
  <c r="WSD42" i="1"/>
  <c r="WSD43" i="1" s="1"/>
  <c r="WSC42" i="1"/>
  <c r="WSC43" i="1" s="1"/>
  <c r="WSB42" i="1"/>
  <c r="WSB43" i="1" s="1"/>
  <c r="WSA42" i="1"/>
  <c r="WSA43" i="1" s="1"/>
  <c r="WRZ42" i="1"/>
  <c r="WRZ43" i="1" s="1"/>
  <c r="WRY42" i="1"/>
  <c r="WRY43" i="1" s="1"/>
  <c r="WRX42" i="1"/>
  <c r="WRX43" i="1" s="1"/>
  <c r="WRW42" i="1"/>
  <c r="WRW43" i="1" s="1"/>
  <c r="WRV42" i="1"/>
  <c r="WRV43" i="1" s="1"/>
  <c r="WRU42" i="1"/>
  <c r="WRU43" i="1" s="1"/>
  <c r="WRT42" i="1"/>
  <c r="WRT43" i="1" s="1"/>
  <c r="WRS42" i="1"/>
  <c r="WRS43" i="1" s="1"/>
  <c r="WRR42" i="1"/>
  <c r="WRR43" i="1" s="1"/>
  <c r="WRQ42" i="1"/>
  <c r="WRQ43" i="1" s="1"/>
  <c r="WRP42" i="1"/>
  <c r="WRP43" i="1" s="1"/>
  <c r="WRO42" i="1"/>
  <c r="WRO43" i="1" s="1"/>
  <c r="WRN42" i="1"/>
  <c r="WRN43" i="1" s="1"/>
  <c r="WRM42" i="1"/>
  <c r="WRM43" i="1" s="1"/>
  <c r="WRL42" i="1"/>
  <c r="WRL43" i="1" s="1"/>
  <c r="WRK42" i="1"/>
  <c r="WRK43" i="1" s="1"/>
  <c r="WRJ42" i="1"/>
  <c r="WRJ43" i="1" s="1"/>
  <c r="WRI42" i="1"/>
  <c r="WRI43" i="1" s="1"/>
  <c r="WRH42" i="1"/>
  <c r="WRH43" i="1" s="1"/>
  <c r="WRG42" i="1"/>
  <c r="WRG43" i="1" s="1"/>
  <c r="WRF42" i="1"/>
  <c r="WRF43" i="1" s="1"/>
  <c r="WRE42" i="1"/>
  <c r="WRE43" i="1" s="1"/>
  <c r="WRD42" i="1"/>
  <c r="WRD43" i="1" s="1"/>
  <c r="WRC42" i="1"/>
  <c r="WRC43" i="1" s="1"/>
  <c r="WRB42" i="1"/>
  <c r="WRB43" i="1" s="1"/>
  <c r="WRA42" i="1"/>
  <c r="WRA43" i="1" s="1"/>
  <c r="WQZ42" i="1"/>
  <c r="WQZ43" i="1" s="1"/>
  <c r="WQY42" i="1"/>
  <c r="WQY43" i="1" s="1"/>
  <c r="WQX42" i="1"/>
  <c r="WQX43" i="1" s="1"/>
  <c r="WQW42" i="1"/>
  <c r="WQW43" i="1" s="1"/>
  <c r="WQV42" i="1"/>
  <c r="WQV43" i="1" s="1"/>
  <c r="WQU42" i="1"/>
  <c r="WQU43" i="1" s="1"/>
  <c r="WQT42" i="1"/>
  <c r="WQT43" i="1" s="1"/>
  <c r="WQS42" i="1"/>
  <c r="WQS43" i="1" s="1"/>
  <c r="WQR42" i="1"/>
  <c r="WQR43" i="1" s="1"/>
  <c r="WQQ42" i="1"/>
  <c r="WQQ43" i="1" s="1"/>
  <c r="WQP42" i="1"/>
  <c r="WQP43" i="1" s="1"/>
  <c r="WQO42" i="1"/>
  <c r="WQO43" i="1" s="1"/>
  <c r="WQN42" i="1"/>
  <c r="WQN43" i="1" s="1"/>
  <c r="WQM42" i="1"/>
  <c r="WQM43" i="1" s="1"/>
  <c r="WQL42" i="1"/>
  <c r="WQL43" i="1" s="1"/>
  <c r="WQK42" i="1"/>
  <c r="WQK43" i="1" s="1"/>
  <c r="WQJ42" i="1"/>
  <c r="WQJ43" i="1" s="1"/>
  <c r="WQI42" i="1"/>
  <c r="WQI43" i="1" s="1"/>
  <c r="WQH42" i="1"/>
  <c r="WQH43" i="1" s="1"/>
  <c r="WQG42" i="1"/>
  <c r="WQG43" i="1" s="1"/>
  <c r="WQF42" i="1"/>
  <c r="WQF43" i="1" s="1"/>
  <c r="WQE42" i="1"/>
  <c r="WQE43" i="1" s="1"/>
  <c r="WQD42" i="1"/>
  <c r="WQD43" i="1" s="1"/>
  <c r="WQC42" i="1"/>
  <c r="WQC43" i="1" s="1"/>
  <c r="WQB42" i="1"/>
  <c r="WQB43" i="1" s="1"/>
  <c r="WQA42" i="1"/>
  <c r="WQA43" i="1" s="1"/>
  <c r="WPZ42" i="1"/>
  <c r="WPZ43" i="1" s="1"/>
  <c r="WPY42" i="1"/>
  <c r="WPY43" i="1" s="1"/>
  <c r="WPX42" i="1"/>
  <c r="WPX43" i="1" s="1"/>
  <c r="WPW42" i="1"/>
  <c r="WPW43" i="1" s="1"/>
  <c r="WPV42" i="1"/>
  <c r="WPV43" i="1" s="1"/>
  <c r="WPU42" i="1"/>
  <c r="WPU43" i="1" s="1"/>
  <c r="WPT42" i="1"/>
  <c r="WPT43" i="1" s="1"/>
  <c r="WPS42" i="1"/>
  <c r="WPS43" i="1" s="1"/>
  <c r="WPR42" i="1"/>
  <c r="WPR43" i="1" s="1"/>
  <c r="WPQ42" i="1"/>
  <c r="WPQ43" i="1" s="1"/>
  <c r="WPP42" i="1"/>
  <c r="WPP43" i="1" s="1"/>
  <c r="WPO42" i="1"/>
  <c r="WPO43" i="1" s="1"/>
  <c r="WPN42" i="1"/>
  <c r="WPN43" i="1" s="1"/>
  <c r="WPM42" i="1"/>
  <c r="WPM43" i="1" s="1"/>
  <c r="WPL42" i="1"/>
  <c r="WPL43" i="1" s="1"/>
  <c r="WPK42" i="1"/>
  <c r="WPK43" i="1" s="1"/>
  <c r="WPJ42" i="1"/>
  <c r="WPJ43" i="1" s="1"/>
  <c r="WPI42" i="1"/>
  <c r="WPI43" i="1" s="1"/>
  <c r="WPH42" i="1"/>
  <c r="WPH43" i="1" s="1"/>
  <c r="WPG42" i="1"/>
  <c r="WPG43" i="1" s="1"/>
  <c r="WPF42" i="1"/>
  <c r="WPF43" i="1" s="1"/>
  <c r="WPE42" i="1"/>
  <c r="WPE43" i="1" s="1"/>
  <c r="WPD42" i="1"/>
  <c r="WPD43" i="1" s="1"/>
  <c r="WPC42" i="1"/>
  <c r="WPC43" i="1" s="1"/>
  <c r="WPB42" i="1"/>
  <c r="WPB43" i="1" s="1"/>
  <c r="WPA42" i="1"/>
  <c r="WPA43" i="1" s="1"/>
  <c r="WOZ42" i="1"/>
  <c r="WOZ43" i="1" s="1"/>
  <c r="WOY42" i="1"/>
  <c r="WOY43" i="1" s="1"/>
  <c r="WOX42" i="1"/>
  <c r="WOX43" i="1" s="1"/>
  <c r="WOW42" i="1"/>
  <c r="WOW43" i="1" s="1"/>
  <c r="WOV42" i="1"/>
  <c r="WOV43" i="1" s="1"/>
  <c r="WOU42" i="1"/>
  <c r="WOU43" i="1" s="1"/>
  <c r="WOT42" i="1"/>
  <c r="WOT43" i="1" s="1"/>
  <c r="WOS42" i="1"/>
  <c r="WOS43" i="1" s="1"/>
  <c r="WOR42" i="1"/>
  <c r="WOR43" i="1" s="1"/>
  <c r="WOQ42" i="1"/>
  <c r="WOQ43" i="1" s="1"/>
  <c r="WOP42" i="1"/>
  <c r="WOP43" i="1" s="1"/>
  <c r="WOO42" i="1"/>
  <c r="WOO43" i="1" s="1"/>
  <c r="WON42" i="1"/>
  <c r="WON43" i="1" s="1"/>
  <c r="WOM42" i="1"/>
  <c r="WOM43" i="1" s="1"/>
  <c r="WOL42" i="1"/>
  <c r="WOL43" i="1" s="1"/>
  <c r="WOK42" i="1"/>
  <c r="WOK43" i="1" s="1"/>
  <c r="WOJ42" i="1"/>
  <c r="WOJ43" i="1" s="1"/>
  <c r="WOI42" i="1"/>
  <c r="WOI43" i="1" s="1"/>
  <c r="WOH42" i="1"/>
  <c r="WOH43" i="1" s="1"/>
  <c r="WOG42" i="1"/>
  <c r="WOG43" i="1" s="1"/>
  <c r="WOF42" i="1"/>
  <c r="WOF43" i="1" s="1"/>
  <c r="WOE42" i="1"/>
  <c r="WOE43" i="1" s="1"/>
  <c r="WOD42" i="1"/>
  <c r="WOD43" i="1" s="1"/>
  <c r="WOC42" i="1"/>
  <c r="WOC43" i="1" s="1"/>
  <c r="WOB42" i="1"/>
  <c r="WOB43" i="1" s="1"/>
  <c r="WOA42" i="1"/>
  <c r="WOA43" i="1" s="1"/>
  <c r="WNZ42" i="1"/>
  <c r="WNZ43" i="1" s="1"/>
  <c r="WNY42" i="1"/>
  <c r="WNY43" i="1" s="1"/>
  <c r="WNX42" i="1"/>
  <c r="WNX43" i="1" s="1"/>
  <c r="WNW42" i="1"/>
  <c r="WNW43" i="1" s="1"/>
  <c r="WNV42" i="1"/>
  <c r="WNV43" i="1" s="1"/>
  <c r="WNU42" i="1"/>
  <c r="WNU43" i="1" s="1"/>
  <c r="WNT42" i="1"/>
  <c r="WNT43" i="1" s="1"/>
  <c r="WNS42" i="1"/>
  <c r="WNS43" i="1" s="1"/>
  <c r="WNR42" i="1"/>
  <c r="WNR43" i="1" s="1"/>
  <c r="WNQ42" i="1"/>
  <c r="WNQ43" i="1" s="1"/>
  <c r="WNP42" i="1"/>
  <c r="WNP43" i="1" s="1"/>
  <c r="WNO42" i="1"/>
  <c r="WNO43" i="1" s="1"/>
  <c r="WNN42" i="1"/>
  <c r="WNN43" i="1" s="1"/>
  <c r="WNM42" i="1"/>
  <c r="WNM43" i="1" s="1"/>
  <c r="WNL42" i="1"/>
  <c r="WNL43" i="1" s="1"/>
  <c r="WNK42" i="1"/>
  <c r="WNK43" i="1" s="1"/>
  <c r="WNJ42" i="1"/>
  <c r="WNJ43" i="1" s="1"/>
  <c r="WNI42" i="1"/>
  <c r="WNI43" i="1" s="1"/>
  <c r="WNH42" i="1"/>
  <c r="WNH43" i="1" s="1"/>
  <c r="WNG42" i="1"/>
  <c r="WNG43" i="1" s="1"/>
  <c r="WNF42" i="1"/>
  <c r="WNF43" i="1" s="1"/>
  <c r="WNE42" i="1"/>
  <c r="WNE43" i="1" s="1"/>
  <c r="WND42" i="1"/>
  <c r="WND43" i="1" s="1"/>
  <c r="WNC42" i="1"/>
  <c r="WNC43" i="1" s="1"/>
  <c r="WNB42" i="1"/>
  <c r="WNB43" i="1" s="1"/>
  <c r="WNA42" i="1"/>
  <c r="WNA43" i="1" s="1"/>
  <c r="WMZ42" i="1"/>
  <c r="WMZ43" i="1" s="1"/>
  <c r="WMY42" i="1"/>
  <c r="WMY43" i="1" s="1"/>
  <c r="WMX42" i="1"/>
  <c r="WMX43" i="1" s="1"/>
  <c r="WMW42" i="1"/>
  <c r="WMW43" i="1" s="1"/>
  <c r="WMV42" i="1"/>
  <c r="WMV43" i="1" s="1"/>
  <c r="WMU42" i="1"/>
  <c r="WMU43" i="1" s="1"/>
  <c r="WMT42" i="1"/>
  <c r="WMT43" i="1" s="1"/>
  <c r="WMS42" i="1"/>
  <c r="WMS43" i="1" s="1"/>
  <c r="WMR42" i="1"/>
  <c r="WMR43" i="1" s="1"/>
  <c r="WMQ42" i="1"/>
  <c r="WMQ43" i="1" s="1"/>
  <c r="WMP42" i="1"/>
  <c r="WMP43" i="1" s="1"/>
  <c r="WMO42" i="1"/>
  <c r="WMO43" i="1" s="1"/>
  <c r="WMN42" i="1"/>
  <c r="WMN43" i="1" s="1"/>
  <c r="WMM42" i="1"/>
  <c r="WMM43" i="1" s="1"/>
  <c r="WML42" i="1"/>
  <c r="WML43" i="1" s="1"/>
  <c r="WMK42" i="1"/>
  <c r="WMK43" i="1" s="1"/>
  <c r="WMJ42" i="1"/>
  <c r="WMJ43" i="1" s="1"/>
  <c r="WMI42" i="1"/>
  <c r="WMI43" i="1" s="1"/>
  <c r="WMH42" i="1"/>
  <c r="WMH43" i="1" s="1"/>
  <c r="WMG42" i="1"/>
  <c r="WMG43" i="1" s="1"/>
  <c r="WMF42" i="1"/>
  <c r="WMF43" i="1" s="1"/>
  <c r="WME42" i="1"/>
  <c r="WME43" i="1" s="1"/>
  <c r="WMD42" i="1"/>
  <c r="WMD43" i="1" s="1"/>
  <c r="WMC42" i="1"/>
  <c r="WMC43" i="1" s="1"/>
  <c r="WMB42" i="1"/>
  <c r="WMB43" i="1" s="1"/>
  <c r="WMA42" i="1"/>
  <c r="WMA43" i="1" s="1"/>
  <c r="WLZ42" i="1"/>
  <c r="WLZ43" i="1" s="1"/>
  <c r="WLY42" i="1"/>
  <c r="WLY43" i="1" s="1"/>
  <c r="WLX42" i="1"/>
  <c r="WLX43" i="1" s="1"/>
  <c r="WLW42" i="1"/>
  <c r="WLW43" i="1" s="1"/>
  <c r="WLV42" i="1"/>
  <c r="WLV43" i="1" s="1"/>
  <c r="WLU42" i="1"/>
  <c r="WLU43" i="1" s="1"/>
  <c r="WLT42" i="1"/>
  <c r="WLT43" i="1" s="1"/>
  <c r="WLS42" i="1"/>
  <c r="WLS43" i="1" s="1"/>
  <c r="WLR42" i="1"/>
  <c r="WLR43" i="1" s="1"/>
  <c r="WLQ42" i="1"/>
  <c r="WLQ43" i="1" s="1"/>
  <c r="WLP42" i="1"/>
  <c r="WLP43" i="1" s="1"/>
  <c r="WLO42" i="1"/>
  <c r="WLO43" i="1" s="1"/>
  <c r="WLN42" i="1"/>
  <c r="WLN43" i="1" s="1"/>
  <c r="WLM42" i="1"/>
  <c r="WLM43" i="1" s="1"/>
  <c r="WLL42" i="1"/>
  <c r="WLL43" i="1" s="1"/>
  <c r="WLK42" i="1"/>
  <c r="WLK43" i="1" s="1"/>
  <c r="WLJ42" i="1"/>
  <c r="WLJ43" i="1" s="1"/>
  <c r="WLI42" i="1"/>
  <c r="WLI43" i="1" s="1"/>
  <c r="WLH42" i="1"/>
  <c r="WLH43" i="1" s="1"/>
  <c r="WLG42" i="1"/>
  <c r="WLG43" i="1" s="1"/>
  <c r="WLF42" i="1"/>
  <c r="WLF43" i="1" s="1"/>
  <c r="WLE42" i="1"/>
  <c r="WLE43" i="1" s="1"/>
  <c r="WLD42" i="1"/>
  <c r="WLD43" i="1" s="1"/>
  <c r="WLC42" i="1"/>
  <c r="WLC43" i="1" s="1"/>
  <c r="WLB42" i="1"/>
  <c r="WLB43" i="1" s="1"/>
  <c r="WLA42" i="1"/>
  <c r="WLA43" i="1" s="1"/>
  <c r="WKZ42" i="1"/>
  <c r="WKZ43" i="1" s="1"/>
  <c r="WKY42" i="1"/>
  <c r="WKY43" i="1" s="1"/>
  <c r="WKX42" i="1"/>
  <c r="WKX43" i="1" s="1"/>
  <c r="WKW42" i="1"/>
  <c r="WKW43" i="1" s="1"/>
  <c r="WKV42" i="1"/>
  <c r="WKV43" i="1" s="1"/>
  <c r="WKU42" i="1"/>
  <c r="WKU43" i="1" s="1"/>
  <c r="WKT42" i="1"/>
  <c r="WKT43" i="1" s="1"/>
  <c r="WKS42" i="1"/>
  <c r="WKS43" i="1" s="1"/>
  <c r="WKR42" i="1"/>
  <c r="WKR43" i="1" s="1"/>
  <c r="WKQ42" i="1"/>
  <c r="WKQ43" i="1" s="1"/>
  <c r="WKP42" i="1"/>
  <c r="WKP43" i="1" s="1"/>
  <c r="WKO42" i="1"/>
  <c r="WKO43" i="1" s="1"/>
  <c r="WKN42" i="1"/>
  <c r="WKN43" i="1" s="1"/>
  <c r="WKM42" i="1"/>
  <c r="WKM43" i="1" s="1"/>
  <c r="WKL42" i="1"/>
  <c r="WKL43" i="1" s="1"/>
  <c r="WKK42" i="1"/>
  <c r="WKK43" i="1" s="1"/>
  <c r="WKJ42" i="1"/>
  <c r="WKJ43" i="1" s="1"/>
  <c r="WKI42" i="1"/>
  <c r="WKI43" i="1" s="1"/>
  <c r="WKH42" i="1"/>
  <c r="WKH43" i="1" s="1"/>
  <c r="WKG42" i="1"/>
  <c r="WKG43" i="1" s="1"/>
  <c r="WKF42" i="1"/>
  <c r="WKF43" i="1" s="1"/>
  <c r="WKE42" i="1"/>
  <c r="WKE43" i="1" s="1"/>
  <c r="WKD42" i="1"/>
  <c r="WKD43" i="1" s="1"/>
  <c r="WKC42" i="1"/>
  <c r="WKC43" i="1" s="1"/>
  <c r="WKB42" i="1"/>
  <c r="WKB43" i="1" s="1"/>
  <c r="WKA42" i="1"/>
  <c r="WKA43" i="1" s="1"/>
  <c r="WJZ42" i="1"/>
  <c r="WJZ43" i="1" s="1"/>
  <c r="WJY42" i="1"/>
  <c r="WJY43" i="1" s="1"/>
  <c r="WJX42" i="1"/>
  <c r="WJX43" i="1" s="1"/>
  <c r="WJW42" i="1"/>
  <c r="WJW43" i="1" s="1"/>
  <c r="WJV42" i="1"/>
  <c r="WJV43" i="1" s="1"/>
  <c r="WJU42" i="1"/>
  <c r="WJU43" i="1" s="1"/>
  <c r="WJT42" i="1"/>
  <c r="WJT43" i="1" s="1"/>
  <c r="WJS42" i="1"/>
  <c r="WJS43" i="1" s="1"/>
  <c r="WJR42" i="1"/>
  <c r="WJR43" i="1" s="1"/>
  <c r="WJQ42" i="1"/>
  <c r="WJQ43" i="1" s="1"/>
  <c r="WJP42" i="1"/>
  <c r="WJP43" i="1" s="1"/>
  <c r="WJO42" i="1"/>
  <c r="WJO43" i="1" s="1"/>
  <c r="WJN42" i="1"/>
  <c r="WJN43" i="1" s="1"/>
  <c r="WJM42" i="1"/>
  <c r="WJM43" i="1" s="1"/>
  <c r="WJL42" i="1"/>
  <c r="WJL43" i="1" s="1"/>
  <c r="WJK42" i="1"/>
  <c r="WJK43" i="1" s="1"/>
  <c r="WJJ42" i="1"/>
  <c r="WJJ43" i="1" s="1"/>
  <c r="WJI42" i="1"/>
  <c r="WJI43" i="1" s="1"/>
  <c r="WJH42" i="1"/>
  <c r="WJH43" i="1" s="1"/>
  <c r="WJG42" i="1"/>
  <c r="WJG43" i="1" s="1"/>
  <c r="WJF42" i="1"/>
  <c r="WJF43" i="1" s="1"/>
  <c r="WJE42" i="1"/>
  <c r="WJE43" i="1" s="1"/>
  <c r="WJD42" i="1"/>
  <c r="WJD43" i="1" s="1"/>
  <c r="WJC42" i="1"/>
  <c r="WJC43" i="1" s="1"/>
  <c r="WJB42" i="1"/>
  <c r="WJB43" i="1" s="1"/>
  <c r="WJA42" i="1"/>
  <c r="WJA43" i="1" s="1"/>
  <c r="WIZ42" i="1"/>
  <c r="WIZ43" i="1" s="1"/>
  <c r="WIY42" i="1"/>
  <c r="WIY43" i="1" s="1"/>
  <c r="WIX42" i="1"/>
  <c r="WIX43" i="1" s="1"/>
  <c r="WIW42" i="1"/>
  <c r="WIW43" i="1" s="1"/>
  <c r="WIV42" i="1"/>
  <c r="WIV43" i="1" s="1"/>
  <c r="WIU42" i="1"/>
  <c r="WIU43" i="1" s="1"/>
  <c r="WIT42" i="1"/>
  <c r="WIT43" i="1" s="1"/>
  <c r="WIS42" i="1"/>
  <c r="WIS43" i="1" s="1"/>
  <c r="WIR42" i="1"/>
  <c r="WIR43" i="1" s="1"/>
  <c r="WIQ42" i="1"/>
  <c r="WIQ43" i="1" s="1"/>
  <c r="WIP42" i="1"/>
  <c r="WIP43" i="1" s="1"/>
  <c r="WIO42" i="1"/>
  <c r="WIO43" i="1" s="1"/>
  <c r="WIN42" i="1"/>
  <c r="WIN43" i="1" s="1"/>
  <c r="WIM42" i="1"/>
  <c r="WIM43" i="1" s="1"/>
  <c r="WIL42" i="1"/>
  <c r="WIL43" i="1" s="1"/>
  <c r="WIK42" i="1"/>
  <c r="WIK43" i="1" s="1"/>
  <c r="WIJ42" i="1"/>
  <c r="WIJ43" i="1" s="1"/>
  <c r="WII42" i="1"/>
  <c r="WII43" i="1" s="1"/>
  <c r="WIH42" i="1"/>
  <c r="WIH43" i="1" s="1"/>
  <c r="WIG42" i="1"/>
  <c r="WIG43" i="1" s="1"/>
  <c r="WIF42" i="1"/>
  <c r="WIF43" i="1" s="1"/>
  <c r="WIE42" i="1"/>
  <c r="WIE43" i="1" s="1"/>
  <c r="WID42" i="1"/>
  <c r="WID43" i="1" s="1"/>
  <c r="WIC42" i="1"/>
  <c r="WIC43" i="1" s="1"/>
  <c r="WIB42" i="1"/>
  <c r="WIB43" i="1" s="1"/>
  <c r="WIA42" i="1"/>
  <c r="WIA43" i="1" s="1"/>
  <c r="WHZ42" i="1"/>
  <c r="WHZ43" i="1" s="1"/>
  <c r="WHY42" i="1"/>
  <c r="WHY43" i="1" s="1"/>
  <c r="WHX42" i="1"/>
  <c r="WHX43" i="1" s="1"/>
  <c r="WHW42" i="1"/>
  <c r="WHW43" i="1" s="1"/>
  <c r="WHV42" i="1"/>
  <c r="WHV43" i="1" s="1"/>
  <c r="WHU42" i="1"/>
  <c r="WHU43" i="1" s="1"/>
  <c r="WHT42" i="1"/>
  <c r="WHT43" i="1" s="1"/>
  <c r="WHS42" i="1"/>
  <c r="WHS43" i="1" s="1"/>
  <c r="WHR42" i="1"/>
  <c r="WHR43" i="1" s="1"/>
  <c r="WHQ42" i="1"/>
  <c r="WHQ43" i="1" s="1"/>
  <c r="WHP42" i="1"/>
  <c r="WHP43" i="1" s="1"/>
  <c r="WHO42" i="1"/>
  <c r="WHO43" i="1" s="1"/>
  <c r="WHN42" i="1"/>
  <c r="WHN43" i="1" s="1"/>
  <c r="WHM42" i="1"/>
  <c r="WHM43" i="1" s="1"/>
  <c r="WHL42" i="1"/>
  <c r="WHL43" i="1" s="1"/>
  <c r="WHK42" i="1"/>
  <c r="WHK43" i="1" s="1"/>
  <c r="WHJ42" i="1"/>
  <c r="WHJ43" i="1" s="1"/>
  <c r="WHI42" i="1"/>
  <c r="WHI43" i="1" s="1"/>
  <c r="WHH42" i="1"/>
  <c r="WHH43" i="1" s="1"/>
  <c r="WHG42" i="1"/>
  <c r="WHG43" i="1" s="1"/>
  <c r="WHF42" i="1"/>
  <c r="WHF43" i="1" s="1"/>
  <c r="WHE42" i="1"/>
  <c r="WHE43" i="1" s="1"/>
  <c r="WHD42" i="1"/>
  <c r="WHD43" i="1" s="1"/>
  <c r="WHC42" i="1"/>
  <c r="WHC43" i="1" s="1"/>
  <c r="WHB42" i="1"/>
  <c r="WHB43" i="1" s="1"/>
  <c r="WHA42" i="1"/>
  <c r="WHA43" i="1" s="1"/>
  <c r="WGZ42" i="1"/>
  <c r="WGZ43" i="1" s="1"/>
  <c r="WGY42" i="1"/>
  <c r="WGY43" i="1" s="1"/>
  <c r="WGX42" i="1"/>
  <c r="WGX43" i="1" s="1"/>
  <c r="WGW42" i="1"/>
  <c r="WGW43" i="1" s="1"/>
  <c r="WGV42" i="1"/>
  <c r="WGV43" i="1" s="1"/>
  <c r="WGU42" i="1"/>
  <c r="WGU43" i="1" s="1"/>
  <c r="WGT42" i="1"/>
  <c r="WGT43" i="1" s="1"/>
  <c r="WGS42" i="1"/>
  <c r="WGS43" i="1" s="1"/>
  <c r="WGR42" i="1"/>
  <c r="WGR43" i="1" s="1"/>
  <c r="WGQ42" i="1"/>
  <c r="WGQ43" i="1" s="1"/>
  <c r="WGP42" i="1"/>
  <c r="WGP43" i="1" s="1"/>
  <c r="WGO42" i="1"/>
  <c r="WGO43" i="1" s="1"/>
  <c r="WGN42" i="1"/>
  <c r="WGN43" i="1" s="1"/>
  <c r="WGM42" i="1"/>
  <c r="WGM43" i="1" s="1"/>
  <c r="WGL42" i="1"/>
  <c r="WGL43" i="1" s="1"/>
  <c r="WGK42" i="1"/>
  <c r="WGK43" i="1" s="1"/>
  <c r="WGJ42" i="1"/>
  <c r="WGJ43" i="1" s="1"/>
  <c r="WGI42" i="1"/>
  <c r="WGI43" i="1" s="1"/>
  <c r="WGH42" i="1"/>
  <c r="WGH43" i="1" s="1"/>
  <c r="WGG42" i="1"/>
  <c r="WGG43" i="1" s="1"/>
  <c r="WGF42" i="1"/>
  <c r="WGF43" i="1" s="1"/>
  <c r="WGE42" i="1"/>
  <c r="WGE43" i="1" s="1"/>
  <c r="WGD42" i="1"/>
  <c r="WGD43" i="1" s="1"/>
  <c r="WGC42" i="1"/>
  <c r="WGC43" i="1" s="1"/>
  <c r="WGB42" i="1"/>
  <c r="WGB43" i="1" s="1"/>
  <c r="WGA42" i="1"/>
  <c r="WGA43" i="1" s="1"/>
  <c r="WFZ42" i="1"/>
  <c r="WFZ43" i="1" s="1"/>
  <c r="WFY42" i="1"/>
  <c r="WFY43" i="1" s="1"/>
  <c r="WFX42" i="1"/>
  <c r="WFX43" i="1" s="1"/>
  <c r="WFW42" i="1"/>
  <c r="WFW43" i="1" s="1"/>
  <c r="WFV42" i="1"/>
  <c r="WFV43" i="1" s="1"/>
  <c r="WFU42" i="1"/>
  <c r="WFU43" i="1" s="1"/>
  <c r="WFT42" i="1"/>
  <c r="WFT43" i="1" s="1"/>
  <c r="WFS42" i="1"/>
  <c r="WFS43" i="1" s="1"/>
  <c r="WFR42" i="1"/>
  <c r="WFR43" i="1" s="1"/>
  <c r="WFQ42" i="1"/>
  <c r="WFQ43" i="1" s="1"/>
  <c r="WFP42" i="1"/>
  <c r="WFP43" i="1" s="1"/>
  <c r="WFO42" i="1"/>
  <c r="WFO43" i="1" s="1"/>
  <c r="WFN42" i="1"/>
  <c r="WFN43" i="1" s="1"/>
  <c r="WFM42" i="1"/>
  <c r="WFM43" i="1" s="1"/>
  <c r="WFL42" i="1"/>
  <c r="WFL43" i="1" s="1"/>
  <c r="WFK42" i="1"/>
  <c r="WFK43" i="1" s="1"/>
  <c r="WFJ42" i="1"/>
  <c r="WFJ43" i="1" s="1"/>
  <c r="WFI42" i="1"/>
  <c r="WFI43" i="1" s="1"/>
  <c r="WFH42" i="1"/>
  <c r="WFH43" i="1" s="1"/>
  <c r="WFG42" i="1"/>
  <c r="WFG43" i="1" s="1"/>
  <c r="WFF42" i="1"/>
  <c r="WFF43" i="1" s="1"/>
  <c r="WFE42" i="1"/>
  <c r="WFE43" i="1" s="1"/>
  <c r="WFD42" i="1"/>
  <c r="WFD43" i="1" s="1"/>
  <c r="WFC42" i="1"/>
  <c r="WFC43" i="1" s="1"/>
  <c r="WFB42" i="1"/>
  <c r="WFB43" i="1" s="1"/>
  <c r="WFA42" i="1"/>
  <c r="WFA43" i="1" s="1"/>
  <c r="WEZ42" i="1"/>
  <c r="WEZ43" i="1" s="1"/>
  <c r="WEY42" i="1"/>
  <c r="WEY43" i="1" s="1"/>
  <c r="WEX42" i="1"/>
  <c r="WEX43" i="1" s="1"/>
  <c r="WEW42" i="1"/>
  <c r="WEW43" i="1" s="1"/>
  <c r="WEV42" i="1"/>
  <c r="WEV43" i="1" s="1"/>
  <c r="WEU42" i="1"/>
  <c r="WEU43" i="1" s="1"/>
  <c r="WET42" i="1"/>
  <c r="WET43" i="1" s="1"/>
  <c r="WES42" i="1"/>
  <c r="WES43" i="1" s="1"/>
  <c r="WER42" i="1"/>
  <c r="WER43" i="1" s="1"/>
  <c r="WEQ42" i="1"/>
  <c r="WEQ43" i="1" s="1"/>
  <c r="WEP42" i="1"/>
  <c r="WEP43" i="1" s="1"/>
  <c r="WEO42" i="1"/>
  <c r="WEO43" i="1" s="1"/>
  <c r="WEN42" i="1"/>
  <c r="WEN43" i="1" s="1"/>
  <c r="WEM42" i="1"/>
  <c r="WEM43" i="1" s="1"/>
  <c r="WEL42" i="1"/>
  <c r="WEL43" i="1" s="1"/>
  <c r="WEK42" i="1"/>
  <c r="WEK43" i="1" s="1"/>
  <c r="WEJ42" i="1"/>
  <c r="WEJ43" i="1" s="1"/>
  <c r="WEI42" i="1"/>
  <c r="WEI43" i="1" s="1"/>
  <c r="WEH42" i="1"/>
  <c r="WEH43" i="1" s="1"/>
  <c r="WEG42" i="1"/>
  <c r="WEG43" i="1" s="1"/>
  <c r="WEF42" i="1"/>
  <c r="WEF43" i="1" s="1"/>
  <c r="WEE42" i="1"/>
  <c r="WEE43" i="1" s="1"/>
  <c r="WED42" i="1"/>
  <c r="WED43" i="1" s="1"/>
  <c r="WEC42" i="1"/>
  <c r="WEC43" i="1" s="1"/>
  <c r="WEB42" i="1"/>
  <c r="WEB43" i="1" s="1"/>
  <c r="WEA42" i="1"/>
  <c r="WEA43" i="1" s="1"/>
  <c r="WDZ42" i="1"/>
  <c r="WDZ43" i="1" s="1"/>
  <c r="WDY42" i="1"/>
  <c r="WDY43" i="1" s="1"/>
  <c r="WDX42" i="1"/>
  <c r="WDX43" i="1" s="1"/>
  <c r="WDW42" i="1"/>
  <c r="WDW43" i="1" s="1"/>
  <c r="WDV42" i="1"/>
  <c r="WDV43" i="1" s="1"/>
  <c r="WDU42" i="1"/>
  <c r="WDU43" i="1" s="1"/>
  <c r="WDT42" i="1"/>
  <c r="WDT43" i="1" s="1"/>
  <c r="WDS42" i="1"/>
  <c r="WDS43" i="1" s="1"/>
  <c r="WDR42" i="1"/>
  <c r="WDR43" i="1" s="1"/>
  <c r="WDQ42" i="1"/>
  <c r="WDQ43" i="1" s="1"/>
  <c r="WDP42" i="1"/>
  <c r="WDP43" i="1" s="1"/>
  <c r="WDO42" i="1"/>
  <c r="WDO43" i="1" s="1"/>
  <c r="WDN42" i="1"/>
  <c r="WDN43" i="1" s="1"/>
  <c r="WDM42" i="1"/>
  <c r="WDM43" i="1" s="1"/>
  <c r="WDL42" i="1"/>
  <c r="WDL43" i="1" s="1"/>
  <c r="WDK42" i="1"/>
  <c r="WDK43" i="1" s="1"/>
  <c r="WDJ42" i="1"/>
  <c r="WDJ43" i="1" s="1"/>
  <c r="WDI42" i="1"/>
  <c r="WDI43" i="1" s="1"/>
  <c r="WDH42" i="1"/>
  <c r="WDH43" i="1" s="1"/>
  <c r="WDG42" i="1"/>
  <c r="WDG43" i="1" s="1"/>
  <c r="WDF42" i="1"/>
  <c r="WDF43" i="1" s="1"/>
  <c r="WDE42" i="1"/>
  <c r="WDE43" i="1" s="1"/>
  <c r="WDD42" i="1"/>
  <c r="WDD43" i="1" s="1"/>
  <c r="WDC42" i="1"/>
  <c r="WDC43" i="1" s="1"/>
  <c r="WDB42" i="1"/>
  <c r="WDB43" i="1" s="1"/>
  <c r="WDA42" i="1"/>
  <c r="WDA43" i="1" s="1"/>
  <c r="WCZ42" i="1"/>
  <c r="WCZ43" i="1" s="1"/>
  <c r="WCY42" i="1"/>
  <c r="WCY43" i="1" s="1"/>
  <c r="WCX42" i="1"/>
  <c r="WCX43" i="1" s="1"/>
  <c r="WCW42" i="1"/>
  <c r="WCW43" i="1" s="1"/>
  <c r="WCV42" i="1"/>
  <c r="WCV43" i="1" s="1"/>
  <c r="WCU42" i="1"/>
  <c r="WCU43" i="1" s="1"/>
  <c r="WCT42" i="1"/>
  <c r="WCT43" i="1" s="1"/>
  <c r="WCS42" i="1"/>
  <c r="WCS43" i="1" s="1"/>
  <c r="WCR42" i="1"/>
  <c r="WCR43" i="1" s="1"/>
  <c r="WCQ42" i="1"/>
  <c r="WCQ43" i="1" s="1"/>
  <c r="WCP42" i="1"/>
  <c r="WCP43" i="1" s="1"/>
  <c r="WCO42" i="1"/>
  <c r="WCO43" i="1" s="1"/>
  <c r="WCN42" i="1"/>
  <c r="WCN43" i="1" s="1"/>
  <c r="WCM42" i="1"/>
  <c r="WCM43" i="1" s="1"/>
  <c r="WCL42" i="1"/>
  <c r="WCL43" i="1" s="1"/>
  <c r="WCK42" i="1"/>
  <c r="WCK43" i="1" s="1"/>
  <c r="WCJ42" i="1"/>
  <c r="WCJ43" i="1" s="1"/>
  <c r="WCI42" i="1"/>
  <c r="WCI43" i="1" s="1"/>
  <c r="WCH42" i="1"/>
  <c r="WCH43" i="1" s="1"/>
  <c r="WCG42" i="1"/>
  <c r="WCG43" i="1" s="1"/>
  <c r="WCF42" i="1"/>
  <c r="WCF43" i="1" s="1"/>
  <c r="WCE42" i="1"/>
  <c r="WCE43" i="1" s="1"/>
  <c r="WCD42" i="1"/>
  <c r="WCD43" i="1" s="1"/>
  <c r="WCC42" i="1"/>
  <c r="WCC43" i="1" s="1"/>
  <c r="WCB42" i="1"/>
  <c r="WCB43" i="1" s="1"/>
  <c r="WCA42" i="1"/>
  <c r="WCA43" i="1" s="1"/>
  <c r="WBZ42" i="1"/>
  <c r="WBZ43" i="1" s="1"/>
  <c r="WBY42" i="1"/>
  <c r="WBY43" i="1" s="1"/>
  <c r="WBX42" i="1"/>
  <c r="WBX43" i="1" s="1"/>
  <c r="WBW42" i="1"/>
  <c r="WBW43" i="1" s="1"/>
  <c r="WBV42" i="1"/>
  <c r="WBV43" i="1" s="1"/>
  <c r="WBU42" i="1"/>
  <c r="WBU43" i="1" s="1"/>
  <c r="WBT42" i="1"/>
  <c r="WBT43" i="1" s="1"/>
  <c r="WBS42" i="1"/>
  <c r="WBS43" i="1" s="1"/>
  <c r="WBR42" i="1"/>
  <c r="WBR43" i="1" s="1"/>
  <c r="WBQ42" i="1"/>
  <c r="WBQ43" i="1" s="1"/>
  <c r="WBP42" i="1"/>
  <c r="WBP43" i="1" s="1"/>
  <c r="WBO42" i="1"/>
  <c r="WBO43" i="1" s="1"/>
  <c r="WBN42" i="1"/>
  <c r="WBN43" i="1" s="1"/>
  <c r="WBM42" i="1"/>
  <c r="WBM43" i="1" s="1"/>
  <c r="WBL42" i="1"/>
  <c r="WBL43" i="1" s="1"/>
  <c r="WBK42" i="1"/>
  <c r="WBK43" i="1" s="1"/>
  <c r="WBJ42" i="1"/>
  <c r="WBJ43" i="1" s="1"/>
  <c r="WBI42" i="1"/>
  <c r="WBI43" i="1" s="1"/>
  <c r="WBH42" i="1"/>
  <c r="WBH43" i="1" s="1"/>
  <c r="WBG42" i="1"/>
  <c r="WBG43" i="1" s="1"/>
  <c r="WBF42" i="1"/>
  <c r="WBF43" i="1" s="1"/>
  <c r="WBE42" i="1"/>
  <c r="WBE43" i="1" s="1"/>
  <c r="WBD42" i="1"/>
  <c r="WBD43" i="1" s="1"/>
  <c r="WBC42" i="1"/>
  <c r="WBC43" i="1" s="1"/>
  <c r="WBB42" i="1"/>
  <c r="WBB43" i="1" s="1"/>
  <c r="WBA42" i="1"/>
  <c r="WBA43" i="1" s="1"/>
  <c r="WAZ42" i="1"/>
  <c r="WAZ43" i="1" s="1"/>
  <c r="WAY42" i="1"/>
  <c r="WAY43" i="1" s="1"/>
  <c r="WAX42" i="1"/>
  <c r="WAX43" i="1" s="1"/>
  <c r="WAW42" i="1"/>
  <c r="WAW43" i="1" s="1"/>
  <c r="WAV42" i="1"/>
  <c r="WAV43" i="1" s="1"/>
  <c r="WAU42" i="1"/>
  <c r="WAU43" i="1" s="1"/>
  <c r="WAT42" i="1"/>
  <c r="WAT43" i="1" s="1"/>
  <c r="WAS42" i="1"/>
  <c r="WAS43" i="1" s="1"/>
  <c r="WAR42" i="1"/>
  <c r="WAR43" i="1" s="1"/>
  <c r="WAQ42" i="1"/>
  <c r="WAQ43" i="1" s="1"/>
  <c r="WAP42" i="1"/>
  <c r="WAP43" i="1" s="1"/>
  <c r="WAO42" i="1"/>
  <c r="WAO43" i="1" s="1"/>
  <c r="WAN42" i="1"/>
  <c r="WAN43" i="1" s="1"/>
  <c r="WAM42" i="1"/>
  <c r="WAM43" i="1" s="1"/>
  <c r="WAL42" i="1"/>
  <c r="WAL43" i="1" s="1"/>
  <c r="WAK42" i="1"/>
  <c r="WAK43" i="1" s="1"/>
  <c r="WAJ42" i="1"/>
  <c r="WAJ43" i="1" s="1"/>
  <c r="WAI42" i="1"/>
  <c r="WAI43" i="1" s="1"/>
  <c r="WAH42" i="1"/>
  <c r="WAH43" i="1" s="1"/>
  <c r="WAG42" i="1"/>
  <c r="WAG43" i="1" s="1"/>
  <c r="WAF42" i="1"/>
  <c r="WAF43" i="1" s="1"/>
  <c r="WAE42" i="1"/>
  <c r="WAE43" i="1" s="1"/>
  <c r="WAD42" i="1"/>
  <c r="WAD43" i="1" s="1"/>
  <c r="WAC42" i="1"/>
  <c r="WAC43" i="1" s="1"/>
  <c r="WAB42" i="1"/>
  <c r="WAB43" i="1" s="1"/>
  <c r="WAA42" i="1"/>
  <c r="WAA43" i="1" s="1"/>
  <c r="VZZ42" i="1"/>
  <c r="VZZ43" i="1" s="1"/>
  <c r="VZY42" i="1"/>
  <c r="VZY43" i="1" s="1"/>
  <c r="VZX42" i="1"/>
  <c r="VZX43" i="1" s="1"/>
  <c r="VZW42" i="1"/>
  <c r="VZW43" i="1" s="1"/>
  <c r="VZV42" i="1"/>
  <c r="VZV43" i="1" s="1"/>
  <c r="VZU42" i="1"/>
  <c r="VZU43" i="1" s="1"/>
  <c r="VZT42" i="1"/>
  <c r="VZT43" i="1" s="1"/>
  <c r="VZS42" i="1"/>
  <c r="VZS43" i="1" s="1"/>
  <c r="VZR42" i="1"/>
  <c r="VZR43" i="1" s="1"/>
  <c r="VZQ42" i="1"/>
  <c r="VZQ43" i="1" s="1"/>
  <c r="VZP42" i="1"/>
  <c r="VZP43" i="1" s="1"/>
  <c r="VZO42" i="1"/>
  <c r="VZO43" i="1" s="1"/>
  <c r="VZN42" i="1"/>
  <c r="VZN43" i="1" s="1"/>
  <c r="VZM42" i="1"/>
  <c r="VZM43" i="1" s="1"/>
  <c r="VZL42" i="1"/>
  <c r="VZL43" i="1" s="1"/>
  <c r="VZK42" i="1"/>
  <c r="VZK43" i="1" s="1"/>
  <c r="VZJ42" i="1"/>
  <c r="VZJ43" i="1" s="1"/>
  <c r="VZI42" i="1"/>
  <c r="VZI43" i="1" s="1"/>
  <c r="VZH42" i="1"/>
  <c r="VZH43" i="1" s="1"/>
  <c r="VZG42" i="1"/>
  <c r="VZG43" i="1" s="1"/>
  <c r="VZF42" i="1"/>
  <c r="VZF43" i="1" s="1"/>
  <c r="VZE42" i="1"/>
  <c r="VZE43" i="1" s="1"/>
  <c r="VZD42" i="1"/>
  <c r="VZD43" i="1" s="1"/>
  <c r="VZC42" i="1"/>
  <c r="VZC43" i="1" s="1"/>
  <c r="VZB42" i="1"/>
  <c r="VZB43" i="1" s="1"/>
  <c r="VZA42" i="1"/>
  <c r="VZA43" i="1" s="1"/>
  <c r="VYZ42" i="1"/>
  <c r="VYZ43" i="1" s="1"/>
  <c r="VYY42" i="1"/>
  <c r="VYY43" i="1" s="1"/>
  <c r="VYX42" i="1"/>
  <c r="VYX43" i="1" s="1"/>
  <c r="VYW42" i="1"/>
  <c r="VYW43" i="1" s="1"/>
  <c r="VYV42" i="1"/>
  <c r="VYV43" i="1" s="1"/>
  <c r="VYU42" i="1"/>
  <c r="VYU43" i="1" s="1"/>
  <c r="VYT42" i="1"/>
  <c r="VYT43" i="1" s="1"/>
  <c r="VYS42" i="1"/>
  <c r="VYS43" i="1" s="1"/>
  <c r="VYR42" i="1"/>
  <c r="VYR43" i="1" s="1"/>
  <c r="VYQ42" i="1"/>
  <c r="VYQ43" i="1" s="1"/>
  <c r="VYP42" i="1"/>
  <c r="VYP43" i="1" s="1"/>
  <c r="VYO42" i="1"/>
  <c r="VYO43" i="1" s="1"/>
  <c r="VYN42" i="1"/>
  <c r="VYN43" i="1" s="1"/>
  <c r="VYM42" i="1"/>
  <c r="VYM43" i="1" s="1"/>
  <c r="VYL42" i="1"/>
  <c r="VYL43" i="1" s="1"/>
  <c r="VYK42" i="1"/>
  <c r="VYK43" i="1" s="1"/>
  <c r="VYJ42" i="1"/>
  <c r="VYJ43" i="1" s="1"/>
  <c r="VYI42" i="1"/>
  <c r="VYI43" i="1" s="1"/>
  <c r="VYH42" i="1"/>
  <c r="VYH43" i="1" s="1"/>
  <c r="VYG42" i="1"/>
  <c r="VYG43" i="1" s="1"/>
  <c r="VYF42" i="1"/>
  <c r="VYF43" i="1" s="1"/>
  <c r="VYE42" i="1"/>
  <c r="VYE43" i="1" s="1"/>
  <c r="VYD42" i="1"/>
  <c r="VYD43" i="1" s="1"/>
  <c r="VYC42" i="1"/>
  <c r="VYC43" i="1" s="1"/>
  <c r="VYB42" i="1"/>
  <c r="VYB43" i="1" s="1"/>
  <c r="VYA42" i="1"/>
  <c r="VYA43" i="1" s="1"/>
  <c r="VXZ42" i="1"/>
  <c r="VXZ43" i="1" s="1"/>
  <c r="VXY42" i="1"/>
  <c r="VXY43" i="1" s="1"/>
  <c r="VXX42" i="1"/>
  <c r="VXX43" i="1" s="1"/>
  <c r="VXW42" i="1"/>
  <c r="VXW43" i="1" s="1"/>
  <c r="VXV42" i="1"/>
  <c r="VXV43" i="1" s="1"/>
  <c r="VXU42" i="1"/>
  <c r="VXU43" i="1" s="1"/>
  <c r="VXT42" i="1"/>
  <c r="VXT43" i="1" s="1"/>
  <c r="VXS42" i="1"/>
  <c r="VXS43" i="1" s="1"/>
  <c r="VXR42" i="1"/>
  <c r="VXR43" i="1" s="1"/>
  <c r="VXQ42" i="1"/>
  <c r="VXQ43" i="1" s="1"/>
  <c r="VXP42" i="1"/>
  <c r="VXP43" i="1" s="1"/>
  <c r="VXO42" i="1"/>
  <c r="VXO43" i="1" s="1"/>
  <c r="VXN42" i="1"/>
  <c r="VXN43" i="1" s="1"/>
  <c r="VXM42" i="1"/>
  <c r="VXM43" i="1" s="1"/>
  <c r="VXL42" i="1"/>
  <c r="VXL43" i="1" s="1"/>
  <c r="VXK42" i="1"/>
  <c r="VXK43" i="1" s="1"/>
  <c r="VXJ42" i="1"/>
  <c r="VXJ43" i="1" s="1"/>
  <c r="VXI42" i="1"/>
  <c r="VXI43" i="1" s="1"/>
  <c r="VXH42" i="1"/>
  <c r="VXH43" i="1" s="1"/>
  <c r="VXG42" i="1"/>
  <c r="VXG43" i="1" s="1"/>
  <c r="VXF42" i="1"/>
  <c r="VXF43" i="1" s="1"/>
  <c r="VXE42" i="1"/>
  <c r="VXE43" i="1" s="1"/>
  <c r="VXD42" i="1"/>
  <c r="VXD43" i="1" s="1"/>
  <c r="VXC42" i="1"/>
  <c r="VXC43" i="1" s="1"/>
  <c r="VXB42" i="1"/>
  <c r="VXB43" i="1" s="1"/>
  <c r="VXA42" i="1"/>
  <c r="VXA43" i="1" s="1"/>
  <c r="VWZ42" i="1"/>
  <c r="VWZ43" i="1" s="1"/>
  <c r="VWY42" i="1"/>
  <c r="VWY43" i="1" s="1"/>
  <c r="VWX42" i="1"/>
  <c r="VWX43" i="1" s="1"/>
  <c r="VWW42" i="1"/>
  <c r="VWW43" i="1" s="1"/>
  <c r="VWV42" i="1"/>
  <c r="VWV43" i="1" s="1"/>
  <c r="VWU42" i="1"/>
  <c r="VWU43" i="1" s="1"/>
  <c r="VWT42" i="1"/>
  <c r="VWT43" i="1" s="1"/>
  <c r="VWS42" i="1"/>
  <c r="VWS43" i="1" s="1"/>
  <c r="VWR42" i="1"/>
  <c r="VWR43" i="1" s="1"/>
  <c r="VWQ42" i="1"/>
  <c r="VWQ43" i="1" s="1"/>
  <c r="VWP42" i="1"/>
  <c r="VWP43" i="1" s="1"/>
  <c r="VWO42" i="1"/>
  <c r="VWO43" i="1" s="1"/>
  <c r="VWN42" i="1"/>
  <c r="VWN43" i="1" s="1"/>
  <c r="VWM42" i="1"/>
  <c r="VWM43" i="1" s="1"/>
  <c r="VWL42" i="1"/>
  <c r="VWL43" i="1" s="1"/>
  <c r="VWK42" i="1"/>
  <c r="VWK43" i="1" s="1"/>
  <c r="VWJ42" i="1"/>
  <c r="VWJ43" i="1" s="1"/>
  <c r="VWI42" i="1"/>
  <c r="VWI43" i="1" s="1"/>
  <c r="VWH42" i="1"/>
  <c r="VWH43" i="1" s="1"/>
  <c r="VWG42" i="1"/>
  <c r="VWG43" i="1" s="1"/>
  <c r="VWF42" i="1"/>
  <c r="VWF43" i="1" s="1"/>
  <c r="VWE42" i="1"/>
  <c r="VWE43" i="1" s="1"/>
  <c r="VWD42" i="1"/>
  <c r="VWD43" i="1" s="1"/>
  <c r="VWC42" i="1"/>
  <c r="VWC43" i="1" s="1"/>
  <c r="VWB42" i="1"/>
  <c r="VWB43" i="1" s="1"/>
  <c r="VWA42" i="1"/>
  <c r="VWA43" i="1" s="1"/>
  <c r="VVZ42" i="1"/>
  <c r="VVZ43" i="1" s="1"/>
  <c r="VVY42" i="1"/>
  <c r="VVY43" i="1" s="1"/>
  <c r="VVX42" i="1"/>
  <c r="VVX43" i="1" s="1"/>
  <c r="VVW42" i="1"/>
  <c r="VVW43" i="1" s="1"/>
  <c r="VVV42" i="1"/>
  <c r="VVV43" i="1" s="1"/>
  <c r="VVU42" i="1"/>
  <c r="VVU43" i="1" s="1"/>
  <c r="VVT42" i="1"/>
  <c r="VVT43" i="1" s="1"/>
  <c r="VVS42" i="1"/>
  <c r="VVS43" i="1" s="1"/>
  <c r="VVR42" i="1"/>
  <c r="VVR43" i="1" s="1"/>
  <c r="VVQ42" i="1"/>
  <c r="VVQ43" i="1" s="1"/>
  <c r="VVP42" i="1"/>
  <c r="VVP43" i="1" s="1"/>
  <c r="VVO42" i="1"/>
  <c r="VVO43" i="1" s="1"/>
  <c r="VVN42" i="1"/>
  <c r="VVN43" i="1" s="1"/>
  <c r="VVM42" i="1"/>
  <c r="VVM43" i="1" s="1"/>
  <c r="VVL42" i="1"/>
  <c r="VVL43" i="1" s="1"/>
  <c r="VVK42" i="1"/>
  <c r="VVK43" i="1" s="1"/>
  <c r="VVJ42" i="1"/>
  <c r="VVJ43" i="1" s="1"/>
  <c r="VVI42" i="1"/>
  <c r="VVI43" i="1" s="1"/>
  <c r="VVH42" i="1"/>
  <c r="VVH43" i="1" s="1"/>
  <c r="VVG42" i="1"/>
  <c r="VVG43" i="1" s="1"/>
  <c r="VVF42" i="1"/>
  <c r="VVF43" i="1" s="1"/>
  <c r="VVE42" i="1"/>
  <c r="VVE43" i="1" s="1"/>
  <c r="VVD42" i="1"/>
  <c r="VVD43" i="1" s="1"/>
  <c r="VVC42" i="1"/>
  <c r="VVC43" i="1" s="1"/>
  <c r="VVB42" i="1"/>
  <c r="VVB43" i="1" s="1"/>
  <c r="VVA42" i="1"/>
  <c r="VVA43" i="1" s="1"/>
  <c r="VUZ42" i="1"/>
  <c r="VUZ43" i="1" s="1"/>
  <c r="VUY42" i="1"/>
  <c r="VUY43" i="1" s="1"/>
  <c r="VUX42" i="1"/>
  <c r="VUX43" i="1" s="1"/>
  <c r="VUW42" i="1"/>
  <c r="VUW43" i="1" s="1"/>
  <c r="VUV42" i="1"/>
  <c r="VUV43" i="1" s="1"/>
  <c r="VUU42" i="1"/>
  <c r="VUU43" i="1" s="1"/>
  <c r="VUT42" i="1"/>
  <c r="VUT43" i="1" s="1"/>
  <c r="VUS42" i="1"/>
  <c r="VUS43" i="1" s="1"/>
  <c r="VUR42" i="1"/>
  <c r="VUR43" i="1" s="1"/>
  <c r="VUQ42" i="1"/>
  <c r="VUQ43" i="1" s="1"/>
  <c r="VUP42" i="1"/>
  <c r="VUP43" i="1" s="1"/>
  <c r="VUO42" i="1"/>
  <c r="VUO43" i="1" s="1"/>
  <c r="VUN42" i="1"/>
  <c r="VUN43" i="1" s="1"/>
  <c r="VUM42" i="1"/>
  <c r="VUM43" i="1" s="1"/>
  <c r="VUL42" i="1"/>
  <c r="VUL43" i="1" s="1"/>
  <c r="VUK42" i="1"/>
  <c r="VUK43" i="1" s="1"/>
  <c r="VUJ42" i="1"/>
  <c r="VUJ43" i="1" s="1"/>
  <c r="VUI42" i="1"/>
  <c r="VUI43" i="1" s="1"/>
  <c r="VUH42" i="1"/>
  <c r="VUH43" i="1" s="1"/>
  <c r="VUG42" i="1"/>
  <c r="VUG43" i="1" s="1"/>
  <c r="VUF42" i="1"/>
  <c r="VUF43" i="1" s="1"/>
  <c r="VUE42" i="1"/>
  <c r="VUE43" i="1" s="1"/>
  <c r="VUD42" i="1"/>
  <c r="VUD43" i="1" s="1"/>
  <c r="VUC42" i="1"/>
  <c r="VUC43" i="1" s="1"/>
  <c r="VUB42" i="1"/>
  <c r="VUB43" i="1" s="1"/>
  <c r="VUA42" i="1"/>
  <c r="VUA43" i="1" s="1"/>
  <c r="VTZ42" i="1"/>
  <c r="VTZ43" i="1" s="1"/>
  <c r="VTY42" i="1"/>
  <c r="VTY43" i="1" s="1"/>
  <c r="VTX42" i="1"/>
  <c r="VTX43" i="1" s="1"/>
  <c r="VTW42" i="1"/>
  <c r="VTW43" i="1" s="1"/>
  <c r="VTV42" i="1"/>
  <c r="VTV43" i="1" s="1"/>
  <c r="VTU42" i="1"/>
  <c r="VTU43" i="1" s="1"/>
  <c r="VTT42" i="1"/>
  <c r="VTT43" i="1" s="1"/>
  <c r="VTS42" i="1"/>
  <c r="VTS43" i="1" s="1"/>
  <c r="VTR42" i="1"/>
  <c r="VTR43" i="1" s="1"/>
  <c r="VTQ42" i="1"/>
  <c r="VTQ43" i="1" s="1"/>
  <c r="VTP42" i="1"/>
  <c r="VTP43" i="1" s="1"/>
  <c r="VTO42" i="1"/>
  <c r="VTO43" i="1" s="1"/>
  <c r="VTN42" i="1"/>
  <c r="VTN43" i="1" s="1"/>
  <c r="VTM42" i="1"/>
  <c r="VTM43" i="1" s="1"/>
  <c r="VTL42" i="1"/>
  <c r="VTL43" i="1" s="1"/>
  <c r="VTK42" i="1"/>
  <c r="VTK43" i="1" s="1"/>
  <c r="VTJ42" i="1"/>
  <c r="VTJ43" i="1" s="1"/>
  <c r="VTI42" i="1"/>
  <c r="VTI43" i="1" s="1"/>
  <c r="VTH42" i="1"/>
  <c r="VTH43" i="1" s="1"/>
  <c r="VTG42" i="1"/>
  <c r="VTG43" i="1" s="1"/>
  <c r="VTF42" i="1"/>
  <c r="VTF43" i="1" s="1"/>
  <c r="VTE42" i="1"/>
  <c r="VTE43" i="1" s="1"/>
  <c r="VTD42" i="1"/>
  <c r="VTD43" i="1" s="1"/>
  <c r="VTC42" i="1"/>
  <c r="VTC43" i="1" s="1"/>
  <c r="VTB42" i="1"/>
  <c r="VTB43" i="1" s="1"/>
  <c r="VTA42" i="1"/>
  <c r="VTA43" i="1" s="1"/>
  <c r="VSZ42" i="1"/>
  <c r="VSZ43" i="1" s="1"/>
  <c r="VSY42" i="1"/>
  <c r="VSY43" i="1" s="1"/>
  <c r="VSX42" i="1"/>
  <c r="VSX43" i="1" s="1"/>
  <c r="VSW42" i="1"/>
  <c r="VSW43" i="1" s="1"/>
  <c r="VSV42" i="1"/>
  <c r="VSV43" i="1" s="1"/>
  <c r="VSU42" i="1"/>
  <c r="VSU43" i="1" s="1"/>
  <c r="VST42" i="1"/>
  <c r="VST43" i="1" s="1"/>
  <c r="VSS42" i="1"/>
  <c r="VSS43" i="1" s="1"/>
  <c r="VSR42" i="1"/>
  <c r="VSR43" i="1" s="1"/>
  <c r="VSQ42" i="1"/>
  <c r="VSQ43" i="1" s="1"/>
  <c r="VSP42" i="1"/>
  <c r="VSP43" i="1" s="1"/>
  <c r="VSO42" i="1"/>
  <c r="VSO43" i="1" s="1"/>
  <c r="VSN42" i="1"/>
  <c r="VSN43" i="1" s="1"/>
  <c r="VSM42" i="1"/>
  <c r="VSM43" i="1" s="1"/>
  <c r="VSL42" i="1"/>
  <c r="VSL43" i="1" s="1"/>
  <c r="VSK42" i="1"/>
  <c r="VSK43" i="1" s="1"/>
  <c r="VSJ42" i="1"/>
  <c r="VSJ43" i="1" s="1"/>
  <c r="VSI42" i="1"/>
  <c r="VSI43" i="1" s="1"/>
  <c r="VSH42" i="1"/>
  <c r="VSH43" i="1" s="1"/>
  <c r="VSG42" i="1"/>
  <c r="VSG43" i="1" s="1"/>
  <c r="VSF42" i="1"/>
  <c r="VSF43" i="1" s="1"/>
  <c r="VSE42" i="1"/>
  <c r="VSE43" i="1" s="1"/>
  <c r="VSD42" i="1"/>
  <c r="VSD43" i="1" s="1"/>
  <c r="VSC42" i="1"/>
  <c r="VSC43" i="1" s="1"/>
  <c r="VSB42" i="1"/>
  <c r="VSB43" i="1" s="1"/>
  <c r="VSA42" i="1"/>
  <c r="VSA43" i="1" s="1"/>
  <c r="VRZ42" i="1"/>
  <c r="VRZ43" i="1" s="1"/>
  <c r="VRY42" i="1"/>
  <c r="VRY43" i="1" s="1"/>
  <c r="VRX42" i="1"/>
  <c r="VRX43" i="1" s="1"/>
  <c r="VRW42" i="1"/>
  <c r="VRW43" i="1" s="1"/>
  <c r="VRV42" i="1"/>
  <c r="VRV43" i="1" s="1"/>
  <c r="VRU42" i="1"/>
  <c r="VRU43" i="1" s="1"/>
  <c r="VRT42" i="1"/>
  <c r="VRT43" i="1" s="1"/>
  <c r="VRS42" i="1"/>
  <c r="VRS43" i="1" s="1"/>
  <c r="VRR42" i="1"/>
  <c r="VRR43" i="1" s="1"/>
  <c r="VRQ42" i="1"/>
  <c r="VRQ43" i="1" s="1"/>
  <c r="VRP42" i="1"/>
  <c r="VRP43" i="1" s="1"/>
  <c r="VRO42" i="1"/>
  <c r="VRO43" i="1" s="1"/>
  <c r="VRN42" i="1"/>
  <c r="VRN43" i="1" s="1"/>
  <c r="VRM42" i="1"/>
  <c r="VRM43" i="1" s="1"/>
  <c r="VRL42" i="1"/>
  <c r="VRL43" i="1" s="1"/>
  <c r="VRK42" i="1"/>
  <c r="VRK43" i="1" s="1"/>
  <c r="VRJ42" i="1"/>
  <c r="VRJ43" i="1" s="1"/>
  <c r="VRI42" i="1"/>
  <c r="VRI43" i="1" s="1"/>
  <c r="VRH42" i="1"/>
  <c r="VRH43" i="1" s="1"/>
  <c r="VRG42" i="1"/>
  <c r="VRG43" i="1" s="1"/>
  <c r="VRF42" i="1"/>
  <c r="VRF43" i="1" s="1"/>
  <c r="VRE42" i="1"/>
  <c r="VRE43" i="1" s="1"/>
  <c r="VRD42" i="1"/>
  <c r="VRD43" i="1" s="1"/>
  <c r="VRC42" i="1"/>
  <c r="VRC43" i="1" s="1"/>
  <c r="VRB42" i="1"/>
  <c r="VRB43" i="1" s="1"/>
  <c r="VRA42" i="1"/>
  <c r="VRA43" i="1" s="1"/>
  <c r="VQZ42" i="1"/>
  <c r="VQZ43" i="1" s="1"/>
  <c r="VQY42" i="1"/>
  <c r="VQY43" i="1" s="1"/>
  <c r="VQX42" i="1"/>
  <c r="VQX43" i="1" s="1"/>
  <c r="VQW42" i="1"/>
  <c r="VQW43" i="1" s="1"/>
  <c r="VQV42" i="1"/>
  <c r="VQV43" i="1" s="1"/>
  <c r="VQU42" i="1"/>
  <c r="VQU43" i="1" s="1"/>
  <c r="VQT42" i="1"/>
  <c r="VQT43" i="1" s="1"/>
  <c r="VQS42" i="1"/>
  <c r="VQS43" i="1" s="1"/>
  <c r="VQR42" i="1"/>
  <c r="VQR43" i="1" s="1"/>
  <c r="VQQ42" i="1"/>
  <c r="VQQ43" i="1" s="1"/>
  <c r="VQP42" i="1"/>
  <c r="VQP43" i="1" s="1"/>
  <c r="VQO42" i="1"/>
  <c r="VQO43" i="1" s="1"/>
  <c r="VQN42" i="1"/>
  <c r="VQN43" i="1" s="1"/>
  <c r="VQM42" i="1"/>
  <c r="VQM43" i="1" s="1"/>
  <c r="VQL42" i="1"/>
  <c r="VQL43" i="1" s="1"/>
  <c r="VQK42" i="1"/>
  <c r="VQK43" i="1" s="1"/>
  <c r="VQJ42" i="1"/>
  <c r="VQJ43" i="1" s="1"/>
  <c r="VQI42" i="1"/>
  <c r="VQI43" i="1" s="1"/>
  <c r="VQH42" i="1"/>
  <c r="VQH43" i="1" s="1"/>
  <c r="VQG42" i="1"/>
  <c r="VQG43" i="1" s="1"/>
  <c r="VQF42" i="1"/>
  <c r="VQF43" i="1" s="1"/>
  <c r="VQE42" i="1"/>
  <c r="VQE43" i="1" s="1"/>
  <c r="VQD42" i="1"/>
  <c r="VQD43" i="1" s="1"/>
  <c r="VQC42" i="1"/>
  <c r="VQC43" i="1" s="1"/>
  <c r="VQB42" i="1"/>
  <c r="VQB43" i="1" s="1"/>
  <c r="VQA42" i="1"/>
  <c r="VQA43" i="1" s="1"/>
  <c r="VPZ42" i="1"/>
  <c r="VPZ43" i="1" s="1"/>
  <c r="VPY42" i="1"/>
  <c r="VPY43" i="1" s="1"/>
  <c r="VPX42" i="1"/>
  <c r="VPX43" i="1" s="1"/>
  <c r="VPW42" i="1"/>
  <c r="VPW43" i="1" s="1"/>
  <c r="VPV42" i="1"/>
  <c r="VPV43" i="1" s="1"/>
  <c r="VPU42" i="1"/>
  <c r="VPU43" i="1" s="1"/>
  <c r="VPT42" i="1"/>
  <c r="VPT43" i="1" s="1"/>
  <c r="VPS42" i="1"/>
  <c r="VPS43" i="1" s="1"/>
  <c r="VPR42" i="1"/>
  <c r="VPR43" i="1" s="1"/>
  <c r="VPQ42" i="1"/>
  <c r="VPQ43" i="1" s="1"/>
  <c r="VPP42" i="1"/>
  <c r="VPP43" i="1" s="1"/>
  <c r="VPO42" i="1"/>
  <c r="VPO43" i="1" s="1"/>
  <c r="VPN42" i="1"/>
  <c r="VPN43" i="1" s="1"/>
  <c r="VPM42" i="1"/>
  <c r="VPM43" i="1" s="1"/>
  <c r="VPL42" i="1"/>
  <c r="VPL43" i="1" s="1"/>
  <c r="VPK42" i="1"/>
  <c r="VPK43" i="1" s="1"/>
  <c r="VPJ42" i="1"/>
  <c r="VPJ43" i="1" s="1"/>
  <c r="VPI42" i="1"/>
  <c r="VPI43" i="1" s="1"/>
  <c r="VPH42" i="1"/>
  <c r="VPH43" i="1" s="1"/>
  <c r="VPG42" i="1"/>
  <c r="VPG43" i="1" s="1"/>
  <c r="VPF42" i="1"/>
  <c r="VPF43" i="1" s="1"/>
  <c r="VPE42" i="1"/>
  <c r="VPE43" i="1" s="1"/>
  <c r="VPD42" i="1"/>
  <c r="VPD43" i="1" s="1"/>
  <c r="VPC42" i="1"/>
  <c r="VPC43" i="1" s="1"/>
  <c r="VPB42" i="1"/>
  <c r="VPB43" i="1" s="1"/>
  <c r="VPA42" i="1"/>
  <c r="VPA43" i="1" s="1"/>
  <c r="VOZ42" i="1"/>
  <c r="VOZ43" i="1" s="1"/>
  <c r="VOY42" i="1"/>
  <c r="VOY43" i="1" s="1"/>
  <c r="VOX42" i="1"/>
  <c r="VOX43" i="1" s="1"/>
  <c r="VOW42" i="1"/>
  <c r="VOW43" i="1" s="1"/>
  <c r="VOV42" i="1"/>
  <c r="VOV43" i="1" s="1"/>
  <c r="VOU42" i="1"/>
  <c r="VOU43" i="1" s="1"/>
  <c r="VOT42" i="1"/>
  <c r="VOT43" i="1" s="1"/>
  <c r="VOS42" i="1"/>
  <c r="VOS43" i="1" s="1"/>
  <c r="VOR42" i="1"/>
  <c r="VOR43" i="1" s="1"/>
  <c r="VOQ42" i="1"/>
  <c r="VOQ43" i="1" s="1"/>
  <c r="VOP42" i="1"/>
  <c r="VOP43" i="1" s="1"/>
  <c r="VOO42" i="1"/>
  <c r="VOO43" i="1" s="1"/>
  <c r="VON42" i="1"/>
  <c r="VON43" i="1" s="1"/>
  <c r="VOM42" i="1"/>
  <c r="VOM43" i="1" s="1"/>
  <c r="VOL42" i="1"/>
  <c r="VOL43" i="1" s="1"/>
  <c r="VOK42" i="1"/>
  <c r="VOK43" i="1" s="1"/>
  <c r="VOJ42" i="1"/>
  <c r="VOJ43" i="1" s="1"/>
  <c r="VOI42" i="1"/>
  <c r="VOI43" i="1" s="1"/>
  <c r="VOH42" i="1"/>
  <c r="VOH43" i="1" s="1"/>
  <c r="VOG42" i="1"/>
  <c r="VOG43" i="1" s="1"/>
  <c r="VOF42" i="1"/>
  <c r="VOF43" i="1" s="1"/>
  <c r="VOE42" i="1"/>
  <c r="VOE43" i="1" s="1"/>
  <c r="VOD42" i="1"/>
  <c r="VOD43" i="1" s="1"/>
  <c r="VOC42" i="1"/>
  <c r="VOC43" i="1" s="1"/>
  <c r="VOB42" i="1"/>
  <c r="VOB43" i="1" s="1"/>
  <c r="VOA42" i="1"/>
  <c r="VOA43" i="1" s="1"/>
  <c r="VNZ42" i="1"/>
  <c r="VNZ43" i="1" s="1"/>
  <c r="VNY42" i="1"/>
  <c r="VNY43" i="1" s="1"/>
  <c r="VNX42" i="1"/>
  <c r="VNX43" i="1" s="1"/>
  <c r="VNW42" i="1"/>
  <c r="VNW43" i="1" s="1"/>
  <c r="VNV42" i="1"/>
  <c r="VNV43" i="1" s="1"/>
  <c r="VNU42" i="1"/>
  <c r="VNU43" i="1" s="1"/>
  <c r="VNT42" i="1"/>
  <c r="VNT43" i="1" s="1"/>
  <c r="VNS42" i="1"/>
  <c r="VNS43" i="1" s="1"/>
  <c r="VNR42" i="1"/>
  <c r="VNR43" i="1" s="1"/>
  <c r="VNQ42" i="1"/>
  <c r="VNQ43" i="1" s="1"/>
  <c r="VNP42" i="1"/>
  <c r="VNP43" i="1" s="1"/>
  <c r="VNO42" i="1"/>
  <c r="VNO43" i="1" s="1"/>
  <c r="VNN42" i="1"/>
  <c r="VNN43" i="1" s="1"/>
  <c r="VNM42" i="1"/>
  <c r="VNM43" i="1" s="1"/>
  <c r="VNL42" i="1"/>
  <c r="VNL43" i="1" s="1"/>
  <c r="VNK42" i="1"/>
  <c r="VNK43" i="1" s="1"/>
  <c r="VNJ42" i="1"/>
  <c r="VNJ43" i="1" s="1"/>
  <c r="VNI42" i="1"/>
  <c r="VNI43" i="1" s="1"/>
  <c r="VNH42" i="1"/>
  <c r="VNH43" i="1" s="1"/>
  <c r="VNG42" i="1"/>
  <c r="VNG43" i="1" s="1"/>
  <c r="VNF42" i="1"/>
  <c r="VNF43" i="1" s="1"/>
  <c r="VNE42" i="1"/>
  <c r="VNE43" i="1" s="1"/>
  <c r="VND42" i="1"/>
  <c r="VND43" i="1" s="1"/>
  <c r="VNC42" i="1"/>
  <c r="VNC43" i="1" s="1"/>
  <c r="VNB42" i="1"/>
  <c r="VNB43" i="1" s="1"/>
  <c r="VNA42" i="1"/>
  <c r="VNA43" i="1" s="1"/>
  <c r="VMZ42" i="1"/>
  <c r="VMZ43" i="1" s="1"/>
  <c r="VMY42" i="1"/>
  <c r="VMY43" i="1" s="1"/>
  <c r="VMX42" i="1"/>
  <c r="VMX43" i="1" s="1"/>
  <c r="VMW42" i="1"/>
  <c r="VMW43" i="1" s="1"/>
  <c r="VMV42" i="1"/>
  <c r="VMV43" i="1" s="1"/>
  <c r="VMU42" i="1"/>
  <c r="VMU43" i="1" s="1"/>
  <c r="VMT42" i="1"/>
  <c r="VMT43" i="1" s="1"/>
  <c r="VMS42" i="1"/>
  <c r="VMS43" i="1" s="1"/>
  <c r="VMR42" i="1"/>
  <c r="VMR43" i="1" s="1"/>
  <c r="VMQ42" i="1"/>
  <c r="VMQ43" i="1" s="1"/>
  <c r="VMP42" i="1"/>
  <c r="VMP43" i="1" s="1"/>
  <c r="VMO42" i="1"/>
  <c r="VMO43" i="1" s="1"/>
  <c r="VMN42" i="1"/>
  <c r="VMN43" i="1" s="1"/>
  <c r="VMM42" i="1"/>
  <c r="VMM43" i="1" s="1"/>
  <c r="VML42" i="1"/>
  <c r="VML43" i="1" s="1"/>
  <c r="VMK42" i="1"/>
  <c r="VMK43" i="1" s="1"/>
  <c r="VMJ42" i="1"/>
  <c r="VMJ43" i="1" s="1"/>
  <c r="VMI42" i="1"/>
  <c r="VMI43" i="1" s="1"/>
  <c r="VMH42" i="1"/>
  <c r="VMH43" i="1" s="1"/>
  <c r="VMG42" i="1"/>
  <c r="VMG43" i="1" s="1"/>
  <c r="VMF42" i="1"/>
  <c r="VMF43" i="1" s="1"/>
  <c r="VME42" i="1"/>
  <c r="VME43" i="1" s="1"/>
  <c r="VMD42" i="1"/>
  <c r="VMD43" i="1" s="1"/>
  <c r="VMC42" i="1"/>
  <c r="VMC43" i="1" s="1"/>
  <c r="VMB42" i="1"/>
  <c r="VMB43" i="1" s="1"/>
  <c r="VMA42" i="1"/>
  <c r="VMA43" i="1" s="1"/>
  <c r="VLZ42" i="1"/>
  <c r="VLZ43" i="1" s="1"/>
  <c r="VLY42" i="1"/>
  <c r="VLY43" i="1" s="1"/>
  <c r="VLX42" i="1"/>
  <c r="VLX43" i="1" s="1"/>
  <c r="VLW42" i="1"/>
  <c r="VLW43" i="1" s="1"/>
  <c r="VLV42" i="1"/>
  <c r="VLV43" i="1" s="1"/>
  <c r="VLU42" i="1"/>
  <c r="VLU43" i="1" s="1"/>
  <c r="VLT42" i="1"/>
  <c r="VLT43" i="1" s="1"/>
  <c r="VLS42" i="1"/>
  <c r="VLS43" i="1" s="1"/>
  <c r="VLR42" i="1"/>
  <c r="VLR43" i="1" s="1"/>
  <c r="VLQ42" i="1"/>
  <c r="VLQ43" i="1" s="1"/>
  <c r="VLP42" i="1"/>
  <c r="VLP43" i="1" s="1"/>
  <c r="VLO42" i="1"/>
  <c r="VLO43" i="1" s="1"/>
  <c r="VLN42" i="1"/>
  <c r="VLN43" i="1" s="1"/>
  <c r="VLM42" i="1"/>
  <c r="VLM43" i="1" s="1"/>
  <c r="VLL42" i="1"/>
  <c r="VLL43" i="1" s="1"/>
  <c r="VLK42" i="1"/>
  <c r="VLK43" i="1" s="1"/>
  <c r="VLJ42" i="1"/>
  <c r="VLJ43" i="1" s="1"/>
  <c r="VLI42" i="1"/>
  <c r="VLI43" i="1" s="1"/>
  <c r="VLH42" i="1"/>
  <c r="VLH43" i="1" s="1"/>
  <c r="VLG42" i="1"/>
  <c r="VLG43" i="1" s="1"/>
  <c r="VLF42" i="1"/>
  <c r="VLF43" i="1" s="1"/>
  <c r="VLE42" i="1"/>
  <c r="VLE43" i="1" s="1"/>
  <c r="VLD42" i="1"/>
  <c r="VLD43" i="1" s="1"/>
  <c r="VLC42" i="1"/>
  <c r="VLC43" i="1" s="1"/>
  <c r="VLB42" i="1"/>
  <c r="VLB43" i="1" s="1"/>
  <c r="VLA42" i="1"/>
  <c r="VLA43" i="1" s="1"/>
  <c r="VKZ42" i="1"/>
  <c r="VKZ43" i="1" s="1"/>
  <c r="VKY42" i="1"/>
  <c r="VKY43" i="1" s="1"/>
  <c r="VKX42" i="1"/>
  <c r="VKX43" i="1" s="1"/>
  <c r="VKW42" i="1"/>
  <c r="VKW43" i="1" s="1"/>
  <c r="VKV42" i="1"/>
  <c r="VKV43" i="1" s="1"/>
  <c r="VKU42" i="1"/>
  <c r="VKU43" i="1" s="1"/>
  <c r="VKT42" i="1"/>
  <c r="VKT43" i="1" s="1"/>
  <c r="VKS42" i="1"/>
  <c r="VKS43" i="1" s="1"/>
  <c r="VKR42" i="1"/>
  <c r="VKR43" i="1" s="1"/>
  <c r="VKQ42" i="1"/>
  <c r="VKQ43" i="1" s="1"/>
  <c r="VKP42" i="1"/>
  <c r="VKP43" i="1" s="1"/>
  <c r="VKO42" i="1"/>
  <c r="VKO43" i="1" s="1"/>
  <c r="VKN42" i="1"/>
  <c r="VKN43" i="1" s="1"/>
  <c r="VKM42" i="1"/>
  <c r="VKM43" i="1" s="1"/>
  <c r="VKL42" i="1"/>
  <c r="VKL43" i="1" s="1"/>
  <c r="VKK42" i="1"/>
  <c r="VKK43" i="1" s="1"/>
  <c r="VKJ42" i="1"/>
  <c r="VKJ43" i="1" s="1"/>
  <c r="VKI42" i="1"/>
  <c r="VKI43" i="1" s="1"/>
  <c r="VKH42" i="1"/>
  <c r="VKH43" i="1" s="1"/>
  <c r="VKG42" i="1"/>
  <c r="VKG43" i="1" s="1"/>
  <c r="VKF42" i="1"/>
  <c r="VKF43" i="1" s="1"/>
  <c r="VKE42" i="1"/>
  <c r="VKE43" i="1" s="1"/>
  <c r="VKD42" i="1"/>
  <c r="VKD43" i="1" s="1"/>
  <c r="VKC42" i="1"/>
  <c r="VKC43" i="1" s="1"/>
  <c r="VKB42" i="1"/>
  <c r="VKB43" i="1" s="1"/>
  <c r="VKA42" i="1"/>
  <c r="VKA43" i="1" s="1"/>
  <c r="VJZ42" i="1"/>
  <c r="VJZ43" i="1" s="1"/>
  <c r="VJY42" i="1"/>
  <c r="VJY43" i="1" s="1"/>
  <c r="VJX42" i="1"/>
  <c r="VJX43" i="1" s="1"/>
  <c r="VJW42" i="1"/>
  <c r="VJW43" i="1" s="1"/>
  <c r="VJV42" i="1"/>
  <c r="VJV43" i="1" s="1"/>
  <c r="VJU42" i="1"/>
  <c r="VJU43" i="1" s="1"/>
  <c r="VJT42" i="1"/>
  <c r="VJT43" i="1" s="1"/>
  <c r="VJS42" i="1"/>
  <c r="VJS43" i="1" s="1"/>
  <c r="VJR42" i="1"/>
  <c r="VJR43" i="1" s="1"/>
  <c r="VJQ42" i="1"/>
  <c r="VJQ43" i="1" s="1"/>
  <c r="VJP42" i="1"/>
  <c r="VJP43" i="1" s="1"/>
  <c r="VJO42" i="1"/>
  <c r="VJO43" i="1" s="1"/>
  <c r="VJN42" i="1"/>
  <c r="VJN43" i="1" s="1"/>
  <c r="VJM42" i="1"/>
  <c r="VJM43" i="1" s="1"/>
  <c r="VJL42" i="1"/>
  <c r="VJL43" i="1" s="1"/>
  <c r="VJK42" i="1"/>
  <c r="VJK43" i="1" s="1"/>
  <c r="VJJ42" i="1"/>
  <c r="VJJ43" i="1" s="1"/>
  <c r="VJI42" i="1"/>
  <c r="VJI43" i="1" s="1"/>
  <c r="VJH42" i="1"/>
  <c r="VJH43" i="1" s="1"/>
  <c r="VJG42" i="1"/>
  <c r="VJG43" i="1" s="1"/>
  <c r="VJF42" i="1"/>
  <c r="VJF43" i="1" s="1"/>
  <c r="VJE42" i="1"/>
  <c r="VJE43" i="1" s="1"/>
  <c r="VJD42" i="1"/>
  <c r="VJD43" i="1" s="1"/>
  <c r="VJC42" i="1"/>
  <c r="VJC43" i="1" s="1"/>
  <c r="VJB42" i="1"/>
  <c r="VJB43" i="1" s="1"/>
  <c r="VJA42" i="1"/>
  <c r="VJA43" i="1" s="1"/>
  <c r="VIZ42" i="1"/>
  <c r="VIZ43" i="1" s="1"/>
  <c r="VIY42" i="1"/>
  <c r="VIY43" i="1" s="1"/>
  <c r="VIX42" i="1"/>
  <c r="VIX43" i="1" s="1"/>
  <c r="VIW42" i="1"/>
  <c r="VIW43" i="1" s="1"/>
  <c r="VIV42" i="1"/>
  <c r="VIV43" i="1" s="1"/>
  <c r="VIU42" i="1"/>
  <c r="VIU43" i="1" s="1"/>
  <c r="VIT42" i="1"/>
  <c r="VIT43" i="1" s="1"/>
  <c r="VIS42" i="1"/>
  <c r="VIS43" i="1" s="1"/>
  <c r="VIR42" i="1"/>
  <c r="VIR43" i="1" s="1"/>
  <c r="VIQ42" i="1"/>
  <c r="VIQ43" i="1" s="1"/>
  <c r="VIP42" i="1"/>
  <c r="VIP43" i="1" s="1"/>
  <c r="VIO42" i="1"/>
  <c r="VIO43" i="1" s="1"/>
  <c r="VIN42" i="1"/>
  <c r="VIN43" i="1" s="1"/>
  <c r="VIM42" i="1"/>
  <c r="VIM43" i="1" s="1"/>
  <c r="VIL42" i="1"/>
  <c r="VIL43" i="1" s="1"/>
  <c r="VIK42" i="1"/>
  <c r="VIK43" i="1" s="1"/>
  <c r="VIJ42" i="1"/>
  <c r="VIJ43" i="1" s="1"/>
  <c r="VII42" i="1"/>
  <c r="VII43" i="1" s="1"/>
  <c r="VIH42" i="1"/>
  <c r="VIH43" i="1" s="1"/>
  <c r="VIG42" i="1"/>
  <c r="VIG43" i="1" s="1"/>
  <c r="VIF42" i="1"/>
  <c r="VIF43" i="1" s="1"/>
  <c r="VIE42" i="1"/>
  <c r="VIE43" i="1" s="1"/>
  <c r="VID42" i="1"/>
  <c r="VID43" i="1" s="1"/>
  <c r="VIC42" i="1"/>
  <c r="VIC43" i="1" s="1"/>
  <c r="VIB42" i="1"/>
  <c r="VIB43" i="1" s="1"/>
  <c r="VIA42" i="1"/>
  <c r="VIA43" i="1" s="1"/>
  <c r="VHZ42" i="1"/>
  <c r="VHZ43" i="1" s="1"/>
  <c r="VHY42" i="1"/>
  <c r="VHY43" i="1" s="1"/>
  <c r="VHX42" i="1"/>
  <c r="VHX43" i="1" s="1"/>
  <c r="VHW42" i="1"/>
  <c r="VHW43" i="1" s="1"/>
  <c r="VHV42" i="1"/>
  <c r="VHV43" i="1" s="1"/>
  <c r="VHU42" i="1"/>
  <c r="VHU43" i="1" s="1"/>
  <c r="VHT42" i="1"/>
  <c r="VHT43" i="1" s="1"/>
  <c r="VHS42" i="1"/>
  <c r="VHS43" i="1" s="1"/>
  <c r="VHR42" i="1"/>
  <c r="VHR43" i="1" s="1"/>
  <c r="VHQ42" i="1"/>
  <c r="VHQ43" i="1" s="1"/>
  <c r="VHP42" i="1"/>
  <c r="VHP43" i="1" s="1"/>
  <c r="VHO42" i="1"/>
  <c r="VHO43" i="1" s="1"/>
  <c r="VHN42" i="1"/>
  <c r="VHN43" i="1" s="1"/>
  <c r="VHM42" i="1"/>
  <c r="VHM43" i="1" s="1"/>
  <c r="VHL42" i="1"/>
  <c r="VHL43" i="1" s="1"/>
  <c r="VHK42" i="1"/>
  <c r="VHK43" i="1" s="1"/>
  <c r="VHJ42" i="1"/>
  <c r="VHJ43" i="1" s="1"/>
  <c r="VHI42" i="1"/>
  <c r="VHI43" i="1" s="1"/>
  <c r="VHH42" i="1"/>
  <c r="VHH43" i="1" s="1"/>
  <c r="VHG42" i="1"/>
  <c r="VHG43" i="1" s="1"/>
  <c r="VHF42" i="1"/>
  <c r="VHF43" i="1" s="1"/>
  <c r="VHE42" i="1"/>
  <c r="VHE43" i="1" s="1"/>
  <c r="VHD42" i="1"/>
  <c r="VHD43" i="1" s="1"/>
  <c r="VHC42" i="1"/>
  <c r="VHC43" i="1" s="1"/>
  <c r="VHB42" i="1"/>
  <c r="VHB43" i="1" s="1"/>
  <c r="VHA42" i="1"/>
  <c r="VHA43" i="1" s="1"/>
  <c r="VGZ42" i="1"/>
  <c r="VGZ43" i="1" s="1"/>
  <c r="VGY42" i="1"/>
  <c r="VGY43" i="1" s="1"/>
  <c r="VGX42" i="1"/>
  <c r="VGX43" i="1" s="1"/>
  <c r="VGW42" i="1"/>
  <c r="VGW43" i="1" s="1"/>
  <c r="VGV42" i="1"/>
  <c r="VGV43" i="1" s="1"/>
  <c r="VGU42" i="1"/>
  <c r="VGU43" i="1" s="1"/>
  <c r="VGT42" i="1"/>
  <c r="VGT43" i="1" s="1"/>
  <c r="VGS42" i="1"/>
  <c r="VGS43" i="1" s="1"/>
  <c r="VGR42" i="1"/>
  <c r="VGR43" i="1" s="1"/>
  <c r="VGQ42" i="1"/>
  <c r="VGQ43" i="1" s="1"/>
  <c r="VGP42" i="1"/>
  <c r="VGP43" i="1" s="1"/>
  <c r="VGO42" i="1"/>
  <c r="VGO43" i="1" s="1"/>
  <c r="VGN42" i="1"/>
  <c r="VGN43" i="1" s="1"/>
  <c r="VGM42" i="1"/>
  <c r="VGM43" i="1" s="1"/>
  <c r="VGL42" i="1"/>
  <c r="VGL43" i="1" s="1"/>
  <c r="VGK42" i="1"/>
  <c r="VGK43" i="1" s="1"/>
  <c r="VGJ42" i="1"/>
  <c r="VGJ43" i="1" s="1"/>
  <c r="VGI42" i="1"/>
  <c r="VGI43" i="1" s="1"/>
  <c r="VGH42" i="1"/>
  <c r="VGH43" i="1" s="1"/>
  <c r="VGG42" i="1"/>
  <c r="VGG43" i="1" s="1"/>
  <c r="VGF42" i="1"/>
  <c r="VGF43" i="1" s="1"/>
  <c r="VGE42" i="1"/>
  <c r="VGE43" i="1" s="1"/>
  <c r="VGD42" i="1"/>
  <c r="VGD43" i="1" s="1"/>
  <c r="VGC42" i="1"/>
  <c r="VGC43" i="1" s="1"/>
  <c r="VGB42" i="1"/>
  <c r="VGB43" i="1" s="1"/>
  <c r="VGA42" i="1"/>
  <c r="VGA43" i="1" s="1"/>
  <c r="VFZ42" i="1"/>
  <c r="VFZ43" i="1" s="1"/>
  <c r="VFY42" i="1"/>
  <c r="VFY43" i="1" s="1"/>
  <c r="VFX42" i="1"/>
  <c r="VFX43" i="1" s="1"/>
  <c r="VFW42" i="1"/>
  <c r="VFW43" i="1" s="1"/>
  <c r="VFV42" i="1"/>
  <c r="VFV43" i="1" s="1"/>
  <c r="VFU42" i="1"/>
  <c r="VFU43" i="1" s="1"/>
  <c r="VFT42" i="1"/>
  <c r="VFT43" i="1" s="1"/>
  <c r="VFS42" i="1"/>
  <c r="VFS43" i="1" s="1"/>
  <c r="VFR42" i="1"/>
  <c r="VFR43" i="1" s="1"/>
  <c r="VFQ42" i="1"/>
  <c r="VFQ43" i="1" s="1"/>
  <c r="VFP42" i="1"/>
  <c r="VFP43" i="1" s="1"/>
  <c r="VFO42" i="1"/>
  <c r="VFO43" i="1" s="1"/>
  <c r="VFN42" i="1"/>
  <c r="VFN43" i="1" s="1"/>
  <c r="VFM42" i="1"/>
  <c r="VFM43" i="1" s="1"/>
  <c r="VFL42" i="1"/>
  <c r="VFL43" i="1" s="1"/>
  <c r="VFK42" i="1"/>
  <c r="VFK43" i="1" s="1"/>
  <c r="VFJ42" i="1"/>
  <c r="VFJ43" i="1" s="1"/>
  <c r="VFI42" i="1"/>
  <c r="VFI43" i="1" s="1"/>
  <c r="VFH42" i="1"/>
  <c r="VFH43" i="1" s="1"/>
  <c r="VFG42" i="1"/>
  <c r="VFG43" i="1" s="1"/>
  <c r="VFF42" i="1"/>
  <c r="VFF43" i="1" s="1"/>
  <c r="VFE42" i="1"/>
  <c r="VFE43" i="1" s="1"/>
  <c r="VFD42" i="1"/>
  <c r="VFD43" i="1" s="1"/>
  <c r="VFC42" i="1"/>
  <c r="VFC43" i="1" s="1"/>
  <c r="VFB42" i="1"/>
  <c r="VFB43" i="1" s="1"/>
  <c r="VFA42" i="1"/>
  <c r="VFA43" i="1" s="1"/>
  <c r="VEZ42" i="1"/>
  <c r="VEZ43" i="1" s="1"/>
  <c r="VEY42" i="1"/>
  <c r="VEY43" i="1" s="1"/>
  <c r="VEX42" i="1"/>
  <c r="VEX43" i="1" s="1"/>
  <c r="VEW42" i="1"/>
  <c r="VEW43" i="1" s="1"/>
  <c r="VEV42" i="1"/>
  <c r="VEV43" i="1" s="1"/>
  <c r="VEU42" i="1"/>
  <c r="VEU43" i="1" s="1"/>
  <c r="VET42" i="1"/>
  <c r="VET43" i="1" s="1"/>
  <c r="VES42" i="1"/>
  <c r="VES43" i="1" s="1"/>
  <c r="VER42" i="1"/>
  <c r="VER43" i="1" s="1"/>
  <c r="VEQ42" i="1"/>
  <c r="VEQ43" i="1" s="1"/>
  <c r="VEP42" i="1"/>
  <c r="VEP43" i="1" s="1"/>
  <c r="VEO42" i="1"/>
  <c r="VEO43" i="1" s="1"/>
  <c r="VEN42" i="1"/>
  <c r="VEN43" i="1" s="1"/>
  <c r="VEM42" i="1"/>
  <c r="VEM43" i="1" s="1"/>
  <c r="VEL42" i="1"/>
  <c r="VEL43" i="1" s="1"/>
  <c r="VEK42" i="1"/>
  <c r="VEK43" i="1" s="1"/>
  <c r="VEJ42" i="1"/>
  <c r="VEJ43" i="1" s="1"/>
  <c r="VEI42" i="1"/>
  <c r="VEI43" i="1" s="1"/>
  <c r="VEH42" i="1"/>
  <c r="VEH43" i="1" s="1"/>
  <c r="VEG42" i="1"/>
  <c r="VEG43" i="1" s="1"/>
  <c r="VEF42" i="1"/>
  <c r="VEF43" i="1" s="1"/>
  <c r="VEE42" i="1"/>
  <c r="VEE43" i="1" s="1"/>
  <c r="VED42" i="1"/>
  <c r="VED43" i="1" s="1"/>
  <c r="VEC42" i="1"/>
  <c r="VEC43" i="1" s="1"/>
  <c r="VEB42" i="1"/>
  <c r="VEB43" i="1" s="1"/>
  <c r="VEA42" i="1"/>
  <c r="VEA43" i="1" s="1"/>
  <c r="VDZ42" i="1"/>
  <c r="VDZ43" i="1" s="1"/>
  <c r="VDY42" i="1"/>
  <c r="VDY43" i="1" s="1"/>
  <c r="VDX42" i="1"/>
  <c r="VDX43" i="1" s="1"/>
  <c r="VDW42" i="1"/>
  <c r="VDW43" i="1" s="1"/>
  <c r="VDV42" i="1"/>
  <c r="VDV43" i="1" s="1"/>
  <c r="VDU42" i="1"/>
  <c r="VDU43" i="1" s="1"/>
  <c r="VDT42" i="1"/>
  <c r="VDT43" i="1" s="1"/>
  <c r="VDS42" i="1"/>
  <c r="VDS43" i="1" s="1"/>
  <c r="VDR42" i="1"/>
  <c r="VDR43" i="1" s="1"/>
  <c r="VDQ42" i="1"/>
  <c r="VDQ43" i="1" s="1"/>
  <c r="VDP42" i="1"/>
  <c r="VDP43" i="1" s="1"/>
  <c r="VDO42" i="1"/>
  <c r="VDO43" i="1" s="1"/>
  <c r="VDN42" i="1"/>
  <c r="VDN43" i="1" s="1"/>
  <c r="VDM42" i="1"/>
  <c r="VDM43" i="1" s="1"/>
  <c r="VDL42" i="1"/>
  <c r="VDL43" i="1" s="1"/>
  <c r="VDK42" i="1"/>
  <c r="VDK43" i="1" s="1"/>
  <c r="VDJ42" i="1"/>
  <c r="VDJ43" i="1" s="1"/>
  <c r="VDI42" i="1"/>
  <c r="VDI43" i="1" s="1"/>
  <c r="VDH42" i="1"/>
  <c r="VDH43" i="1" s="1"/>
  <c r="VDG42" i="1"/>
  <c r="VDG43" i="1" s="1"/>
  <c r="VDF42" i="1"/>
  <c r="VDF43" i="1" s="1"/>
  <c r="VDE42" i="1"/>
  <c r="VDE43" i="1" s="1"/>
  <c r="VDD42" i="1"/>
  <c r="VDD43" i="1" s="1"/>
  <c r="VDC42" i="1"/>
  <c r="VDC43" i="1" s="1"/>
  <c r="VDB42" i="1"/>
  <c r="VDB43" i="1" s="1"/>
  <c r="VDA42" i="1"/>
  <c r="VDA43" i="1" s="1"/>
  <c r="VCZ42" i="1"/>
  <c r="VCZ43" i="1" s="1"/>
  <c r="VCY42" i="1"/>
  <c r="VCY43" i="1" s="1"/>
  <c r="VCX42" i="1"/>
  <c r="VCX43" i="1" s="1"/>
  <c r="VCW42" i="1"/>
  <c r="VCW43" i="1" s="1"/>
  <c r="VCV42" i="1"/>
  <c r="VCV43" i="1" s="1"/>
  <c r="VCU42" i="1"/>
  <c r="VCU43" i="1" s="1"/>
  <c r="VCT42" i="1"/>
  <c r="VCT43" i="1" s="1"/>
  <c r="VCS42" i="1"/>
  <c r="VCS43" i="1" s="1"/>
  <c r="VCR42" i="1"/>
  <c r="VCR43" i="1" s="1"/>
  <c r="VCQ42" i="1"/>
  <c r="VCQ43" i="1" s="1"/>
  <c r="VCP42" i="1"/>
  <c r="VCP43" i="1" s="1"/>
  <c r="VCO42" i="1"/>
  <c r="VCO43" i="1" s="1"/>
  <c r="VCN42" i="1"/>
  <c r="VCN43" i="1" s="1"/>
  <c r="VCM42" i="1"/>
  <c r="VCM43" i="1" s="1"/>
  <c r="VCL42" i="1"/>
  <c r="VCL43" i="1" s="1"/>
  <c r="VCK42" i="1"/>
  <c r="VCK43" i="1" s="1"/>
  <c r="VCJ42" i="1"/>
  <c r="VCJ43" i="1" s="1"/>
  <c r="VCI42" i="1"/>
  <c r="VCI43" i="1" s="1"/>
  <c r="VCH42" i="1"/>
  <c r="VCH43" i="1" s="1"/>
  <c r="VCG42" i="1"/>
  <c r="VCG43" i="1" s="1"/>
  <c r="VCF42" i="1"/>
  <c r="VCF43" i="1" s="1"/>
  <c r="VCE42" i="1"/>
  <c r="VCE43" i="1" s="1"/>
  <c r="VCD42" i="1"/>
  <c r="VCD43" i="1" s="1"/>
  <c r="VCC42" i="1"/>
  <c r="VCC43" i="1" s="1"/>
  <c r="VCB42" i="1"/>
  <c r="VCB43" i="1" s="1"/>
  <c r="VCA42" i="1"/>
  <c r="VCA43" i="1" s="1"/>
  <c r="VBZ42" i="1"/>
  <c r="VBZ43" i="1" s="1"/>
  <c r="VBY42" i="1"/>
  <c r="VBY43" i="1" s="1"/>
  <c r="VBX42" i="1"/>
  <c r="VBX43" i="1" s="1"/>
  <c r="VBW42" i="1"/>
  <c r="VBW43" i="1" s="1"/>
  <c r="VBV42" i="1"/>
  <c r="VBV43" i="1" s="1"/>
  <c r="VBU42" i="1"/>
  <c r="VBU43" i="1" s="1"/>
  <c r="VBT42" i="1"/>
  <c r="VBT43" i="1" s="1"/>
  <c r="VBS42" i="1"/>
  <c r="VBS43" i="1" s="1"/>
  <c r="VBR42" i="1"/>
  <c r="VBR43" i="1" s="1"/>
  <c r="VBQ42" i="1"/>
  <c r="VBQ43" i="1" s="1"/>
  <c r="VBP42" i="1"/>
  <c r="VBP43" i="1" s="1"/>
  <c r="VBO42" i="1"/>
  <c r="VBO43" i="1" s="1"/>
  <c r="VBN42" i="1"/>
  <c r="VBN43" i="1" s="1"/>
  <c r="VBM42" i="1"/>
  <c r="VBM43" i="1" s="1"/>
  <c r="VBL42" i="1"/>
  <c r="VBL43" i="1" s="1"/>
  <c r="VBK42" i="1"/>
  <c r="VBK43" i="1" s="1"/>
  <c r="VBJ42" i="1"/>
  <c r="VBJ43" i="1" s="1"/>
  <c r="VBI42" i="1"/>
  <c r="VBI43" i="1" s="1"/>
  <c r="VBH42" i="1"/>
  <c r="VBH43" i="1" s="1"/>
  <c r="VBG42" i="1"/>
  <c r="VBG43" i="1" s="1"/>
  <c r="VBF42" i="1"/>
  <c r="VBF43" i="1" s="1"/>
  <c r="VBE42" i="1"/>
  <c r="VBE43" i="1" s="1"/>
  <c r="VBD42" i="1"/>
  <c r="VBD43" i="1" s="1"/>
  <c r="VBC42" i="1"/>
  <c r="VBC43" i="1" s="1"/>
  <c r="VBB42" i="1"/>
  <c r="VBB43" i="1" s="1"/>
  <c r="VBA42" i="1"/>
  <c r="VBA43" i="1" s="1"/>
  <c r="VAZ42" i="1"/>
  <c r="VAZ43" i="1" s="1"/>
  <c r="VAY42" i="1"/>
  <c r="VAY43" i="1" s="1"/>
  <c r="VAX42" i="1"/>
  <c r="VAX43" i="1" s="1"/>
  <c r="VAW42" i="1"/>
  <c r="VAW43" i="1" s="1"/>
  <c r="VAV42" i="1"/>
  <c r="VAV43" i="1" s="1"/>
  <c r="VAU42" i="1"/>
  <c r="VAU43" i="1" s="1"/>
  <c r="VAT42" i="1"/>
  <c r="VAT43" i="1" s="1"/>
  <c r="VAS42" i="1"/>
  <c r="VAS43" i="1" s="1"/>
  <c r="VAR42" i="1"/>
  <c r="VAR43" i="1" s="1"/>
  <c r="VAQ42" i="1"/>
  <c r="VAQ43" i="1" s="1"/>
  <c r="VAP42" i="1"/>
  <c r="VAP43" i="1" s="1"/>
  <c r="VAO42" i="1"/>
  <c r="VAO43" i="1" s="1"/>
  <c r="VAN42" i="1"/>
  <c r="VAN43" i="1" s="1"/>
  <c r="VAM42" i="1"/>
  <c r="VAM43" i="1" s="1"/>
  <c r="VAL42" i="1"/>
  <c r="VAL43" i="1" s="1"/>
  <c r="VAK42" i="1"/>
  <c r="VAK43" i="1" s="1"/>
  <c r="VAJ42" i="1"/>
  <c r="VAJ43" i="1" s="1"/>
  <c r="VAI42" i="1"/>
  <c r="VAI43" i="1" s="1"/>
  <c r="VAH42" i="1"/>
  <c r="VAH43" i="1" s="1"/>
  <c r="VAG42" i="1"/>
  <c r="VAG43" i="1" s="1"/>
  <c r="VAF42" i="1"/>
  <c r="VAF43" i="1" s="1"/>
  <c r="VAE42" i="1"/>
  <c r="VAE43" i="1" s="1"/>
  <c r="VAD42" i="1"/>
  <c r="VAD43" i="1" s="1"/>
  <c r="VAC42" i="1"/>
  <c r="VAC43" i="1" s="1"/>
  <c r="VAB42" i="1"/>
  <c r="VAB43" i="1" s="1"/>
  <c r="VAA42" i="1"/>
  <c r="VAA43" i="1" s="1"/>
  <c r="UZZ42" i="1"/>
  <c r="UZZ43" i="1" s="1"/>
  <c r="UZY42" i="1"/>
  <c r="UZY43" i="1" s="1"/>
  <c r="UZX42" i="1"/>
  <c r="UZX43" i="1" s="1"/>
  <c r="UZW42" i="1"/>
  <c r="UZW43" i="1" s="1"/>
  <c r="UZV42" i="1"/>
  <c r="UZV43" i="1" s="1"/>
  <c r="UZU42" i="1"/>
  <c r="UZU43" i="1" s="1"/>
  <c r="UZT42" i="1"/>
  <c r="UZT43" i="1" s="1"/>
  <c r="UZS42" i="1"/>
  <c r="UZS43" i="1" s="1"/>
  <c r="UZR42" i="1"/>
  <c r="UZR43" i="1" s="1"/>
  <c r="UZQ42" i="1"/>
  <c r="UZQ43" i="1" s="1"/>
  <c r="UZP42" i="1"/>
  <c r="UZP43" i="1" s="1"/>
  <c r="UZO42" i="1"/>
  <c r="UZO43" i="1" s="1"/>
  <c r="UZN42" i="1"/>
  <c r="UZN43" i="1" s="1"/>
  <c r="UZM42" i="1"/>
  <c r="UZM43" i="1" s="1"/>
  <c r="UZL42" i="1"/>
  <c r="UZL43" i="1" s="1"/>
  <c r="UZK42" i="1"/>
  <c r="UZK43" i="1" s="1"/>
  <c r="UZJ42" i="1"/>
  <c r="UZJ43" i="1" s="1"/>
  <c r="UZI42" i="1"/>
  <c r="UZI43" i="1" s="1"/>
  <c r="UZH42" i="1"/>
  <c r="UZH43" i="1" s="1"/>
  <c r="UZG42" i="1"/>
  <c r="UZG43" i="1" s="1"/>
  <c r="UZF42" i="1"/>
  <c r="UZF43" i="1" s="1"/>
  <c r="UZE42" i="1"/>
  <c r="UZE43" i="1" s="1"/>
  <c r="UZD42" i="1"/>
  <c r="UZD43" i="1" s="1"/>
  <c r="UZC42" i="1"/>
  <c r="UZC43" i="1" s="1"/>
  <c r="UZB42" i="1"/>
  <c r="UZB43" i="1" s="1"/>
  <c r="UZA42" i="1"/>
  <c r="UZA43" i="1" s="1"/>
  <c r="UYZ42" i="1"/>
  <c r="UYZ43" i="1" s="1"/>
  <c r="UYY42" i="1"/>
  <c r="UYY43" i="1" s="1"/>
  <c r="UYX42" i="1"/>
  <c r="UYX43" i="1" s="1"/>
  <c r="UYW42" i="1"/>
  <c r="UYW43" i="1" s="1"/>
  <c r="UYV42" i="1"/>
  <c r="UYV43" i="1" s="1"/>
  <c r="UYU42" i="1"/>
  <c r="UYU43" i="1" s="1"/>
  <c r="UYT42" i="1"/>
  <c r="UYT43" i="1" s="1"/>
  <c r="UYS42" i="1"/>
  <c r="UYS43" i="1" s="1"/>
  <c r="UYR42" i="1"/>
  <c r="UYR43" i="1" s="1"/>
  <c r="UYQ42" i="1"/>
  <c r="UYQ43" i="1" s="1"/>
  <c r="UYP42" i="1"/>
  <c r="UYP43" i="1" s="1"/>
  <c r="UYO42" i="1"/>
  <c r="UYO43" i="1" s="1"/>
  <c r="UYN42" i="1"/>
  <c r="UYN43" i="1" s="1"/>
  <c r="UYM42" i="1"/>
  <c r="UYM43" i="1" s="1"/>
  <c r="UYL42" i="1"/>
  <c r="UYL43" i="1" s="1"/>
  <c r="UYK42" i="1"/>
  <c r="UYK43" i="1" s="1"/>
  <c r="UYJ42" i="1"/>
  <c r="UYJ43" i="1" s="1"/>
  <c r="UYI42" i="1"/>
  <c r="UYI43" i="1" s="1"/>
  <c r="UYH42" i="1"/>
  <c r="UYH43" i="1" s="1"/>
  <c r="UYG42" i="1"/>
  <c r="UYG43" i="1" s="1"/>
  <c r="UYF42" i="1"/>
  <c r="UYF43" i="1" s="1"/>
  <c r="UYE42" i="1"/>
  <c r="UYE43" i="1" s="1"/>
  <c r="UYD42" i="1"/>
  <c r="UYD43" i="1" s="1"/>
  <c r="UYC42" i="1"/>
  <c r="UYC43" i="1" s="1"/>
  <c r="UYB42" i="1"/>
  <c r="UYB43" i="1" s="1"/>
  <c r="UYA42" i="1"/>
  <c r="UYA43" i="1" s="1"/>
  <c r="UXZ42" i="1"/>
  <c r="UXZ43" i="1" s="1"/>
  <c r="UXY42" i="1"/>
  <c r="UXY43" i="1" s="1"/>
  <c r="UXX42" i="1"/>
  <c r="UXX43" i="1" s="1"/>
  <c r="UXW42" i="1"/>
  <c r="UXW43" i="1" s="1"/>
  <c r="UXV42" i="1"/>
  <c r="UXV43" i="1" s="1"/>
  <c r="UXU42" i="1"/>
  <c r="UXU43" i="1" s="1"/>
  <c r="UXT42" i="1"/>
  <c r="UXT43" i="1" s="1"/>
  <c r="UXS42" i="1"/>
  <c r="UXS43" i="1" s="1"/>
  <c r="UXR42" i="1"/>
  <c r="UXR43" i="1" s="1"/>
  <c r="UXQ42" i="1"/>
  <c r="UXQ43" i="1" s="1"/>
  <c r="UXP42" i="1"/>
  <c r="UXP43" i="1" s="1"/>
  <c r="UXO42" i="1"/>
  <c r="UXO43" i="1" s="1"/>
  <c r="UXN42" i="1"/>
  <c r="UXN43" i="1" s="1"/>
  <c r="UXM42" i="1"/>
  <c r="UXM43" i="1" s="1"/>
  <c r="UXL42" i="1"/>
  <c r="UXL43" i="1" s="1"/>
  <c r="UXK42" i="1"/>
  <c r="UXK43" i="1" s="1"/>
  <c r="UXJ42" i="1"/>
  <c r="UXJ43" i="1" s="1"/>
  <c r="UXI42" i="1"/>
  <c r="UXI43" i="1" s="1"/>
  <c r="UXH42" i="1"/>
  <c r="UXH43" i="1" s="1"/>
  <c r="UXG42" i="1"/>
  <c r="UXG43" i="1" s="1"/>
  <c r="UXF42" i="1"/>
  <c r="UXF43" i="1" s="1"/>
  <c r="UXE42" i="1"/>
  <c r="UXE43" i="1" s="1"/>
  <c r="UXD42" i="1"/>
  <c r="UXD43" i="1" s="1"/>
  <c r="UXC42" i="1"/>
  <c r="UXC43" i="1" s="1"/>
  <c r="UXB42" i="1"/>
  <c r="UXB43" i="1" s="1"/>
  <c r="UXA42" i="1"/>
  <c r="UXA43" i="1" s="1"/>
  <c r="UWZ42" i="1"/>
  <c r="UWZ43" i="1" s="1"/>
  <c r="UWY42" i="1"/>
  <c r="UWY43" i="1" s="1"/>
  <c r="UWX42" i="1"/>
  <c r="UWX43" i="1" s="1"/>
  <c r="UWW42" i="1"/>
  <c r="UWW43" i="1" s="1"/>
  <c r="UWV42" i="1"/>
  <c r="UWV43" i="1" s="1"/>
  <c r="UWU42" i="1"/>
  <c r="UWU43" i="1" s="1"/>
  <c r="UWT42" i="1"/>
  <c r="UWT43" i="1" s="1"/>
  <c r="UWS42" i="1"/>
  <c r="UWS43" i="1" s="1"/>
  <c r="UWR42" i="1"/>
  <c r="UWR43" i="1" s="1"/>
  <c r="UWQ42" i="1"/>
  <c r="UWQ43" i="1" s="1"/>
  <c r="UWP42" i="1"/>
  <c r="UWP43" i="1" s="1"/>
  <c r="UWO42" i="1"/>
  <c r="UWO43" i="1" s="1"/>
  <c r="UWN42" i="1"/>
  <c r="UWN43" i="1" s="1"/>
  <c r="UWM42" i="1"/>
  <c r="UWM43" i="1" s="1"/>
  <c r="UWL42" i="1"/>
  <c r="UWL43" i="1" s="1"/>
  <c r="UWK42" i="1"/>
  <c r="UWK43" i="1" s="1"/>
  <c r="UWJ42" i="1"/>
  <c r="UWJ43" i="1" s="1"/>
  <c r="UWI42" i="1"/>
  <c r="UWI43" i="1" s="1"/>
  <c r="UWH42" i="1"/>
  <c r="UWH43" i="1" s="1"/>
  <c r="UWG42" i="1"/>
  <c r="UWG43" i="1" s="1"/>
  <c r="UWF42" i="1"/>
  <c r="UWF43" i="1" s="1"/>
  <c r="UWE42" i="1"/>
  <c r="UWE43" i="1" s="1"/>
  <c r="UWD42" i="1"/>
  <c r="UWD43" i="1" s="1"/>
  <c r="UWC42" i="1"/>
  <c r="UWC43" i="1" s="1"/>
  <c r="UWB42" i="1"/>
  <c r="UWB43" i="1" s="1"/>
  <c r="UWA42" i="1"/>
  <c r="UWA43" i="1" s="1"/>
  <c r="UVZ42" i="1"/>
  <c r="UVZ43" i="1" s="1"/>
  <c r="UVY42" i="1"/>
  <c r="UVY43" i="1" s="1"/>
  <c r="UVX42" i="1"/>
  <c r="UVX43" i="1" s="1"/>
  <c r="UVW42" i="1"/>
  <c r="UVW43" i="1" s="1"/>
  <c r="UVV42" i="1"/>
  <c r="UVV43" i="1" s="1"/>
  <c r="UVU42" i="1"/>
  <c r="UVU43" i="1" s="1"/>
  <c r="UVT42" i="1"/>
  <c r="UVT43" i="1" s="1"/>
  <c r="UVS42" i="1"/>
  <c r="UVS43" i="1" s="1"/>
  <c r="UVR42" i="1"/>
  <c r="UVR43" i="1" s="1"/>
  <c r="UVQ42" i="1"/>
  <c r="UVQ43" i="1" s="1"/>
  <c r="UVP42" i="1"/>
  <c r="UVP43" i="1" s="1"/>
  <c r="UVO42" i="1"/>
  <c r="UVO43" i="1" s="1"/>
  <c r="UVN42" i="1"/>
  <c r="UVN43" i="1" s="1"/>
  <c r="UVM42" i="1"/>
  <c r="UVM43" i="1" s="1"/>
  <c r="UVL42" i="1"/>
  <c r="UVL43" i="1" s="1"/>
  <c r="UVK42" i="1"/>
  <c r="UVK43" i="1" s="1"/>
  <c r="UVJ42" i="1"/>
  <c r="UVJ43" i="1" s="1"/>
  <c r="UVI42" i="1"/>
  <c r="UVI43" i="1" s="1"/>
  <c r="UVH42" i="1"/>
  <c r="UVH43" i="1" s="1"/>
  <c r="UVG42" i="1"/>
  <c r="UVG43" i="1" s="1"/>
  <c r="UVF42" i="1"/>
  <c r="UVF43" i="1" s="1"/>
  <c r="UVE42" i="1"/>
  <c r="UVE43" i="1" s="1"/>
  <c r="UVD42" i="1"/>
  <c r="UVD43" i="1" s="1"/>
  <c r="UVC42" i="1"/>
  <c r="UVC43" i="1" s="1"/>
  <c r="UVB42" i="1"/>
  <c r="UVB43" i="1" s="1"/>
  <c r="UVA42" i="1"/>
  <c r="UVA43" i="1" s="1"/>
  <c r="UUZ42" i="1"/>
  <c r="UUZ43" i="1" s="1"/>
  <c r="UUY42" i="1"/>
  <c r="UUY43" i="1" s="1"/>
  <c r="UUX42" i="1"/>
  <c r="UUX43" i="1" s="1"/>
  <c r="UUW42" i="1"/>
  <c r="UUW43" i="1" s="1"/>
  <c r="UUV42" i="1"/>
  <c r="UUV43" i="1" s="1"/>
  <c r="UUU42" i="1"/>
  <c r="UUU43" i="1" s="1"/>
  <c r="UUT42" i="1"/>
  <c r="UUT43" i="1" s="1"/>
  <c r="UUS42" i="1"/>
  <c r="UUS43" i="1" s="1"/>
  <c r="UUR42" i="1"/>
  <c r="UUR43" i="1" s="1"/>
  <c r="UUQ42" i="1"/>
  <c r="UUQ43" i="1" s="1"/>
  <c r="UUP42" i="1"/>
  <c r="UUP43" i="1" s="1"/>
  <c r="UUO42" i="1"/>
  <c r="UUO43" i="1" s="1"/>
  <c r="UUN42" i="1"/>
  <c r="UUN43" i="1" s="1"/>
  <c r="UUM42" i="1"/>
  <c r="UUM43" i="1" s="1"/>
  <c r="UUL42" i="1"/>
  <c r="UUL43" i="1" s="1"/>
  <c r="UUK42" i="1"/>
  <c r="UUK43" i="1" s="1"/>
  <c r="UUJ42" i="1"/>
  <c r="UUJ43" i="1" s="1"/>
  <c r="UUI42" i="1"/>
  <c r="UUI43" i="1" s="1"/>
  <c r="UUH42" i="1"/>
  <c r="UUH43" i="1" s="1"/>
  <c r="UUG42" i="1"/>
  <c r="UUG43" i="1" s="1"/>
  <c r="UUF42" i="1"/>
  <c r="UUF43" i="1" s="1"/>
  <c r="UUE42" i="1"/>
  <c r="UUE43" i="1" s="1"/>
  <c r="UUD42" i="1"/>
  <c r="UUD43" i="1" s="1"/>
  <c r="UUC42" i="1"/>
  <c r="UUC43" i="1" s="1"/>
  <c r="UUB42" i="1"/>
  <c r="UUB43" i="1" s="1"/>
  <c r="UUA42" i="1"/>
  <c r="UUA43" i="1" s="1"/>
  <c r="UTZ42" i="1"/>
  <c r="UTZ43" i="1" s="1"/>
  <c r="UTY42" i="1"/>
  <c r="UTY43" i="1" s="1"/>
  <c r="UTX42" i="1"/>
  <c r="UTX43" i="1" s="1"/>
  <c r="UTW42" i="1"/>
  <c r="UTW43" i="1" s="1"/>
  <c r="UTV42" i="1"/>
  <c r="UTV43" i="1" s="1"/>
  <c r="UTU42" i="1"/>
  <c r="UTU43" i="1" s="1"/>
  <c r="UTT42" i="1"/>
  <c r="UTT43" i="1" s="1"/>
  <c r="UTS42" i="1"/>
  <c r="UTS43" i="1" s="1"/>
  <c r="UTR42" i="1"/>
  <c r="UTR43" i="1" s="1"/>
  <c r="UTQ42" i="1"/>
  <c r="UTQ43" i="1" s="1"/>
  <c r="UTP42" i="1"/>
  <c r="UTP43" i="1" s="1"/>
  <c r="UTO42" i="1"/>
  <c r="UTO43" i="1" s="1"/>
  <c r="UTN42" i="1"/>
  <c r="UTN43" i="1" s="1"/>
  <c r="UTM42" i="1"/>
  <c r="UTM43" i="1" s="1"/>
  <c r="UTL42" i="1"/>
  <c r="UTL43" i="1" s="1"/>
  <c r="UTK42" i="1"/>
  <c r="UTK43" i="1" s="1"/>
  <c r="UTJ42" i="1"/>
  <c r="UTJ43" i="1" s="1"/>
  <c r="UTI42" i="1"/>
  <c r="UTI43" i="1" s="1"/>
  <c r="UTH42" i="1"/>
  <c r="UTH43" i="1" s="1"/>
  <c r="UTG42" i="1"/>
  <c r="UTG43" i="1" s="1"/>
  <c r="UTF42" i="1"/>
  <c r="UTF43" i="1" s="1"/>
  <c r="UTE42" i="1"/>
  <c r="UTE43" i="1" s="1"/>
  <c r="UTD42" i="1"/>
  <c r="UTD43" i="1" s="1"/>
  <c r="UTC42" i="1"/>
  <c r="UTC43" i="1" s="1"/>
  <c r="UTB42" i="1"/>
  <c r="UTB43" i="1" s="1"/>
  <c r="UTA42" i="1"/>
  <c r="UTA43" i="1" s="1"/>
  <c r="USZ42" i="1"/>
  <c r="USZ43" i="1" s="1"/>
  <c r="USY42" i="1"/>
  <c r="USY43" i="1" s="1"/>
  <c r="USX42" i="1"/>
  <c r="USX43" i="1" s="1"/>
  <c r="USW42" i="1"/>
  <c r="USW43" i="1" s="1"/>
  <c r="USV42" i="1"/>
  <c r="USV43" i="1" s="1"/>
  <c r="USU42" i="1"/>
  <c r="USU43" i="1" s="1"/>
  <c r="UST42" i="1"/>
  <c r="UST43" i="1" s="1"/>
  <c r="USS42" i="1"/>
  <c r="USS43" i="1" s="1"/>
  <c r="USR42" i="1"/>
  <c r="USR43" i="1" s="1"/>
  <c r="USQ42" i="1"/>
  <c r="USQ43" i="1" s="1"/>
  <c r="USP42" i="1"/>
  <c r="USP43" i="1" s="1"/>
  <c r="USO42" i="1"/>
  <c r="USO43" i="1" s="1"/>
  <c r="USN42" i="1"/>
  <c r="USN43" i="1" s="1"/>
  <c r="USM42" i="1"/>
  <c r="USM43" i="1" s="1"/>
  <c r="USL42" i="1"/>
  <c r="USL43" i="1" s="1"/>
  <c r="USK42" i="1"/>
  <c r="USK43" i="1" s="1"/>
  <c r="USJ42" i="1"/>
  <c r="USJ43" i="1" s="1"/>
  <c r="USI42" i="1"/>
  <c r="USI43" i="1" s="1"/>
  <c r="USH42" i="1"/>
  <c r="USH43" i="1" s="1"/>
  <c r="USG42" i="1"/>
  <c r="USG43" i="1" s="1"/>
  <c r="USF42" i="1"/>
  <c r="USF43" i="1" s="1"/>
  <c r="USE42" i="1"/>
  <c r="USE43" i="1" s="1"/>
  <c r="USD42" i="1"/>
  <c r="USD43" i="1" s="1"/>
  <c r="USC42" i="1"/>
  <c r="USC43" i="1" s="1"/>
  <c r="USB42" i="1"/>
  <c r="USB43" i="1" s="1"/>
  <c r="USA42" i="1"/>
  <c r="USA43" i="1" s="1"/>
  <c r="URZ42" i="1"/>
  <c r="URZ43" i="1" s="1"/>
  <c r="URY42" i="1"/>
  <c r="URY43" i="1" s="1"/>
  <c r="URX42" i="1"/>
  <c r="URX43" i="1" s="1"/>
  <c r="URW42" i="1"/>
  <c r="URW43" i="1" s="1"/>
  <c r="URV42" i="1"/>
  <c r="URV43" i="1" s="1"/>
  <c r="URU42" i="1"/>
  <c r="URU43" i="1" s="1"/>
  <c r="URT42" i="1"/>
  <c r="URT43" i="1" s="1"/>
  <c r="URS42" i="1"/>
  <c r="URS43" i="1" s="1"/>
  <c r="URR42" i="1"/>
  <c r="URR43" i="1" s="1"/>
  <c r="URQ42" i="1"/>
  <c r="URQ43" i="1" s="1"/>
  <c r="URP42" i="1"/>
  <c r="URP43" i="1" s="1"/>
  <c r="URO42" i="1"/>
  <c r="URO43" i="1" s="1"/>
  <c r="URN42" i="1"/>
  <c r="URN43" i="1" s="1"/>
  <c r="URM42" i="1"/>
  <c r="URM43" i="1" s="1"/>
  <c r="URL42" i="1"/>
  <c r="URL43" i="1" s="1"/>
  <c r="URK42" i="1"/>
  <c r="URK43" i="1" s="1"/>
  <c r="URJ42" i="1"/>
  <c r="URJ43" i="1" s="1"/>
  <c r="URI42" i="1"/>
  <c r="URI43" i="1" s="1"/>
  <c r="URH42" i="1"/>
  <c r="URH43" i="1" s="1"/>
  <c r="URG42" i="1"/>
  <c r="URG43" i="1" s="1"/>
  <c r="URF42" i="1"/>
  <c r="URF43" i="1" s="1"/>
  <c r="URE42" i="1"/>
  <c r="URE43" i="1" s="1"/>
  <c r="URD42" i="1"/>
  <c r="URD43" i="1" s="1"/>
  <c r="URC42" i="1"/>
  <c r="URC43" i="1" s="1"/>
  <c r="URB42" i="1"/>
  <c r="URB43" i="1" s="1"/>
  <c r="URA42" i="1"/>
  <c r="URA43" i="1" s="1"/>
  <c r="UQZ42" i="1"/>
  <c r="UQZ43" i="1" s="1"/>
  <c r="UQY42" i="1"/>
  <c r="UQY43" i="1" s="1"/>
  <c r="UQX42" i="1"/>
  <c r="UQX43" i="1" s="1"/>
  <c r="UQW42" i="1"/>
  <c r="UQW43" i="1" s="1"/>
  <c r="UQV42" i="1"/>
  <c r="UQV43" i="1" s="1"/>
  <c r="UQU42" i="1"/>
  <c r="UQU43" i="1" s="1"/>
  <c r="UQT42" i="1"/>
  <c r="UQT43" i="1" s="1"/>
  <c r="UQS42" i="1"/>
  <c r="UQS43" i="1" s="1"/>
  <c r="UQR42" i="1"/>
  <c r="UQR43" i="1" s="1"/>
  <c r="UQQ42" i="1"/>
  <c r="UQQ43" i="1" s="1"/>
  <c r="UQP42" i="1"/>
  <c r="UQP43" i="1" s="1"/>
  <c r="UQO42" i="1"/>
  <c r="UQO43" i="1" s="1"/>
  <c r="UQN42" i="1"/>
  <c r="UQN43" i="1" s="1"/>
  <c r="UQM42" i="1"/>
  <c r="UQM43" i="1" s="1"/>
  <c r="UQL42" i="1"/>
  <c r="UQL43" i="1" s="1"/>
  <c r="UQK42" i="1"/>
  <c r="UQK43" i="1" s="1"/>
  <c r="UQJ42" i="1"/>
  <c r="UQJ43" i="1" s="1"/>
  <c r="UQI42" i="1"/>
  <c r="UQI43" i="1" s="1"/>
  <c r="UQH42" i="1"/>
  <c r="UQH43" i="1" s="1"/>
  <c r="UQG42" i="1"/>
  <c r="UQG43" i="1" s="1"/>
  <c r="UQF42" i="1"/>
  <c r="UQF43" i="1" s="1"/>
  <c r="UQE42" i="1"/>
  <c r="UQE43" i="1" s="1"/>
  <c r="UQD42" i="1"/>
  <c r="UQD43" i="1" s="1"/>
  <c r="UQC42" i="1"/>
  <c r="UQC43" i="1" s="1"/>
  <c r="UQB42" i="1"/>
  <c r="UQB43" i="1" s="1"/>
  <c r="UQA42" i="1"/>
  <c r="UQA43" i="1" s="1"/>
  <c r="UPZ42" i="1"/>
  <c r="UPZ43" i="1" s="1"/>
  <c r="UPY42" i="1"/>
  <c r="UPY43" i="1" s="1"/>
  <c r="UPX42" i="1"/>
  <c r="UPX43" i="1" s="1"/>
  <c r="UPW42" i="1"/>
  <c r="UPW43" i="1" s="1"/>
  <c r="UPV42" i="1"/>
  <c r="UPV43" i="1" s="1"/>
  <c r="UPU42" i="1"/>
  <c r="UPU43" i="1" s="1"/>
  <c r="UPT42" i="1"/>
  <c r="UPT43" i="1" s="1"/>
  <c r="UPS42" i="1"/>
  <c r="UPS43" i="1" s="1"/>
  <c r="UPR42" i="1"/>
  <c r="UPR43" i="1" s="1"/>
  <c r="UPQ42" i="1"/>
  <c r="UPQ43" i="1" s="1"/>
  <c r="UPP42" i="1"/>
  <c r="UPP43" i="1" s="1"/>
  <c r="UPO42" i="1"/>
  <c r="UPO43" i="1" s="1"/>
  <c r="UPN42" i="1"/>
  <c r="UPN43" i="1" s="1"/>
  <c r="UPM42" i="1"/>
  <c r="UPM43" i="1" s="1"/>
  <c r="UPL42" i="1"/>
  <c r="UPL43" i="1" s="1"/>
  <c r="UPK42" i="1"/>
  <c r="UPK43" i="1" s="1"/>
  <c r="UPJ42" i="1"/>
  <c r="UPJ43" i="1" s="1"/>
  <c r="UPI42" i="1"/>
  <c r="UPI43" i="1" s="1"/>
  <c r="UPH42" i="1"/>
  <c r="UPH43" i="1" s="1"/>
  <c r="UPG42" i="1"/>
  <c r="UPG43" i="1" s="1"/>
  <c r="UPF42" i="1"/>
  <c r="UPF43" i="1" s="1"/>
  <c r="UPE42" i="1"/>
  <c r="UPE43" i="1" s="1"/>
  <c r="UPD42" i="1"/>
  <c r="UPD43" i="1" s="1"/>
  <c r="UPC42" i="1"/>
  <c r="UPC43" i="1" s="1"/>
  <c r="UPB42" i="1"/>
  <c r="UPB43" i="1" s="1"/>
  <c r="UPA42" i="1"/>
  <c r="UPA43" i="1" s="1"/>
  <c r="UOZ42" i="1"/>
  <c r="UOZ43" i="1" s="1"/>
  <c r="UOY42" i="1"/>
  <c r="UOY43" i="1" s="1"/>
  <c r="UOX42" i="1"/>
  <c r="UOX43" i="1" s="1"/>
  <c r="UOW42" i="1"/>
  <c r="UOW43" i="1" s="1"/>
  <c r="UOV42" i="1"/>
  <c r="UOV43" i="1" s="1"/>
  <c r="UOU42" i="1"/>
  <c r="UOU43" i="1" s="1"/>
  <c r="UOT42" i="1"/>
  <c r="UOT43" i="1" s="1"/>
  <c r="UOS42" i="1"/>
  <c r="UOS43" i="1" s="1"/>
  <c r="UOR42" i="1"/>
  <c r="UOR43" i="1" s="1"/>
  <c r="UOQ42" i="1"/>
  <c r="UOQ43" i="1" s="1"/>
  <c r="UOP42" i="1"/>
  <c r="UOP43" i="1" s="1"/>
  <c r="UOO42" i="1"/>
  <c r="UOO43" i="1" s="1"/>
  <c r="UON42" i="1"/>
  <c r="UON43" i="1" s="1"/>
  <c r="UOM42" i="1"/>
  <c r="UOM43" i="1" s="1"/>
  <c r="UOL42" i="1"/>
  <c r="UOL43" i="1" s="1"/>
  <c r="UOK42" i="1"/>
  <c r="UOK43" i="1" s="1"/>
  <c r="UOJ42" i="1"/>
  <c r="UOJ43" i="1" s="1"/>
  <c r="UOI42" i="1"/>
  <c r="UOI43" i="1" s="1"/>
  <c r="UOH42" i="1"/>
  <c r="UOH43" i="1" s="1"/>
  <c r="UOG42" i="1"/>
  <c r="UOG43" i="1" s="1"/>
  <c r="UOF42" i="1"/>
  <c r="UOF43" i="1" s="1"/>
  <c r="UOE42" i="1"/>
  <c r="UOE43" i="1" s="1"/>
  <c r="UOD42" i="1"/>
  <c r="UOD43" i="1" s="1"/>
  <c r="UOC42" i="1"/>
  <c r="UOC43" i="1" s="1"/>
  <c r="UOB42" i="1"/>
  <c r="UOB43" i="1" s="1"/>
  <c r="UOA42" i="1"/>
  <c r="UOA43" i="1" s="1"/>
  <c r="UNZ42" i="1"/>
  <c r="UNZ43" i="1" s="1"/>
  <c r="UNY42" i="1"/>
  <c r="UNY43" i="1" s="1"/>
  <c r="UNX42" i="1"/>
  <c r="UNX43" i="1" s="1"/>
  <c r="UNW42" i="1"/>
  <c r="UNW43" i="1" s="1"/>
  <c r="UNV42" i="1"/>
  <c r="UNV43" i="1" s="1"/>
  <c r="UNU42" i="1"/>
  <c r="UNU43" i="1" s="1"/>
  <c r="UNT42" i="1"/>
  <c r="UNT43" i="1" s="1"/>
  <c r="UNS42" i="1"/>
  <c r="UNS43" i="1" s="1"/>
  <c r="UNR42" i="1"/>
  <c r="UNR43" i="1" s="1"/>
  <c r="UNQ42" i="1"/>
  <c r="UNQ43" i="1" s="1"/>
  <c r="UNP42" i="1"/>
  <c r="UNP43" i="1" s="1"/>
  <c r="UNO42" i="1"/>
  <c r="UNO43" i="1" s="1"/>
  <c r="UNN42" i="1"/>
  <c r="UNN43" i="1" s="1"/>
  <c r="UNM42" i="1"/>
  <c r="UNM43" i="1" s="1"/>
  <c r="UNL42" i="1"/>
  <c r="UNL43" i="1" s="1"/>
  <c r="UNK42" i="1"/>
  <c r="UNK43" i="1" s="1"/>
  <c r="UNJ42" i="1"/>
  <c r="UNJ43" i="1" s="1"/>
  <c r="UNI42" i="1"/>
  <c r="UNI43" i="1" s="1"/>
  <c r="UNH42" i="1"/>
  <c r="UNH43" i="1" s="1"/>
  <c r="UNG42" i="1"/>
  <c r="UNG43" i="1" s="1"/>
  <c r="UNF42" i="1"/>
  <c r="UNF43" i="1" s="1"/>
  <c r="UNE42" i="1"/>
  <c r="UNE43" i="1" s="1"/>
  <c r="UND42" i="1"/>
  <c r="UND43" i="1" s="1"/>
  <c r="UNC42" i="1"/>
  <c r="UNC43" i="1" s="1"/>
  <c r="UNB42" i="1"/>
  <c r="UNB43" i="1" s="1"/>
  <c r="UNA42" i="1"/>
  <c r="UNA43" i="1" s="1"/>
  <c r="UMZ42" i="1"/>
  <c r="UMZ43" i="1" s="1"/>
  <c r="UMY42" i="1"/>
  <c r="UMY43" i="1" s="1"/>
  <c r="UMX42" i="1"/>
  <c r="UMX43" i="1" s="1"/>
  <c r="UMW42" i="1"/>
  <c r="UMW43" i="1" s="1"/>
  <c r="UMV42" i="1"/>
  <c r="UMV43" i="1" s="1"/>
  <c r="UMU42" i="1"/>
  <c r="UMU43" i="1" s="1"/>
  <c r="UMT42" i="1"/>
  <c r="UMT43" i="1" s="1"/>
  <c r="UMS42" i="1"/>
  <c r="UMS43" i="1" s="1"/>
  <c r="UMR42" i="1"/>
  <c r="UMR43" i="1" s="1"/>
  <c r="UMQ42" i="1"/>
  <c r="UMQ43" i="1" s="1"/>
  <c r="UMP42" i="1"/>
  <c r="UMP43" i="1" s="1"/>
  <c r="UMO42" i="1"/>
  <c r="UMO43" i="1" s="1"/>
  <c r="UMN42" i="1"/>
  <c r="UMN43" i="1" s="1"/>
  <c r="UMM42" i="1"/>
  <c r="UMM43" i="1" s="1"/>
  <c r="UML42" i="1"/>
  <c r="UML43" i="1" s="1"/>
  <c r="UMK42" i="1"/>
  <c r="UMK43" i="1" s="1"/>
  <c r="UMJ42" i="1"/>
  <c r="UMJ43" i="1" s="1"/>
  <c r="UMI42" i="1"/>
  <c r="UMI43" i="1" s="1"/>
  <c r="UMH42" i="1"/>
  <c r="UMH43" i="1" s="1"/>
  <c r="UMG42" i="1"/>
  <c r="UMG43" i="1" s="1"/>
  <c r="UMF42" i="1"/>
  <c r="UMF43" i="1" s="1"/>
  <c r="UME42" i="1"/>
  <c r="UME43" i="1" s="1"/>
  <c r="UMD42" i="1"/>
  <c r="UMD43" i="1" s="1"/>
  <c r="UMC42" i="1"/>
  <c r="UMC43" i="1" s="1"/>
  <c r="UMB42" i="1"/>
  <c r="UMB43" i="1" s="1"/>
  <c r="UMA42" i="1"/>
  <c r="UMA43" i="1" s="1"/>
  <c r="ULZ42" i="1"/>
  <c r="ULZ43" i="1" s="1"/>
  <c r="ULY42" i="1"/>
  <c r="ULY43" i="1" s="1"/>
  <c r="ULX42" i="1"/>
  <c r="ULX43" i="1" s="1"/>
  <c r="ULW42" i="1"/>
  <c r="ULW43" i="1" s="1"/>
  <c r="ULV42" i="1"/>
  <c r="ULV43" i="1" s="1"/>
  <c r="ULU42" i="1"/>
  <c r="ULU43" i="1" s="1"/>
  <c r="ULT42" i="1"/>
  <c r="ULT43" i="1" s="1"/>
  <c r="ULS42" i="1"/>
  <c r="ULS43" i="1" s="1"/>
  <c r="ULR42" i="1"/>
  <c r="ULR43" i="1" s="1"/>
  <c r="ULQ42" i="1"/>
  <c r="ULQ43" i="1" s="1"/>
  <c r="ULP42" i="1"/>
  <c r="ULP43" i="1" s="1"/>
  <c r="ULO42" i="1"/>
  <c r="ULO43" i="1" s="1"/>
  <c r="ULN42" i="1"/>
  <c r="ULN43" i="1" s="1"/>
  <c r="ULM42" i="1"/>
  <c r="ULM43" i="1" s="1"/>
  <c r="ULL42" i="1"/>
  <c r="ULL43" i="1" s="1"/>
  <c r="ULK42" i="1"/>
  <c r="ULK43" i="1" s="1"/>
  <c r="ULJ42" i="1"/>
  <c r="ULJ43" i="1" s="1"/>
  <c r="ULI42" i="1"/>
  <c r="ULI43" i="1" s="1"/>
  <c r="ULH42" i="1"/>
  <c r="ULH43" i="1" s="1"/>
  <c r="ULG42" i="1"/>
  <c r="ULG43" i="1" s="1"/>
  <c r="ULF42" i="1"/>
  <c r="ULF43" i="1" s="1"/>
  <c r="ULE42" i="1"/>
  <c r="ULE43" i="1" s="1"/>
  <c r="ULD42" i="1"/>
  <c r="ULD43" i="1" s="1"/>
  <c r="ULC42" i="1"/>
  <c r="ULC43" i="1" s="1"/>
  <c r="ULB42" i="1"/>
  <c r="ULB43" i="1" s="1"/>
  <c r="ULA42" i="1"/>
  <c r="ULA43" i="1" s="1"/>
  <c r="UKZ42" i="1"/>
  <c r="UKZ43" i="1" s="1"/>
  <c r="UKY42" i="1"/>
  <c r="UKY43" i="1" s="1"/>
  <c r="UKX42" i="1"/>
  <c r="UKX43" i="1" s="1"/>
  <c r="UKW42" i="1"/>
  <c r="UKW43" i="1" s="1"/>
  <c r="UKV42" i="1"/>
  <c r="UKV43" i="1" s="1"/>
  <c r="UKU42" i="1"/>
  <c r="UKU43" i="1" s="1"/>
  <c r="UKT42" i="1"/>
  <c r="UKT43" i="1" s="1"/>
  <c r="UKS42" i="1"/>
  <c r="UKS43" i="1" s="1"/>
  <c r="UKR42" i="1"/>
  <c r="UKR43" i="1" s="1"/>
  <c r="UKQ42" i="1"/>
  <c r="UKQ43" i="1" s="1"/>
  <c r="UKP42" i="1"/>
  <c r="UKP43" i="1" s="1"/>
  <c r="UKO42" i="1"/>
  <c r="UKO43" i="1" s="1"/>
  <c r="UKN42" i="1"/>
  <c r="UKN43" i="1" s="1"/>
  <c r="UKM42" i="1"/>
  <c r="UKM43" i="1" s="1"/>
  <c r="UKL42" i="1"/>
  <c r="UKL43" i="1" s="1"/>
  <c r="UKK42" i="1"/>
  <c r="UKK43" i="1" s="1"/>
  <c r="UKJ42" i="1"/>
  <c r="UKJ43" i="1" s="1"/>
  <c r="UKI42" i="1"/>
  <c r="UKI43" i="1" s="1"/>
  <c r="UKH42" i="1"/>
  <c r="UKH43" i="1" s="1"/>
  <c r="UKG42" i="1"/>
  <c r="UKG43" i="1" s="1"/>
  <c r="UKF42" i="1"/>
  <c r="UKF43" i="1" s="1"/>
  <c r="UKE42" i="1"/>
  <c r="UKE43" i="1" s="1"/>
  <c r="UKD42" i="1"/>
  <c r="UKD43" i="1" s="1"/>
  <c r="UKC42" i="1"/>
  <c r="UKC43" i="1" s="1"/>
  <c r="UKB42" i="1"/>
  <c r="UKB43" i="1" s="1"/>
  <c r="UKA42" i="1"/>
  <c r="UKA43" i="1" s="1"/>
  <c r="UJZ42" i="1"/>
  <c r="UJZ43" i="1" s="1"/>
  <c r="UJY42" i="1"/>
  <c r="UJY43" i="1" s="1"/>
  <c r="UJX42" i="1"/>
  <c r="UJX43" i="1" s="1"/>
  <c r="UJW42" i="1"/>
  <c r="UJW43" i="1" s="1"/>
  <c r="UJV42" i="1"/>
  <c r="UJV43" i="1" s="1"/>
  <c r="UJU42" i="1"/>
  <c r="UJU43" i="1" s="1"/>
  <c r="UJT42" i="1"/>
  <c r="UJT43" i="1" s="1"/>
  <c r="UJS42" i="1"/>
  <c r="UJS43" i="1" s="1"/>
  <c r="UJR42" i="1"/>
  <c r="UJR43" i="1" s="1"/>
  <c r="UJQ42" i="1"/>
  <c r="UJQ43" i="1" s="1"/>
  <c r="UJP42" i="1"/>
  <c r="UJP43" i="1" s="1"/>
  <c r="UJO42" i="1"/>
  <c r="UJO43" i="1" s="1"/>
  <c r="UJN42" i="1"/>
  <c r="UJN43" i="1" s="1"/>
  <c r="UJM42" i="1"/>
  <c r="UJM43" i="1" s="1"/>
  <c r="UJL42" i="1"/>
  <c r="UJL43" i="1" s="1"/>
  <c r="UJK42" i="1"/>
  <c r="UJK43" i="1" s="1"/>
  <c r="UJJ42" i="1"/>
  <c r="UJJ43" i="1" s="1"/>
  <c r="UJI42" i="1"/>
  <c r="UJI43" i="1" s="1"/>
  <c r="UJH42" i="1"/>
  <c r="UJH43" i="1" s="1"/>
  <c r="UJG42" i="1"/>
  <c r="UJG43" i="1" s="1"/>
  <c r="UJF42" i="1"/>
  <c r="UJF43" i="1" s="1"/>
  <c r="UJE42" i="1"/>
  <c r="UJE43" i="1" s="1"/>
  <c r="UJD42" i="1"/>
  <c r="UJD43" i="1" s="1"/>
  <c r="UJC42" i="1"/>
  <c r="UJC43" i="1" s="1"/>
  <c r="UJB42" i="1"/>
  <c r="UJB43" i="1" s="1"/>
  <c r="UJA42" i="1"/>
  <c r="UJA43" i="1" s="1"/>
  <c r="UIZ42" i="1"/>
  <c r="UIZ43" i="1" s="1"/>
  <c r="UIY42" i="1"/>
  <c r="UIY43" i="1" s="1"/>
  <c r="UIX42" i="1"/>
  <c r="UIX43" i="1" s="1"/>
  <c r="UIW42" i="1"/>
  <c r="UIW43" i="1" s="1"/>
  <c r="UIV42" i="1"/>
  <c r="UIV43" i="1" s="1"/>
  <c r="UIU42" i="1"/>
  <c r="UIU43" i="1" s="1"/>
  <c r="UIT42" i="1"/>
  <c r="UIT43" i="1" s="1"/>
  <c r="UIS42" i="1"/>
  <c r="UIS43" i="1" s="1"/>
  <c r="UIR42" i="1"/>
  <c r="UIR43" i="1" s="1"/>
  <c r="UIQ42" i="1"/>
  <c r="UIQ43" i="1" s="1"/>
  <c r="UIP42" i="1"/>
  <c r="UIP43" i="1" s="1"/>
  <c r="UIO42" i="1"/>
  <c r="UIO43" i="1" s="1"/>
  <c r="UIN42" i="1"/>
  <c r="UIN43" i="1" s="1"/>
  <c r="UIM42" i="1"/>
  <c r="UIM43" i="1" s="1"/>
  <c r="UIL42" i="1"/>
  <c r="UIL43" i="1" s="1"/>
  <c r="UIK42" i="1"/>
  <c r="UIK43" i="1" s="1"/>
  <c r="UIJ42" i="1"/>
  <c r="UIJ43" i="1" s="1"/>
  <c r="UII42" i="1"/>
  <c r="UII43" i="1" s="1"/>
  <c r="UIH42" i="1"/>
  <c r="UIH43" i="1" s="1"/>
  <c r="UIG42" i="1"/>
  <c r="UIG43" i="1" s="1"/>
  <c r="UIF42" i="1"/>
  <c r="UIF43" i="1" s="1"/>
  <c r="UIE42" i="1"/>
  <c r="UIE43" i="1" s="1"/>
  <c r="UID42" i="1"/>
  <c r="UID43" i="1" s="1"/>
  <c r="UIC42" i="1"/>
  <c r="UIC43" i="1" s="1"/>
  <c r="UIB42" i="1"/>
  <c r="UIB43" i="1" s="1"/>
  <c r="UIA42" i="1"/>
  <c r="UIA43" i="1" s="1"/>
  <c r="UHZ42" i="1"/>
  <c r="UHZ43" i="1" s="1"/>
  <c r="UHY42" i="1"/>
  <c r="UHY43" i="1" s="1"/>
  <c r="UHX42" i="1"/>
  <c r="UHX43" i="1" s="1"/>
  <c r="UHW42" i="1"/>
  <c r="UHW43" i="1" s="1"/>
  <c r="UHV42" i="1"/>
  <c r="UHV43" i="1" s="1"/>
  <c r="UHU42" i="1"/>
  <c r="UHU43" i="1" s="1"/>
  <c r="UHT42" i="1"/>
  <c r="UHT43" i="1" s="1"/>
  <c r="UHS42" i="1"/>
  <c r="UHS43" i="1" s="1"/>
  <c r="UHR42" i="1"/>
  <c r="UHR43" i="1" s="1"/>
  <c r="UHQ42" i="1"/>
  <c r="UHQ43" i="1" s="1"/>
  <c r="UHP42" i="1"/>
  <c r="UHP43" i="1" s="1"/>
  <c r="UHO42" i="1"/>
  <c r="UHO43" i="1" s="1"/>
  <c r="UHN42" i="1"/>
  <c r="UHN43" i="1" s="1"/>
  <c r="UHM42" i="1"/>
  <c r="UHM43" i="1" s="1"/>
  <c r="UHL42" i="1"/>
  <c r="UHL43" i="1" s="1"/>
  <c r="UHK42" i="1"/>
  <c r="UHK43" i="1" s="1"/>
  <c r="UHJ42" i="1"/>
  <c r="UHJ43" i="1" s="1"/>
  <c r="UHI42" i="1"/>
  <c r="UHI43" i="1" s="1"/>
  <c r="UHH42" i="1"/>
  <c r="UHH43" i="1" s="1"/>
  <c r="UHG42" i="1"/>
  <c r="UHG43" i="1" s="1"/>
  <c r="UHF42" i="1"/>
  <c r="UHF43" i="1" s="1"/>
  <c r="UHE42" i="1"/>
  <c r="UHE43" i="1" s="1"/>
  <c r="UHD42" i="1"/>
  <c r="UHD43" i="1" s="1"/>
  <c r="UHC42" i="1"/>
  <c r="UHC43" i="1" s="1"/>
  <c r="UHB42" i="1"/>
  <c r="UHB43" i="1" s="1"/>
  <c r="UHA42" i="1"/>
  <c r="UHA43" i="1" s="1"/>
  <c r="UGZ42" i="1"/>
  <c r="UGZ43" i="1" s="1"/>
  <c r="UGY42" i="1"/>
  <c r="UGY43" i="1" s="1"/>
  <c r="UGX42" i="1"/>
  <c r="UGX43" i="1" s="1"/>
  <c r="UGW42" i="1"/>
  <c r="UGW43" i="1" s="1"/>
  <c r="UGV42" i="1"/>
  <c r="UGV43" i="1" s="1"/>
  <c r="UGU42" i="1"/>
  <c r="UGU43" i="1" s="1"/>
  <c r="UGT42" i="1"/>
  <c r="UGT43" i="1" s="1"/>
  <c r="UGS42" i="1"/>
  <c r="UGS43" i="1" s="1"/>
  <c r="UGR42" i="1"/>
  <c r="UGR43" i="1" s="1"/>
  <c r="UGQ42" i="1"/>
  <c r="UGQ43" i="1" s="1"/>
  <c r="UGP42" i="1"/>
  <c r="UGP43" i="1" s="1"/>
  <c r="UGO42" i="1"/>
  <c r="UGO43" i="1" s="1"/>
  <c r="UGN42" i="1"/>
  <c r="UGN43" i="1" s="1"/>
  <c r="UGM42" i="1"/>
  <c r="UGM43" i="1" s="1"/>
  <c r="UGL42" i="1"/>
  <c r="UGL43" i="1" s="1"/>
  <c r="UGK42" i="1"/>
  <c r="UGK43" i="1" s="1"/>
  <c r="UGJ42" i="1"/>
  <c r="UGJ43" i="1" s="1"/>
  <c r="UGI42" i="1"/>
  <c r="UGI43" i="1" s="1"/>
  <c r="UGH42" i="1"/>
  <c r="UGH43" i="1" s="1"/>
  <c r="UGG42" i="1"/>
  <c r="UGG43" i="1" s="1"/>
  <c r="UGF42" i="1"/>
  <c r="UGF43" i="1" s="1"/>
  <c r="UGE42" i="1"/>
  <c r="UGE43" i="1" s="1"/>
  <c r="UGD42" i="1"/>
  <c r="UGD43" i="1" s="1"/>
  <c r="UGC42" i="1"/>
  <c r="UGC43" i="1" s="1"/>
  <c r="UGB42" i="1"/>
  <c r="UGB43" i="1" s="1"/>
  <c r="UGA42" i="1"/>
  <c r="UGA43" i="1" s="1"/>
  <c r="UFZ42" i="1"/>
  <c r="UFZ43" i="1" s="1"/>
  <c r="UFY42" i="1"/>
  <c r="UFY43" i="1" s="1"/>
  <c r="UFX42" i="1"/>
  <c r="UFX43" i="1" s="1"/>
  <c r="UFW42" i="1"/>
  <c r="UFW43" i="1" s="1"/>
  <c r="UFV42" i="1"/>
  <c r="UFV43" i="1" s="1"/>
  <c r="UFU42" i="1"/>
  <c r="UFU43" i="1" s="1"/>
  <c r="UFT42" i="1"/>
  <c r="UFT43" i="1" s="1"/>
  <c r="UFS42" i="1"/>
  <c r="UFS43" i="1" s="1"/>
  <c r="UFR42" i="1"/>
  <c r="UFR43" i="1" s="1"/>
  <c r="UFQ42" i="1"/>
  <c r="UFQ43" i="1" s="1"/>
  <c r="UFP42" i="1"/>
  <c r="UFP43" i="1" s="1"/>
  <c r="UFO42" i="1"/>
  <c r="UFO43" i="1" s="1"/>
  <c r="UFN42" i="1"/>
  <c r="UFN43" i="1" s="1"/>
  <c r="UFM42" i="1"/>
  <c r="UFM43" i="1" s="1"/>
  <c r="UFL42" i="1"/>
  <c r="UFL43" i="1" s="1"/>
  <c r="UFK42" i="1"/>
  <c r="UFK43" i="1" s="1"/>
  <c r="UFJ42" i="1"/>
  <c r="UFJ43" i="1" s="1"/>
  <c r="UFI42" i="1"/>
  <c r="UFI43" i="1" s="1"/>
  <c r="UFH42" i="1"/>
  <c r="UFH43" i="1" s="1"/>
  <c r="UFG42" i="1"/>
  <c r="UFG43" i="1" s="1"/>
  <c r="UFF42" i="1"/>
  <c r="UFF43" i="1" s="1"/>
  <c r="UFE42" i="1"/>
  <c r="UFE43" i="1" s="1"/>
  <c r="UFD42" i="1"/>
  <c r="UFD43" i="1" s="1"/>
  <c r="UFC42" i="1"/>
  <c r="UFC43" i="1" s="1"/>
  <c r="UFB42" i="1"/>
  <c r="UFB43" i="1" s="1"/>
  <c r="UFA42" i="1"/>
  <c r="UFA43" i="1" s="1"/>
  <c r="UEZ42" i="1"/>
  <c r="UEZ43" i="1" s="1"/>
  <c r="UEY42" i="1"/>
  <c r="UEY43" i="1" s="1"/>
  <c r="UEX42" i="1"/>
  <c r="UEX43" i="1" s="1"/>
  <c r="UEW42" i="1"/>
  <c r="UEW43" i="1" s="1"/>
  <c r="UEV42" i="1"/>
  <c r="UEV43" i="1" s="1"/>
  <c r="UEU42" i="1"/>
  <c r="UEU43" i="1" s="1"/>
  <c r="UET42" i="1"/>
  <c r="UET43" i="1" s="1"/>
  <c r="UES42" i="1"/>
  <c r="UES43" i="1" s="1"/>
  <c r="UER42" i="1"/>
  <c r="UER43" i="1" s="1"/>
  <c r="UEQ42" i="1"/>
  <c r="UEQ43" i="1" s="1"/>
  <c r="UEP42" i="1"/>
  <c r="UEP43" i="1" s="1"/>
  <c r="UEO42" i="1"/>
  <c r="UEO43" i="1" s="1"/>
  <c r="UEN42" i="1"/>
  <c r="UEN43" i="1" s="1"/>
  <c r="UEM42" i="1"/>
  <c r="UEM43" i="1" s="1"/>
  <c r="UEL42" i="1"/>
  <c r="UEL43" i="1" s="1"/>
  <c r="UEK42" i="1"/>
  <c r="UEK43" i="1" s="1"/>
  <c r="UEJ42" i="1"/>
  <c r="UEJ43" i="1" s="1"/>
  <c r="UEI42" i="1"/>
  <c r="UEI43" i="1" s="1"/>
  <c r="UEH42" i="1"/>
  <c r="UEH43" i="1" s="1"/>
  <c r="UEG42" i="1"/>
  <c r="UEG43" i="1" s="1"/>
  <c r="UEF42" i="1"/>
  <c r="UEF43" i="1" s="1"/>
  <c r="UEE42" i="1"/>
  <c r="UEE43" i="1" s="1"/>
  <c r="UED42" i="1"/>
  <c r="UED43" i="1" s="1"/>
  <c r="UEC42" i="1"/>
  <c r="UEC43" i="1" s="1"/>
  <c r="UEB42" i="1"/>
  <c r="UEB43" i="1" s="1"/>
  <c r="UEA42" i="1"/>
  <c r="UEA43" i="1" s="1"/>
  <c r="UDZ42" i="1"/>
  <c r="UDZ43" i="1" s="1"/>
  <c r="UDY42" i="1"/>
  <c r="UDY43" i="1" s="1"/>
  <c r="UDX42" i="1"/>
  <c r="UDX43" i="1" s="1"/>
  <c r="UDW42" i="1"/>
  <c r="UDW43" i="1" s="1"/>
  <c r="UDV42" i="1"/>
  <c r="UDV43" i="1" s="1"/>
  <c r="UDU42" i="1"/>
  <c r="UDU43" i="1" s="1"/>
  <c r="UDT42" i="1"/>
  <c r="UDT43" i="1" s="1"/>
  <c r="UDS42" i="1"/>
  <c r="UDS43" i="1" s="1"/>
  <c r="UDR42" i="1"/>
  <c r="UDR43" i="1" s="1"/>
  <c r="UDQ42" i="1"/>
  <c r="UDQ43" i="1" s="1"/>
  <c r="UDP42" i="1"/>
  <c r="UDP43" i="1" s="1"/>
  <c r="UDO42" i="1"/>
  <c r="UDO43" i="1" s="1"/>
  <c r="UDN42" i="1"/>
  <c r="UDN43" i="1" s="1"/>
  <c r="UDM42" i="1"/>
  <c r="UDM43" i="1" s="1"/>
  <c r="UDL42" i="1"/>
  <c r="UDL43" i="1" s="1"/>
  <c r="UDK42" i="1"/>
  <c r="UDK43" i="1" s="1"/>
  <c r="UDJ42" i="1"/>
  <c r="UDJ43" i="1" s="1"/>
  <c r="UDI42" i="1"/>
  <c r="UDI43" i="1" s="1"/>
  <c r="UDH42" i="1"/>
  <c r="UDH43" i="1" s="1"/>
  <c r="UDG42" i="1"/>
  <c r="UDG43" i="1" s="1"/>
  <c r="UDF42" i="1"/>
  <c r="UDF43" i="1" s="1"/>
  <c r="UDE42" i="1"/>
  <c r="UDE43" i="1" s="1"/>
  <c r="UDD42" i="1"/>
  <c r="UDD43" i="1" s="1"/>
  <c r="UDC42" i="1"/>
  <c r="UDC43" i="1" s="1"/>
  <c r="UDB42" i="1"/>
  <c r="UDB43" i="1" s="1"/>
  <c r="UDA42" i="1"/>
  <c r="UDA43" i="1" s="1"/>
  <c r="UCZ42" i="1"/>
  <c r="UCZ43" i="1" s="1"/>
  <c r="UCY42" i="1"/>
  <c r="UCY43" i="1" s="1"/>
  <c r="UCX42" i="1"/>
  <c r="UCX43" i="1" s="1"/>
  <c r="UCW42" i="1"/>
  <c r="UCW43" i="1" s="1"/>
  <c r="UCV42" i="1"/>
  <c r="UCV43" i="1" s="1"/>
  <c r="UCU42" i="1"/>
  <c r="UCU43" i="1" s="1"/>
  <c r="UCT42" i="1"/>
  <c r="UCT43" i="1" s="1"/>
  <c r="UCS42" i="1"/>
  <c r="UCS43" i="1" s="1"/>
  <c r="UCR42" i="1"/>
  <c r="UCR43" i="1" s="1"/>
  <c r="UCQ42" i="1"/>
  <c r="UCQ43" i="1" s="1"/>
  <c r="UCP42" i="1"/>
  <c r="UCP43" i="1" s="1"/>
  <c r="UCO42" i="1"/>
  <c r="UCO43" i="1" s="1"/>
  <c r="UCN42" i="1"/>
  <c r="UCN43" i="1" s="1"/>
  <c r="UCM42" i="1"/>
  <c r="UCM43" i="1" s="1"/>
  <c r="UCL42" i="1"/>
  <c r="UCL43" i="1" s="1"/>
  <c r="UCK42" i="1"/>
  <c r="UCK43" i="1" s="1"/>
  <c r="UCJ42" i="1"/>
  <c r="UCJ43" i="1" s="1"/>
  <c r="UCI42" i="1"/>
  <c r="UCI43" i="1" s="1"/>
  <c r="UCH42" i="1"/>
  <c r="UCH43" i="1" s="1"/>
  <c r="UCG42" i="1"/>
  <c r="UCG43" i="1" s="1"/>
  <c r="UCF42" i="1"/>
  <c r="UCF43" i="1" s="1"/>
  <c r="UCE42" i="1"/>
  <c r="UCE43" i="1" s="1"/>
  <c r="UCD42" i="1"/>
  <c r="UCD43" i="1" s="1"/>
  <c r="UCC42" i="1"/>
  <c r="UCC43" i="1" s="1"/>
  <c r="UCB42" i="1"/>
  <c r="UCB43" i="1" s="1"/>
  <c r="UCA42" i="1"/>
  <c r="UCA43" i="1" s="1"/>
  <c r="UBZ42" i="1"/>
  <c r="UBZ43" i="1" s="1"/>
  <c r="UBY42" i="1"/>
  <c r="UBY43" i="1" s="1"/>
  <c r="UBX42" i="1"/>
  <c r="UBX43" i="1" s="1"/>
  <c r="UBW42" i="1"/>
  <c r="UBW43" i="1" s="1"/>
  <c r="UBV42" i="1"/>
  <c r="UBV43" i="1" s="1"/>
  <c r="UBU42" i="1"/>
  <c r="UBU43" i="1" s="1"/>
  <c r="UBT42" i="1"/>
  <c r="UBT43" i="1" s="1"/>
  <c r="UBS42" i="1"/>
  <c r="UBS43" i="1" s="1"/>
  <c r="UBR42" i="1"/>
  <c r="UBR43" i="1" s="1"/>
  <c r="UBQ42" i="1"/>
  <c r="UBQ43" i="1" s="1"/>
  <c r="UBP42" i="1"/>
  <c r="UBP43" i="1" s="1"/>
  <c r="UBO42" i="1"/>
  <c r="UBO43" i="1" s="1"/>
  <c r="UBN42" i="1"/>
  <c r="UBN43" i="1" s="1"/>
  <c r="UBM42" i="1"/>
  <c r="UBM43" i="1" s="1"/>
  <c r="UBL42" i="1"/>
  <c r="UBL43" i="1" s="1"/>
  <c r="UBK42" i="1"/>
  <c r="UBK43" i="1" s="1"/>
  <c r="UBJ42" i="1"/>
  <c r="UBJ43" i="1" s="1"/>
  <c r="UBI42" i="1"/>
  <c r="UBI43" i="1" s="1"/>
  <c r="UBH42" i="1"/>
  <c r="UBH43" i="1" s="1"/>
  <c r="UBG42" i="1"/>
  <c r="UBG43" i="1" s="1"/>
  <c r="UBF42" i="1"/>
  <c r="UBF43" i="1" s="1"/>
  <c r="UBE42" i="1"/>
  <c r="UBE43" i="1" s="1"/>
  <c r="UBD42" i="1"/>
  <c r="UBD43" i="1" s="1"/>
  <c r="UBC42" i="1"/>
  <c r="UBC43" i="1" s="1"/>
  <c r="UBB42" i="1"/>
  <c r="UBB43" i="1" s="1"/>
  <c r="UBA42" i="1"/>
  <c r="UBA43" i="1" s="1"/>
  <c r="UAZ42" i="1"/>
  <c r="UAZ43" i="1" s="1"/>
  <c r="UAY42" i="1"/>
  <c r="UAY43" i="1" s="1"/>
  <c r="UAX42" i="1"/>
  <c r="UAX43" i="1" s="1"/>
  <c r="UAW42" i="1"/>
  <c r="UAW43" i="1" s="1"/>
  <c r="UAV42" i="1"/>
  <c r="UAV43" i="1" s="1"/>
  <c r="UAU42" i="1"/>
  <c r="UAU43" i="1" s="1"/>
  <c r="UAT42" i="1"/>
  <c r="UAT43" i="1" s="1"/>
  <c r="UAS42" i="1"/>
  <c r="UAS43" i="1" s="1"/>
  <c r="UAR42" i="1"/>
  <c r="UAR43" i="1" s="1"/>
  <c r="UAQ42" i="1"/>
  <c r="UAQ43" i="1" s="1"/>
  <c r="UAP42" i="1"/>
  <c r="UAP43" i="1" s="1"/>
  <c r="UAO42" i="1"/>
  <c r="UAO43" i="1" s="1"/>
  <c r="UAN42" i="1"/>
  <c r="UAN43" i="1" s="1"/>
  <c r="UAM42" i="1"/>
  <c r="UAM43" i="1" s="1"/>
  <c r="UAL42" i="1"/>
  <c r="UAL43" i="1" s="1"/>
  <c r="UAK42" i="1"/>
  <c r="UAK43" i="1" s="1"/>
  <c r="UAJ42" i="1"/>
  <c r="UAJ43" i="1" s="1"/>
  <c r="UAI42" i="1"/>
  <c r="UAI43" i="1" s="1"/>
  <c r="UAH42" i="1"/>
  <c r="UAH43" i="1" s="1"/>
  <c r="UAG42" i="1"/>
  <c r="UAG43" i="1" s="1"/>
  <c r="UAF42" i="1"/>
  <c r="UAF43" i="1" s="1"/>
  <c r="UAE42" i="1"/>
  <c r="UAE43" i="1" s="1"/>
  <c r="UAD42" i="1"/>
  <c r="UAD43" i="1" s="1"/>
  <c r="UAC42" i="1"/>
  <c r="UAC43" i="1" s="1"/>
  <c r="UAB42" i="1"/>
  <c r="UAB43" i="1" s="1"/>
  <c r="UAA42" i="1"/>
  <c r="UAA43" i="1" s="1"/>
  <c r="TZZ42" i="1"/>
  <c r="TZZ43" i="1" s="1"/>
  <c r="TZY42" i="1"/>
  <c r="TZY43" i="1" s="1"/>
  <c r="TZX42" i="1"/>
  <c r="TZX43" i="1" s="1"/>
  <c r="TZW42" i="1"/>
  <c r="TZW43" i="1" s="1"/>
  <c r="TZV42" i="1"/>
  <c r="TZV43" i="1" s="1"/>
  <c r="TZU42" i="1"/>
  <c r="TZU43" i="1" s="1"/>
  <c r="TZT42" i="1"/>
  <c r="TZT43" i="1" s="1"/>
  <c r="TZS42" i="1"/>
  <c r="TZS43" i="1" s="1"/>
  <c r="TZR42" i="1"/>
  <c r="TZR43" i="1" s="1"/>
  <c r="TZQ42" i="1"/>
  <c r="TZQ43" i="1" s="1"/>
  <c r="TZP42" i="1"/>
  <c r="TZP43" i="1" s="1"/>
  <c r="TZO42" i="1"/>
  <c r="TZO43" i="1" s="1"/>
  <c r="TZN42" i="1"/>
  <c r="TZN43" i="1" s="1"/>
  <c r="TZM42" i="1"/>
  <c r="TZM43" i="1" s="1"/>
  <c r="TZL42" i="1"/>
  <c r="TZL43" i="1" s="1"/>
  <c r="TZK42" i="1"/>
  <c r="TZK43" i="1" s="1"/>
  <c r="TZJ42" i="1"/>
  <c r="TZJ43" i="1" s="1"/>
  <c r="TZI42" i="1"/>
  <c r="TZI43" i="1" s="1"/>
  <c r="TZH42" i="1"/>
  <c r="TZH43" i="1" s="1"/>
  <c r="TZG42" i="1"/>
  <c r="TZG43" i="1" s="1"/>
  <c r="TZF42" i="1"/>
  <c r="TZF43" i="1" s="1"/>
  <c r="TZE42" i="1"/>
  <c r="TZE43" i="1" s="1"/>
  <c r="TZD42" i="1"/>
  <c r="TZD43" i="1" s="1"/>
  <c r="TZC42" i="1"/>
  <c r="TZC43" i="1" s="1"/>
  <c r="TZB42" i="1"/>
  <c r="TZB43" i="1" s="1"/>
  <c r="TZA42" i="1"/>
  <c r="TZA43" i="1" s="1"/>
  <c r="TYZ42" i="1"/>
  <c r="TYZ43" i="1" s="1"/>
  <c r="TYY42" i="1"/>
  <c r="TYY43" i="1" s="1"/>
  <c r="TYX42" i="1"/>
  <c r="TYX43" i="1" s="1"/>
  <c r="TYW42" i="1"/>
  <c r="TYW43" i="1" s="1"/>
  <c r="TYV42" i="1"/>
  <c r="TYV43" i="1" s="1"/>
  <c r="TYU42" i="1"/>
  <c r="TYU43" i="1" s="1"/>
  <c r="TYT42" i="1"/>
  <c r="TYT43" i="1" s="1"/>
  <c r="TYS42" i="1"/>
  <c r="TYS43" i="1" s="1"/>
  <c r="TYR42" i="1"/>
  <c r="TYR43" i="1" s="1"/>
  <c r="TYQ42" i="1"/>
  <c r="TYQ43" i="1" s="1"/>
  <c r="TYP42" i="1"/>
  <c r="TYP43" i="1" s="1"/>
  <c r="TYO42" i="1"/>
  <c r="TYO43" i="1" s="1"/>
  <c r="TYN42" i="1"/>
  <c r="TYN43" i="1" s="1"/>
  <c r="TYM42" i="1"/>
  <c r="TYM43" i="1" s="1"/>
  <c r="TYL42" i="1"/>
  <c r="TYL43" i="1" s="1"/>
  <c r="TYK42" i="1"/>
  <c r="TYK43" i="1" s="1"/>
  <c r="TYJ42" i="1"/>
  <c r="TYJ43" i="1" s="1"/>
  <c r="TYI42" i="1"/>
  <c r="TYI43" i="1" s="1"/>
  <c r="TYH42" i="1"/>
  <c r="TYH43" i="1" s="1"/>
  <c r="TYG42" i="1"/>
  <c r="TYG43" i="1" s="1"/>
  <c r="TYF42" i="1"/>
  <c r="TYF43" i="1" s="1"/>
  <c r="TYE42" i="1"/>
  <c r="TYE43" i="1" s="1"/>
  <c r="TYD42" i="1"/>
  <c r="TYD43" i="1" s="1"/>
  <c r="TYC42" i="1"/>
  <c r="TYC43" i="1" s="1"/>
  <c r="TYB42" i="1"/>
  <c r="TYB43" i="1" s="1"/>
  <c r="TYA42" i="1"/>
  <c r="TYA43" i="1" s="1"/>
  <c r="TXZ42" i="1"/>
  <c r="TXZ43" i="1" s="1"/>
  <c r="TXY42" i="1"/>
  <c r="TXY43" i="1" s="1"/>
  <c r="TXX42" i="1"/>
  <c r="TXX43" i="1" s="1"/>
  <c r="TXW42" i="1"/>
  <c r="TXW43" i="1" s="1"/>
  <c r="TXV42" i="1"/>
  <c r="TXV43" i="1" s="1"/>
  <c r="TXU42" i="1"/>
  <c r="TXU43" i="1" s="1"/>
  <c r="TXT42" i="1"/>
  <c r="TXT43" i="1" s="1"/>
  <c r="TXS42" i="1"/>
  <c r="TXS43" i="1" s="1"/>
  <c r="TXR42" i="1"/>
  <c r="TXR43" i="1" s="1"/>
  <c r="TXQ42" i="1"/>
  <c r="TXQ43" i="1" s="1"/>
  <c r="TXP42" i="1"/>
  <c r="TXP43" i="1" s="1"/>
  <c r="TXO42" i="1"/>
  <c r="TXO43" i="1" s="1"/>
  <c r="TXN42" i="1"/>
  <c r="TXN43" i="1" s="1"/>
  <c r="TXM42" i="1"/>
  <c r="TXM43" i="1" s="1"/>
  <c r="TXL42" i="1"/>
  <c r="TXL43" i="1" s="1"/>
  <c r="TXK42" i="1"/>
  <c r="TXK43" i="1" s="1"/>
  <c r="TXJ42" i="1"/>
  <c r="TXJ43" i="1" s="1"/>
  <c r="TXI42" i="1"/>
  <c r="TXI43" i="1" s="1"/>
  <c r="TXH42" i="1"/>
  <c r="TXH43" i="1" s="1"/>
  <c r="TXG42" i="1"/>
  <c r="TXG43" i="1" s="1"/>
  <c r="TXF42" i="1"/>
  <c r="TXF43" i="1" s="1"/>
  <c r="TXE42" i="1"/>
  <c r="TXE43" i="1" s="1"/>
  <c r="TXD42" i="1"/>
  <c r="TXD43" i="1" s="1"/>
  <c r="TXC42" i="1"/>
  <c r="TXC43" i="1" s="1"/>
  <c r="TXB42" i="1"/>
  <c r="TXB43" i="1" s="1"/>
  <c r="TXA42" i="1"/>
  <c r="TXA43" i="1" s="1"/>
  <c r="TWZ42" i="1"/>
  <c r="TWZ43" i="1" s="1"/>
  <c r="TWY42" i="1"/>
  <c r="TWY43" i="1" s="1"/>
  <c r="TWX42" i="1"/>
  <c r="TWX43" i="1" s="1"/>
  <c r="TWW42" i="1"/>
  <c r="TWW43" i="1" s="1"/>
  <c r="TWV42" i="1"/>
  <c r="TWV43" i="1" s="1"/>
  <c r="TWU42" i="1"/>
  <c r="TWU43" i="1" s="1"/>
  <c r="TWT42" i="1"/>
  <c r="TWT43" i="1" s="1"/>
  <c r="TWS42" i="1"/>
  <c r="TWS43" i="1" s="1"/>
  <c r="TWR42" i="1"/>
  <c r="TWR43" i="1" s="1"/>
  <c r="TWQ42" i="1"/>
  <c r="TWQ43" i="1" s="1"/>
  <c r="TWP42" i="1"/>
  <c r="TWP43" i="1" s="1"/>
  <c r="TWO42" i="1"/>
  <c r="TWO43" i="1" s="1"/>
  <c r="TWN42" i="1"/>
  <c r="TWN43" i="1" s="1"/>
  <c r="TWM42" i="1"/>
  <c r="TWM43" i="1" s="1"/>
  <c r="TWL42" i="1"/>
  <c r="TWL43" i="1" s="1"/>
  <c r="TWK42" i="1"/>
  <c r="TWK43" i="1" s="1"/>
  <c r="TWJ42" i="1"/>
  <c r="TWJ43" i="1" s="1"/>
  <c r="TWI42" i="1"/>
  <c r="TWI43" i="1" s="1"/>
  <c r="TWH42" i="1"/>
  <c r="TWH43" i="1" s="1"/>
  <c r="TWG42" i="1"/>
  <c r="TWG43" i="1" s="1"/>
  <c r="TWF42" i="1"/>
  <c r="TWF43" i="1" s="1"/>
  <c r="TWE42" i="1"/>
  <c r="TWE43" i="1" s="1"/>
  <c r="TWD42" i="1"/>
  <c r="TWD43" i="1" s="1"/>
  <c r="TWC42" i="1"/>
  <c r="TWC43" i="1" s="1"/>
  <c r="TWB42" i="1"/>
  <c r="TWB43" i="1" s="1"/>
  <c r="TWA42" i="1"/>
  <c r="TWA43" i="1" s="1"/>
  <c r="TVZ42" i="1"/>
  <c r="TVZ43" i="1" s="1"/>
  <c r="TVY42" i="1"/>
  <c r="TVY43" i="1" s="1"/>
  <c r="TVX42" i="1"/>
  <c r="TVX43" i="1" s="1"/>
  <c r="TVW42" i="1"/>
  <c r="TVW43" i="1" s="1"/>
  <c r="TVV42" i="1"/>
  <c r="TVV43" i="1" s="1"/>
  <c r="TVU42" i="1"/>
  <c r="TVU43" i="1" s="1"/>
  <c r="TVT42" i="1"/>
  <c r="TVT43" i="1" s="1"/>
  <c r="TVS42" i="1"/>
  <c r="TVS43" i="1" s="1"/>
  <c r="TVR42" i="1"/>
  <c r="TVR43" i="1" s="1"/>
  <c r="TVQ42" i="1"/>
  <c r="TVQ43" i="1" s="1"/>
  <c r="TVP42" i="1"/>
  <c r="TVP43" i="1" s="1"/>
  <c r="TVO42" i="1"/>
  <c r="TVO43" i="1" s="1"/>
  <c r="TVN42" i="1"/>
  <c r="TVN43" i="1" s="1"/>
  <c r="TVM42" i="1"/>
  <c r="TVM43" i="1" s="1"/>
  <c r="TVL42" i="1"/>
  <c r="TVL43" i="1" s="1"/>
  <c r="TVK42" i="1"/>
  <c r="TVK43" i="1" s="1"/>
  <c r="TVJ42" i="1"/>
  <c r="TVJ43" i="1" s="1"/>
  <c r="TVI42" i="1"/>
  <c r="TVI43" i="1" s="1"/>
  <c r="TVH42" i="1"/>
  <c r="TVH43" i="1" s="1"/>
  <c r="TVG42" i="1"/>
  <c r="TVG43" i="1" s="1"/>
  <c r="TVF42" i="1"/>
  <c r="TVF43" i="1" s="1"/>
  <c r="TVE42" i="1"/>
  <c r="TVE43" i="1" s="1"/>
  <c r="TVD42" i="1"/>
  <c r="TVD43" i="1" s="1"/>
  <c r="TVC42" i="1"/>
  <c r="TVC43" i="1" s="1"/>
  <c r="TVB42" i="1"/>
  <c r="TVB43" i="1" s="1"/>
  <c r="TVA42" i="1"/>
  <c r="TVA43" i="1" s="1"/>
  <c r="TUZ42" i="1"/>
  <c r="TUZ43" i="1" s="1"/>
  <c r="TUY42" i="1"/>
  <c r="TUY43" i="1" s="1"/>
  <c r="TUX42" i="1"/>
  <c r="TUX43" i="1" s="1"/>
  <c r="TUW42" i="1"/>
  <c r="TUW43" i="1" s="1"/>
  <c r="TUV42" i="1"/>
  <c r="TUV43" i="1" s="1"/>
  <c r="TUU42" i="1"/>
  <c r="TUU43" i="1" s="1"/>
  <c r="TUT42" i="1"/>
  <c r="TUT43" i="1" s="1"/>
  <c r="TUS42" i="1"/>
  <c r="TUS43" i="1" s="1"/>
  <c r="TUR42" i="1"/>
  <c r="TUR43" i="1" s="1"/>
  <c r="TUQ42" i="1"/>
  <c r="TUQ43" i="1" s="1"/>
  <c r="TUP42" i="1"/>
  <c r="TUP43" i="1" s="1"/>
  <c r="TUO42" i="1"/>
  <c r="TUO43" i="1" s="1"/>
  <c r="TUN42" i="1"/>
  <c r="TUN43" i="1" s="1"/>
  <c r="TUM42" i="1"/>
  <c r="TUM43" i="1" s="1"/>
  <c r="TUL42" i="1"/>
  <c r="TUL43" i="1" s="1"/>
  <c r="TUK42" i="1"/>
  <c r="TUK43" i="1" s="1"/>
  <c r="TUJ42" i="1"/>
  <c r="TUJ43" i="1" s="1"/>
  <c r="TUI42" i="1"/>
  <c r="TUI43" i="1" s="1"/>
  <c r="TUH42" i="1"/>
  <c r="TUH43" i="1" s="1"/>
  <c r="TUG42" i="1"/>
  <c r="TUG43" i="1" s="1"/>
  <c r="TUF42" i="1"/>
  <c r="TUF43" i="1" s="1"/>
  <c r="TUE42" i="1"/>
  <c r="TUE43" i="1" s="1"/>
  <c r="TUD42" i="1"/>
  <c r="TUD43" i="1" s="1"/>
  <c r="TUC42" i="1"/>
  <c r="TUC43" i="1" s="1"/>
  <c r="TUB42" i="1"/>
  <c r="TUB43" i="1" s="1"/>
  <c r="TUA42" i="1"/>
  <c r="TUA43" i="1" s="1"/>
  <c r="TTZ42" i="1"/>
  <c r="TTZ43" i="1" s="1"/>
  <c r="TTY42" i="1"/>
  <c r="TTY43" i="1" s="1"/>
  <c r="TTX42" i="1"/>
  <c r="TTX43" i="1" s="1"/>
  <c r="TTW42" i="1"/>
  <c r="TTW43" i="1" s="1"/>
  <c r="TTV42" i="1"/>
  <c r="TTV43" i="1" s="1"/>
  <c r="TTU42" i="1"/>
  <c r="TTU43" i="1" s="1"/>
  <c r="TTT42" i="1"/>
  <c r="TTT43" i="1" s="1"/>
  <c r="TTS42" i="1"/>
  <c r="TTS43" i="1" s="1"/>
  <c r="TTR42" i="1"/>
  <c r="TTR43" i="1" s="1"/>
  <c r="TTQ42" i="1"/>
  <c r="TTQ43" i="1" s="1"/>
  <c r="TTP42" i="1"/>
  <c r="TTP43" i="1" s="1"/>
  <c r="TTO42" i="1"/>
  <c r="TTO43" i="1" s="1"/>
  <c r="TTN42" i="1"/>
  <c r="TTN43" i="1" s="1"/>
  <c r="TTM42" i="1"/>
  <c r="TTM43" i="1" s="1"/>
  <c r="TTL42" i="1"/>
  <c r="TTL43" i="1" s="1"/>
  <c r="TTK42" i="1"/>
  <c r="TTK43" i="1" s="1"/>
  <c r="TTJ42" i="1"/>
  <c r="TTJ43" i="1" s="1"/>
  <c r="TTI42" i="1"/>
  <c r="TTI43" i="1" s="1"/>
  <c r="TTH42" i="1"/>
  <c r="TTH43" i="1" s="1"/>
  <c r="TTG42" i="1"/>
  <c r="TTG43" i="1" s="1"/>
  <c r="TTF42" i="1"/>
  <c r="TTF43" i="1" s="1"/>
  <c r="TTE42" i="1"/>
  <c r="TTE43" i="1" s="1"/>
  <c r="TTD42" i="1"/>
  <c r="TTD43" i="1" s="1"/>
  <c r="TTC42" i="1"/>
  <c r="TTC43" i="1" s="1"/>
  <c r="TTB42" i="1"/>
  <c r="TTB43" i="1" s="1"/>
  <c r="TTA42" i="1"/>
  <c r="TTA43" i="1" s="1"/>
  <c r="TSZ42" i="1"/>
  <c r="TSZ43" i="1" s="1"/>
  <c r="TSY42" i="1"/>
  <c r="TSY43" i="1" s="1"/>
  <c r="TSX42" i="1"/>
  <c r="TSX43" i="1" s="1"/>
  <c r="TSW42" i="1"/>
  <c r="TSW43" i="1" s="1"/>
  <c r="TSV42" i="1"/>
  <c r="TSV43" i="1" s="1"/>
  <c r="TSU42" i="1"/>
  <c r="TSU43" i="1" s="1"/>
  <c r="TST42" i="1"/>
  <c r="TST43" i="1" s="1"/>
  <c r="TSS42" i="1"/>
  <c r="TSS43" i="1" s="1"/>
  <c r="TSR42" i="1"/>
  <c r="TSR43" i="1" s="1"/>
  <c r="TSQ42" i="1"/>
  <c r="TSQ43" i="1" s="1"/>
  <c r="TSP42" i="1"/>
  <c r="TSP43" i="1" s="1"/>
  <c r="TSO42" i="1"/>
  <c r="TSO43" i="1" s="1"/>
  <c r="TSN42" i="1"/>
  <c r="TSN43" i="1" s="1"/>
  <c r="TSM42" i="1"/>
  <c r="TSM43" i="1" s="1"/>
  <c r="TSL42" i="1"/>
  <c r="TSL43" i="1" s="1"/>
  <c r="TSK42" i="1"/>
  <c r="TSK43" i="1" s="1"/>
  <c r="TSJ42" i="1"/>
  <c r="TSJ43" i="1" s="1"/>
  <c r="TSI42" i="1"/>
  <c r="TSI43" i="1" s="1"/>
  <c r="TSH42" i="1"/>
  <c r="TSH43" i="1" s="1"/>
  <c r="TSG42" i="1"/>
  <c r="TSG43" i="1" s="1"/>
  <c r="TSF42" i="1"/>
  <c r="TSF43" i="1" s="1"/>
  <c r="TSE42" i="1"/>
  <c r="TSE43" i="1" s="1"/>
  <c r="TSD42" i="1"/>
  <c r="TSD43" i="1" s="1"/>
  <c r="TSC42" i="1"/>
  <c r="TSC43" i="1" s="1"/>
  <c r="TSB42" i="1"/>
  <c r="TSB43" i="1" s="1"/>
  <c r="TSA42" i="1"/>
  <c r="TSA43" i="1" s="1"/>
  <c r="TRZ42" i="1"/>
  <c r="TRZ43" i="1" s="1"/>
  <c r="TRY42" i="1"/>
  <c r="TRY43" i="1" s="1"/>
  <c r="TRX42" i="1"/>
  <c r="TRX43" i="1" s="1"/>
  <c r="TRW42" i="1"/>
  <c r="TRW43" i="1" s="1"/>
  <c r="TRV42" i="1"/>
  <c r="TRV43" i="1" s="1"/>
  <c r="TRU42" i="1"/>
  <c r="TRU43" i="1" s="1"/>
  <c r="TRT42" i="1"/>
  <c r="TRT43" i="1" s="1"/>
  <c r="TRS42" i="1"/>
  <c r="TRS43" i="1" s="1"/>
  <c r="TRR42" i="1"/>
  <c r="TRR43" i="1" s="1"/>
  <c r="TRQ42" i="1"/>
  <c r="TRQ43" i="1" s="1"/>
  <c r="TRP42" i="1"/>
  <c r="TRP43" i="1" s="1"/>
  <c r="TRO42" i="1"/>
  <c r="TRO43" i="1" s="1"/>
  <c r="TRN42" i="1"/>
  <c r="TRN43" i="1" s="1"/>
  <c r="TRM42" i="1"/>
  <c r="TRM43" i="1" s="1"/>
  <c r="TRL42" i="1"/>
  <c r="TRL43" i="1" s="1"/>
  <c r="TRK42" i="1"/>
  <c r="TRK43" i="1" s="1"/>
  <c r="TRJ42" i="1"/>
  <c r="TRJ43" i="1" s="1"/>
  <c r="TRI42" i="1"/>
  <c r="TRI43" i="1" s="1"/>
  <c r="TRH42" i="1"/>
  <c r="TRH43" i="1" s="1"/>
  <c r="TRG42" i="1"/>
  <c r="TRG43" i="1" s="1"/>
  <c r="TRF42" i="1"/>
  <c r="TRF43" i="1" s="1"/>
  <c r="TRE42" i="1"/>
  <c r="TRE43" i="1" s="1"/>
  <c r="TRD42" i="1"/>
  <c r="TRD43" i="1" s="1"/>
  <c r="TRC42" i="1"/>
  <c r="TRC43" i="1" s="1"/>
  <c r="TRB42" i="1"/>
  <c r="TRB43" i="1" s="1"/>
  <c r="TRA42" i="1"/>
  <c r="TRA43" i="1" s="1"/>
  <c r="TQZ42" i="1"/>
  <c r="TQZ43" i="1" s="1"/>
  <c r="TQY42" i="1"/>
  <c r="TQY43" i="1" s="1"/>
  <c r="TQX42" i="1"/>
  <c r="TQX43" i="1" s="1"/>
  <c r="TQW42" i="1"/>
  <c r="TQW43" i="1" s="1"/>
  <c r="TQV42" i="1"/>
  <c r="TQV43" i="1" s="1"/>
  <c r="TQU42" i="1"/>
  <c r="TQU43" i="1" s="1"/>
  <c r="TQT42" i="1"/>
  <c r="TQT43" i="1" s="1"/>
  <c r="TQS42" i="1"/>
  <c r="TQS43" i="1" s="1"/>
  <c r="TQR42" i="1"/>
  <c r="TQR43" i="1" s="1"/>
  <c r="TQQ42" i="1"/>
  <c r="TQQ43" i="1" s="1"/>
  <c r="TQP42" i="1"/>
  <c r="TQP43" i="1" s="1"/>
  <c r="TQO42" i="1"/>
  <c r="TQO43" i="1" s="1"/>
  <c r="TQN42" i="1"/>
  <c r="TQN43" i="1" s="1"/>
  <c r="TQM42" i="1"/>
  <c r="TQM43" i="1" s="1"/>
  <c r="TQL42" i="1"/>
  <c r="TQL43" i="1" s="1"/>
  <c r="TQK42" i="1"/>
  <c r="TQK43" i="1" s="1"/>
  <c r="TQJ42" i="1"/>
  <c r="TQJ43" i="1" s="1"/>
  <c r="TQI42" i="1"/>
  <c r="TQI43" i="1" s="1"/>
  <c r="TQH42" i="1"/>
  <c r="TQH43" i="1" s="1"/>
  <c r="TQG42" i="1"/>
  <c r="TQG43" i="1" s="1"/>
  <c r="TQF42" i="1"/>
  <c r="TQF43" i="1" s="1"/>
  <c r="TQE42" i="1"/>
  <c r="TQE43" i="1" s="1"/>
  <c r="TQD42" i="1"/>
  <c r="TQD43" i="1" s="1"/>
  <c r="TQC42" i="1"/>
  <c r="TQC43" i="1" s="1"/>
  <c r="TQB42" i="1"/>
  <c r="TQB43" i="1" s="1"/>
  <c r="TQA42" i="1"/>
  <c r="TQA43" i="1" s="1"/>
  <c r="TPZ42" i="1"/>
  <c r="TPZ43" i="1" s="1"/>
  <c r="TPY42" i="1"/>
  <c r="TPY43" i="1" s="1"/>
  <c r="TPX42" i="1"/>
  <c r="TPX43" i="1" s="1"/>
  <c r="TPW42" i="1"/>
  <c r="TPW43" i="1" s="1"/>
  <c r="TPV42" i="1"/>
  <c r="TPV43" i="1" s="1"/>
  <c r="TPU42" i="1"/>
  <c r="TPU43" i="1" s="1"/>
  <c r="TPT42" i="1"/>
  <c r="TPT43" i="1" s="1"/>
  <c r="TPS42" i="1"/>
  <c r="TPS43" i="1" s="1"/>
  <c r="TPR42" i="1"/>
  <c r="TPR43" i="1" s="1"/>
  <c r="TPQ42" i="1"/>
  <c r="TPQ43" i="1" s="1"/>
  <c r="TPP42" i="1"/>
  <c r="TPP43" i="1" s="1"/>
  <c r="TPO42" i="1"/>
  <c r="TPO43" i="1" s="1"/>
  <c r="TPN42" i="1"/>
  <c r="TPN43" i="1" s="1"/>
  <c r="TPM42" i="1"/>
  <c r="TPM43" i="1" s="1"/>
  <c r="TPL42" i="1"/>
  <c r="TPL43" i="1" s="1"/>
  <c r="TPK42" i="1"/>
  <c r="TPK43" i="1" s="1"/>
  <c r="TPJ42" i="1"/>
  <c r="TPJ43" i="1" s="1"/>
  <c r="TPI42" i="1"/>
  <c r="TPI43" i="1" s="1"/>
  <c r="TPH42" i="1"/>
  <c r="TPH43" i="1" s="1"/>
  <c r="TPG42" i="1"/>
  <c r="TPG43" i="1" s="1"/>
  <c r="TPF42" i="1"/>
  <c r="TPF43" i="1" s="1"/>
  <c r="TPE42" i="1"/>
  <c r="TPE43" i="1" s="1"/>
  <c r="TPD42" i="1"/>
  <c r="TPD43" i="1" s="1"/>
  <c r="TPC42" i="1"/>
  <c r="TPC43" i="1" s="1"/>
  <c r="TPB42" i="1"/>
  <c r="TPB43" i="1" s="1"/>
  <c r="TPA42" i="1"/>
  <c r="TPA43" i="1" s="1"/>
  <c r="TOZ42" i="1"/>
  <c r="TOZ43" i="1" s="1"/>
  <c r="TOY42" i="1"/>
  <c r="TOY43" i="1" s="1"/>
  <c r="TOX42" i="1"/>
  <c r="TOX43" i="1" s="1"/>
  <c r="TOW42" i="1"/>
  <c r="TOW43" i="1" s="1"/>
  <c r="TOV42" i="1"/>
  <c r="TOV43" i="1" s="1"/>
  <c r="TOU42" i="1"/>
  <c r="TOU43" i="1" s="1"/>
  <c r="TOT42" i="1"/>
  <c r="TOT43" i="1" s="1"/>
  <c r="TOS42" i="1"/>
  <c r="TOS43" i="1" s="1"/>
  <c r="TOR42" i="1"/>
  <c r="TOR43" i="1" s="1"/>
  <c r="TOQ42" i="1"/>
  <c r="TOQ43" i="1" s="1"/>
  <c r="TOP42" i="1"/>
  <c r="TOP43" i="1" s="1"/>
  <c r="TOO42" i="1"/>
  <c r="TOO43" i="1" s="1"/>
  <c r="TON42" i="1"/>
  <c r="TON43" i="1" s="1"/>
  <c r="TOM42" i="1"/>
  <c r="TOM43" i="1" s="1"/>
  <c r="TOL42" i="1"/>
  <c r="TOL43" i="1" s="1"/>
  <c r="TOK42" i="1"/>
  <c r="TOK43" i="1" s="1"/>
  <c r="TOJ42" i="1"/>
  <c r="TOJ43" i="1" s="1"/>
  <c r="TOI42" i="1"/>
  <c r="TOI43" i="1" s="1"/>
  <c r="TOH42" i="1"/>
  <c r="TOH43" i="1" s="1"/>
  <c r="TOG42" i="1"/>
  <c r="TOG43" i="1" s="1"/>
  <c r="TOF42" i="1"/>
  <c r="TOF43" i="1" s="1"/>
  <c r="TOE42" i="1"/>
  <c r="TOE43" i="1" s="1"/>
  <c r="TOD42" i="1"/>
  <c r="TOD43" i="1" s="1"/>
  <c r="TOC42" i="1"/>
  <c r="TOC43" i="1" s="1"/>
  <c r="TOB42" i="1"/>
  <c r="TOB43" i="1" s="1"/>
  <c r="TOA42" i="1"/>
  <c r="TOA43" i="1" s="1"/>
  <c r="TNZ42" i="1"/>
  <c r="TNZ43" i="1" s="1"/>
  <c r="TNY42" i="1"/>
  <c r="TNY43" i="1" s="1"/>
  <c r="TNX42" i="1"/>
  <c r="TNX43" i="1" s="1"/>
  <c r="TNW42" i="1"/>
  <c r="TNW43" i="1" s="1"/>
  <c r="TNV42" i="1"/>
  <c r="TNV43" i="1" s="1"/>
  <c r="TNU42" i="1"/>
  <c r="TNU43" i="1" s="1"/>
  <c r="TNT42" i="1"/>
  <c r="TNT43" i="1" s="1"/>
  <c r="TNS42" i="1"/>
  <c r="TNS43" i="1" s="1"/>
  <c r="TNR42" i="1"/>
  <c r="TNR43" i="1" s="1"/>
  <c r="TNQ42" i="1"/>
  <c r="TNQ43" i="1" s="1"/>
  <c r="TNP42" i="1"/>
  <c r="TNP43" i="1" s="1"/>
  <c r="TNO42" i="1"/>
  <c r="TNO43" i="1" s="1"/>
  <c r="TNN42" i="1"/>
  <c r="TNN43" i="1" s="1"/>
  <c r="TNM42" i="1"/>
  <c r="TNM43" i="1" s="1"/>
  <c r="TNL42" i="1"/>
  <c r="TNL43" i="1" s="1"/>
  <c r="TNK42" i="1"/>
  <c r="TNK43" i="1" s="1"/>
  <c r="TNJ42" i="1"/>
  <c r="TNJ43" i="1" s="1"/>
  <c r="TNI42" i="1"/>
  <c r="TNI43" i="1" s="1"/>
  <c r="TNH42" i="1"/>
  <c r="TNH43" i="1" s="1"/>
  <c r="TNG42" i="1"/>
  <c r="TNG43" i="1" s="1"/>
  <c r="TNF42" i="1"/>
  <c r="TNF43" i="1" s="1"/>
  <c r="TNE42" i="1"/>
  <c r="TNE43" i="1" s="1"/>
  <c r="TND42" i="1"/>
  <c r="TND43" i="1" s="1"/>
  <c r="TNC42" i="1"/>
  <c r="TNC43" i="1" s="1"/>
  <c r="TNB42" i="1"/>
  <c r="TNB43" i="1" s="1"/>
  <c r="TNA42" i="1"/>
  <c r="TNA43" i="1" s="1"/>
  <c r="TMZ42" i="1"/>
  <c r="TMZ43" i="1" s="1"/>
  <c r="TMY42" i="1"/>
  <c r="TMY43" i="1" s="1"/>
  <c r="TMX42" i="1"/>
  <c r="TMX43" i="1" s="1"/>
  <c r="TMW42" i="1"/>
  <c r="TMW43" i="1" s="1"/>
  <c r="TMV42" i="1"/>
  <c r="TMV43" i="1" s="1"/>
  <c r="TMU42" i="1"/>
  <c r="TMU43" i="1" s="1"/>
  <c r="TMT42" i="1"/>
  <c r="TMT43" i="1" s="1"/>
  <c r="TMS42" i="1"/>
  <c r="TMS43" i="1" s="1"/>
  <c r="TMR42" i="1"/>
  <c r="TMR43" i="1" s="1"/>
  <c r="TMQ42" i="1"/>
  <c r="TMQ43" i="1" s="1"/>
  <c r="TMP42" i="1"/>
  <c r="TMP43" i="1" s="1"/>
  <c r="TMO42" i="1"/>
  <c r="TMO43" i="1" s="1"/>
  <c r="TMN42" i="1"/>
  <c r="TMN43" i="1" s="1"/>
  <c r="TMM42" i="1"/>
  <c r="TMM43" i="1" s="1"/>
  <c r="TML42" i="1"/>
  <c r="TML43" i="1" s="1"/>
  <c r="TMK42" i="1"/>
  <c r="TMK43" i="1" s="1"/>
  <c r="TMJ42" i="1"/>
  <c r="TMJ43" i="1" s="1"/>
  <c r="TMI42" i="1"/>
  <c r="TMI43" i="1" s="1"/>
  <c r="TMH42" i="1"/>
  <c r="TMH43" i="1" s="1"/>
  <c r="TMG42" i="1"/>
  <c r="TMG43" i="1" s="1"/>
  <c r="TMF42" i="1"/>
  <c r="TMF43" i="1" s="1"/>
  <c r="TME42" i="1"/>
  <c r="TME43" i="1" s="1"/>
  <c r="TMD42" i="1"/>
  <c r="TMD43" i="1" s="1"/>
  <c r="TMC42" i="1"/>
  <c r="TMC43" i="1" s="1"/>
  <c r="TMB42" i="1"/>
  <c r="TMB43" i="1" s="1"/>
  <c r="TMA42" i="1"/>
  <c r="TMA43" i="1" s="1"/>
  <c r="TLZ42" i="1"/>
  <c r="TLZ43" i="1" s="1"/>
  <c r="TLY42" i="1"/>
  <c r="TLY43" i="1" s="1"/>
  <c r="TLX42" i="1"/>
  <c r="TLX43" i="1" s="1"/>
  <c r="TLW42" i="1"/>
  <c r="TLW43" i="1" s="1"/>
  <c r="TLV42" i="1"/>
  <c r="TLV43" i="1" s="1"/>
  <c r="TLU42" i="1"/>
  <c r="TLU43" i="1" s="1"/>
  <c r="TLT42" i="1"/>
  <c r="TLT43" i="1" s="1"/>
  <c r="TLS42" i="1"/>
  <c r="TLS43" i="1" s="1"/>
  <c r="TLR42" i="1"/>
  <c r="TLR43" i="1" s="1"/>
  <c r="TLQ42" i="1"/>
  <c r="TLQ43" i="1" s="1"/>
  <c r="TLP42" i="1"/>
  <c r="TLP43" i="1" s="1"/>
  <c r="TLO42" i="1"/>
  <c r="TLO43" i="1" s="1"/>
  <c r="TLN42" i="1"/>
  <c r="TLN43" i="1" s="1"/>
  <c r="TLM42" i="1"/>
  <c r="TLM43" i="1" s="1"/>
  <c r="TLL42" i="1"/>
  <c r="TLL43" i="1" s="1"/>
  <c r="TLK42" i="1"/>
  <c r="TLK43" i="1" s="1"/>
  <c r="TLJ42" i="1"/>
  <c r="TLJ43" i="1" s="1"/>
  <c r="TLI42" i="1"/>
  <c r="TLI43" i="1" s="1"/>
  <c r="TLH42" i="1"/>
  <c r="TLH43" i="1" s="1"/>
  <c r="TLG42" i="1"/>
  <c r="TLG43" i="1" s="1"/>
  <c r="TLF42" i="1"/>
  <c r="TLF43" i="1" s="1"/>
  <c r="TLE42" i="1"/>
  <c r="TLE43" i="1" s="1"/>
  <c r="TLD42" i="1"/>
  <c r="TLD43" i="1" s="1"/>
  <c r="TLC42" i="1"/>
  <c r="TLC43" i="1" s="1"/>
  <c r="TLB42" i="1"/>
  <c r="TLB43" i="1" s="1"/>
  <c r="TLA42" i="1"/>
  <c r="TLA43" i="1" s="1"/>
  <c r="TKZ42" i="1"/>
  <c r="TKZ43" i="1" s="1"/>
  <c r="TKY42" i="1"/>
  <c r="TKY43" i="1" s="1"/>
  <c r="TKX42" i="1"/>
  <c r="TKX43" i="1" s="1"/>
  <c r="TKW42" i="1"/>
  <c r="TKW43" i="1" s="1"/>
  <c r="TKV42" i="1"/>
  <c r="TKV43" i="1" s="1"/>
  <c r="TKU42" i="1"/>
  <c r="TKU43" i="1" s="1"/>
  <c r="TKT42" i="1"/>
  <c r="TKT43" i="1" s="1"/>
  <c r="TKS42" i="1"/>
  <c r="TKS43" i="1" s="1"/>
  <c r="TKR42" i="1"/>
  <c r="TKR43" i="1" s="1"/>
  <c r="TKQ42" i="1"/>
  <c r="TKQ43" i="1" s="1"/>
  <c r="TKP42" i="1"/>
  <c r="TKP43" i="1" s="1"/>
  <c r="TKO42" i="1"/>
  <c r="TKO43" i="1" s="1"/>
  <c r="TKN42" i="1"/>
  <c r="TKN43" i="1" s="1"/>
  <c r="TKM42" i="1"/>
  <c r="TKM43" i="1" s="1"/>
  <c r="TKL42" i="1"/>
  <c r="TKL43" i="1" s="1"/>
  <c r="TKK42" i="1"/>
  <c r="TKK43" i="1" s="1"/>
  <c r="TKJ42" i="1"/>
  <c r="TKJ43" i="1" s="1"/>
  <c r="TKI42" i="1"/>
  <c r="TKI43" i="1" s="1"/>
  <c r="TKH42" i="1"/>
  <c r="TKH43" i="1" s="1"/>
  <c r="TKG42" i="1"/>
  <c r="TKG43" i="1" s="1"/>
  <c r="TKF42" i="1"/>
  <c r="TKF43" i="1" s="1"/>
  <c r="TKE42" i="1"/>
  <c r="TKE43" i="1" s="1"/>
  <c r="TKD42" i="1"/>
  <c r="TKD43" i="1" s="1"/>
  <c r="TKC42" i="1"/>
  <c r="TKC43" i="1" s="1"/>
  <c r="TKB42" i="1"/>
  <c r="TKB43" i="1" s="1"/>
  <c r="TKA42" i="1"/>
  <c r="TKA43" i="1" s="1"/>
  <c r="TJZ42" i="1"/>
  <c r="TJZ43" i="1" s="1"/>
  <c r="TJY42" i="1"/>
  <c r="TJY43" i="1" s="1"/>
  <c r="TJX42" i="1"/>
  <c r="TJX43" i="1" s="1"/>
  <c r="TJW42" i="1"/>
  <c r="TJW43" i="1" s="1"/>
  <c r="TJV42" i="1"/>
  <c r="TJV43" i="1" s="1"/>
  <c r="TJU42" i="1"/>
  <c r="TJU43" i="1" s="1"/>
  <c r="TJT42" i="1"/>
  <c r="TJT43" i="1" s="1"/>
  <c r="TJS42" i="1"/>
  <c r="TJS43" i="1" s="1"/>
  <c r="TJR42" i="1"/>
  <c r="TJR43" i="1" s="1"/>
  <c r="TJQ42" i="1"/>
  <c r="TJQ43" i="1" s="1"/>
  <c r="TJP42" i="1"/>
  <c r="TJP43" i="1" s="1"/>
  <c r="TJO42" i="1"/>
  <c r="TJO43" i="1" s="1"/>
  <c r="TJN42" i="1"/>
  <c r="TJN43" i="1" s="1"/>
  <c r="TJM42" i="1"/>
  <c r="TJM43" i="1" s="1"/>
  <c r="TJL42" i="1"/>
  <c r="TJL43" i="1" s="1"/>
  <c r="TJK42" i="1"/>
  <c r="TJK43" i="1" s="1"/>
  <c r="TJJ42" i="1"/>
  <c r="TJJ43" i="1" s="1"/>
  <c r="TJI42" i="1"/>
  <c r="TJI43" i="1" s="1"/>
  <c r="TJH42" i="1"/>
  <c r="TJH43" i="1" s="1"/>
  <c r="TJG42" i="1"/>
  <c r="TJG43" i="1" s="1"/>
  <c r="TJF42" i="1"/>
  <c r="TJF43" i="1" s="1"/>
  <c r="TJE42" i="1"/>
  <c r="TJE43" i="1" s="1"/>
  <c r="TJD42" i="1"/>
  <c r="TJD43" i="1" s="1"/>
  <c r="TJC42" i="1"/>
  <c r="TJC43" i="1" s="1"/>
  <c r="TJB42" i="1"/>
  <c r="TJB43" i="1" s="1"/>
  <c r="TJA42" i="1"/>
  <c r="TJA43" i="1" s="1"/>
  <c r="TIZ42" i="1"/>
  <c r="TIZ43" i="1" s="1"/>
  <c r="TIY42" i="1"/>
  <c r="TIY43" i="1" s="1"/>
  <c r="TIX42" i="1"/>
  <c r="TIX43" i="1" s="1"/>
  <c r="TIW42" i="1"/>
  <c r="TIW43" i="1" s="1"/>
  <c r="TIV42" i="1"/>
  <c r="TIV43" i="1" s="1"/>
  <c r="TIU42" i="1"/>
  <c r="TIU43" i="1" s="1"/>
  <c r="TIT42" i="1"/>
  <c r="TIT43" i="1" s="1"/>
  <c r="TIS42" i="1"/>
  <c r="TIS43" i="1" s="1"/>
  <c r="TIR42" i="1"/>
  <c r="TIR43" i="1" s="1"/>
  <c r="TIQ42" i="1"/>
  <c r="TIQ43" i="1" s="1"/>
  <c r="TIP42" i="1"/>
  <c r="TIP43" i="1" s="1"/>
  <c r="TIO42" i="1"/>
  <c r="TIO43" i="1" s="1"/>
  <c r="TIN42" i="1"/>
  <c r="TIN43" i="1" s="1"/>
  <c r="TIM42" i="1"/>
  <c r="TIM43" i="1" s="1"/>
  <c r="TIL42" i="1"/>
  <c r="TIL43" i="1" s="1"/>
  <c r="TIK42" i="1"/>
  <c r="TIK43" i="1" s="1"/>
  <c r="TIJ42" i="1"/>
  <c r="TIJ43" i="1" s="1"/>
  <c r="TII42" i="1"/>
  <c r="TII43" i="1" s="1"/>
  <c r="TIH42" i="1"/>
  <c r="TIH43" i="1" s="1"/>
  <c r="TIG42" i="1"/>
  <c r="TIG43" i="1" s="1"/>
  <c r="TIF42" i="1"/>
  <c r="TIF43" i="1" s="1"/>
  <c r="TIE42" i="1"/>
  <c r="TIE43" i="1" s="1"/>
  <c r="TID42" i="1"/>
  <c r="TID43" i="1" s="1"/>
  <c r="TIC42" i="1"/>
  <c r="TIC43" i="1" s="1"/>
  <c r="TIB42" i="1"/>
  <c r="TIB43" i="1" s="1"/>
  <c r="TIA42" i="1"/>
  <c r="TIA43" i="1" s="1"/>
  <c r="THZ42" i="1"/>
  <c r="THZ43" i="1" s="1"/>
  <c r="THY42" i="1"/>
  <c r="THY43" i="1" s="1"/>
  <c r="THX42" i="1"/>
  <c r="THX43" i="1" s="1"/>
  <c r="THW42" i="1"/>
  <c r="THW43" i="1" s="1"/>
  <c r="THV42" i="1"/>
  <c r="THV43" i="1" s="1"/>
  <c r="THU42" i="1"/>
  <c r="THU43" i="1" s="1"/>
  <c r="THT42" i="1"/>
  <c r="THT43" i="1" s="1"/>
  <c r="THS42" i="1"/>
  <c r="THS43" i="1" s="1"/>
  <c r="THR42" i="1"/>
  <c r="THR43" i="1" s="1"/>
  <c r="THQ42" i="1"/>
  <c r="THQ43" i="1" s="1"/>
  <c r="THP42" i="1"/>
  <c r="THP43" i="1" s="1"/>
  <c r="THO42" i="1"/>
  <c r="THO43" i="1" s="1"/>
  <c r="THN42" i="1"/>
  <c r="THN43" i="1" s="1"/>
  <c r="THM42" i="1"/>
  <c r="THM43" i="1" s="1"/>
  <c r="THL42" i="1"/>
  <c r="THL43" i="1" s="1"/>
  <c r="THK42" i="1"/>
  <c r="THK43" i="1" s="1"/>
  <c r="THJ42" i="1"/>
  <c r="THJ43" i="1" s="1"/>
  <c r="THI42" i="1"/>
  <c r="THI43" i="1" s="1"/>
  <c r="THH42" i="1"/>
  <c r="THH43" i="1" s="1"/>
  <c r="THG42" i="1"/>
  <c r="THG43" i="1" s="1"/>
  <c r="THF42" i="1"/>
  <c r="THF43" i="1" s="1"/>
  <c r="THE42" i="1"/>
  <c r="THE43" i="1" s="1"/>
  <c r="THD42" i="1"/>
  <c r="THD43" i="1" s="1"/>
  <c r="THC42" i="1"/>
  <c r="THC43" i="1" s="1"/>
  <c r="THB42" i="1"/>
  <c r="THB43" i="1" s="1"/>
  <c r="THA42" i="1"/>
  <c r="THA43" i="1" s="1"/>
  <c r="TGZ42" i="1"/>
  <c r="TGZ43" i="1" s="1"/>
  <c r="TGY42" i="1"/>
  <c r="TGY43" i="1" s="1"/>
  <c r="TGX42" i="1"/>
  <c r="TGX43" i="1" s="1"/>
  <c r="TGW42" i="1"/>
  <c r="TGW43" i="1" s="1"/>
  <c r="TGV42" i="1"/>
  <c r="TGV43" i="1" s="1"/>
  <c r="TGU42" i="1"/>
  <c r="TGU43" i="1" s="1"/>
  <c r="TGT42" i="1"/>
  <c r="TGT43" i="1" s="1"/>
  <c r="TGS42" i="1"/>
  <c r="TGS43" i="1" s="1"/>
  <c r="TGR42" i="1"/>
  <c r="TGR43" i="1" s="1"/>
  <c r="TGQ42" i="1"/>
  <c r="TGQ43" i="1" s="1"/>
  <c r="TGP42" i="1"/>
  <c r="TGP43" i="1" s="1"/>
  <c r="TGO42" i="1"/>
  <c r="TGO43" i="1" s="1"/>
  <c r="TGN42" i="1"/>
  <c r="TGN43" i="1" s="1"/>
  <c r="TGM42" i="1"/>
  <c r="TGM43" i="1" s="1"/>
  <c r="TGL42" i="1"/>
  <c r="TGL43" i="1" s="1"/>
  <c r="TGK42" i="1"/>
  <c r="TGK43" i="1" s="1"/>
  <c r="TGJ42" i="1"/>
  <c r="TGJ43" i="1" s="1"/>
  <c r="TGI42" i="1"/>
  <c r="TGI43" i="1" s="1"/>
  <c r="TGH42" i="1"/>
  <c r="TGH43" i="1" s="1"/>
  <c r="TGG42" i="1"/>
  <c r="TGG43" i="1" s="1"/>
  <c r="TGF42" i="1"/>
  <c r="TGF43" i="1" s="1"/>
  <c r="TGE42" i="1"/>
  <c r="TGE43" i="1" s="1"/>
  <c r="TGD42" i="1"/>
  <c r="TGD43" i="1" s="1"/>
  <c r="TGC42" i="1"/>
  <c r="TGC43" i="1" s="1"/>
  <c r="TGB42" i="1"/>
  <c r="TGB43" i="1" s="1"/>
  <c r="TGA42" i="1"/>
  <c r="TGA43" i="1" s="1"/>
  <c r="TFZ42" i="1"/>
  <c r="TFZ43" i="1" s="1"/>
  <c r="TFY42" i="1"/>
  <c r="TFY43" i="1" s="1"/>
  <c r="TFX42" i="1"/>
  <c r="TFX43" i="1" s="1"/>
  <c r="TFW42" i="1"/>
  <c r="TFW43" i="1" s="1"/>
  <c r="TFV42" i="1"/>
  <c r="TFV43" i="1" s="1"/>
  <c r="TFU42" i="1"/>
  <c r="TFU43" i="1" s="1"/>
  <c r="TFT42" i="1"/>
  <c r="TFT43" i="1" s="1"/>
  <c r="TFS42" i="1"/>
  <c r="TFS43" i="1" s="1"/>
  <c r="TFR42" i="1"/>
  <c r="TFR43" i="1" s="1"/>
  <c r="TFQ42" i="1"/>
  <c r="TFQ43" i="1" s="1"/>
  <c r="TFP42" i="1"/>
  <c r="TFP43" i="1" s="1"/>
  <c r="TFO42" i="1"/>
  <c r="TFO43" i="1" s="1"/>
  <c r="TFN42" i="1"/>
  <c r="TFN43" i="1" s="1"/>
  <c r="TFM42" i="1"/>
  <c r="TFM43" i="1" s="1"/>
  <c r="TFL42" i="1"/>
  <c r="TFL43" i="1" s="1"/>
  <c r="TFK42" i="1"/>
  <c r="TFK43" i="1" s="1"/>
  <c r="TFJ42" i="1"/>
  <c r="TFJ43" i="1" s="1"/>
  <c r="TFI42" i="1"/>
  <c r="TFI43" i="1" s="1"/>
  <c r="TFH42" i="1"/>
  <c r="TFH43" i="1" s="1"/>
  <c r="TFG42" i="1"/>
  <c r="TFG43" i="1" s="1"/>
  <c r="TFF42" i="1"/>
  <c r="TFF43" i="1" s="1"/>
  <c r="TFE42" i="1"/>
  <c r="TFE43" i="1" s="1"/>
  <c r="TFD42" i="1"/>
  <c r="TFD43" i="1" s="1"/>
  <c r="TFC42" i="1"/>
  <c r="TFC43" i="1" s="1"/>
  <c r="TFB42" i="1"/>
  <c r="TFB43" i="1" s="1"/>
  <c r="TFA42" i="1"/>
  <c r="TFA43" i="1" s="1"/>
  <c r="TEZ42" i="1"/>
  <c r="TEZ43" i="1" s="1"/>
  <c r="TEY42" i="1"/>
  <c r="TEY43" i="1" s="1"/>
  <c r="TEX42" i="1"/>
  <c r="TEX43" i="1" s="1"/>
  <c r="TEW42" i="1"/>
  <c r="TEW43" i="1" s="1"/>
  <c r="TEV42" i="1"/>
  <c r="TEV43" i="1" s="1"/>
  <c r="TEU42" i="1"/>
  <c r="TEU43" i="1" s="1"/>
  <c r="TET42" i="1"/>
  <c r="TET43" i="1" s="1"/>
  <c r="TES42" i="1"/>
  <c r="TES43" i="1" s="1"/>
  <c r="TER42" i="1"/>
  <c r="TER43" i="1" s="1"/>
  <c r="TEQ42" i="1"/>
  <c r="TEQ43" i="1" s="1"/>
  <c r="TEP42" i="1"/>
  <c r="TEP43" i="1" s="1"/>
  <c r="TEO42" i="1"/>
  <c r="TEO43" i="1" s="1"/>
  <c r="TEN42" i="1"/>
  <c r="TEN43" i="1" s="1"/>
  <c r="TEM42" i="1"/>
  <c r="TEM43" i="1" s="1"/>
  <c r="TEL42" i="1"/>
  <c r="TEL43" i="1" s="1"/>
  <c r="TEK42" i="1"/>
  <c r="TEK43" i="1" s="1"/>
  <c r="TEJ42" i="1"/>
  <c r="TEJ43" i="1" s="1"/>
  <c r="TEI42" i="1"/>
  <c r="TEI43" i="1" s="1"/>
  <c r="TEH42" i="1"/>
  <c r="TEH43" i="1" s="1"/>
  <c r="TEG42" i="1"/>
  <c r="TEG43" i="1" s="1"/>
  <c r="TEF42" i="1"/>
  <c r="TEF43" i="1" s="1"/>
  <c r="TEE42" i="1"/>
  <c r="TEE43" i="1" s="1"/>
  <c r="TED42" i="1"/>
  <c r="TED43" i="1" s="1"/>
  <c r="TEC42" i="1"/>
  <c r="TEC43" i="1" s="1"/>
  <c r="TEB42" i="1"/>
  <c r="TEB43" i="1" s="1"/>
  <c r="TEA42" i="1"/>
  <c r="TEA43" i="1" s="1"/>
  <c r="TDZ42" i="1"/>
  <c r="TDZ43" i="1" s="1"/>
  <c r="TDY42" i="1"/>
  <c r="TDY43" i="1" s="1"/>
  <c r="TDX42" i="1"/>
  <c r="TDX43" i="1" s="1"/>
  <c r="TDW42" i="1"/>
  <c r="TDW43" i="1" s="1"/>
  <c r="TDV42" i="1"/>
  <c r="TDV43" i="1" s="1"/>
  <c r="TDU42" i="1"/>
  <c r="TDU43" i="1" s="1"/>
  <c r="TDT42" i="1"/>
  <c r="TDT43" i="1" s="1"/>
  <c r="TDS42" i="1"/>
  <c r="TDS43" i="1" s="1"/>
  <c r="TDR42" i="1"/>
  <c r="TDR43" i="1" s="1"/>
  <c r="TDQ42" i="1"/>
  <c r="TDQ43" i="1" s="1"/>
  <c r="TDP42" i="1"/>
  <c r="TDP43" i="1" s="1"/>
  <c r="TDO42" i="1"/>
  <c r="TDO43" i="1" s="1"/>
  <c r="TDN42" i="1"/>
  <c r="TDN43" i="1" s="1"/>
  <c r="TDM42" i="1"/>
  <c r="TDM43" i="1" s="1"/>
  <c r="TDL42" i="1"/>
  <c r="TDL43" i="1" s="1"/>
  <c r="TDK42" i="1"/>
  <c r="TDK43" i="1" s="1"/>
  <c r="TDJ42" i="1"/>
  <c r="TDJ43" i="1" s="1"/>
  <c r="TDI42" i="1"/>
  <c r="TDI43" i="1" s="1"/>
  <c r="TDH42" i="1"/>
  <c r="TDH43" i="1" s="1"/>
  <c r="TDG42" i="1"/>
  <c r="TDG43" i="1" s="1"/>
  <c r="TDF42" i="1"/>
  <c r="TDF43" i="1" s="1"/>
  <c r="TDE42" i="1"/>
  <c r="TDE43" i="1" s="1"/>
  <c r="TDD42" i="1"/>
  <c r="TDD43" i="1" s="1"/>
  <c r="TDC42" i="1"/>
  <c r="TDC43" i="1" s="1"/>
  <c r="TDB42" i="1"/>
  <c r="TDB43" i="1" s="1"/>
  <c r="TDA42" i="1"/>
  <c r="TDA43" i="1" s="1"/>
  <c r="TCZ42" i="1"/>
  <c r="TCZ43" i="1" s="1"/>
  <c r="TCY42" i="1"/>
  <c r="TCY43" i="1" s="1"/>
  <c r="TCX42" i="1"/>
  <c r="TCX43" i="1" s="1"/>
  <c r="TCW42" i="1"/>
  <c r="TCW43" i="1" s="1"/>
  <c r="TCV42" i="1"/>
  <c r="TCV43" i="1" s="1"/>
  <c r="TCU42" i="1"/>
  <c r="TCU43" i="1" s="1"/>
  <c r="TCT42" i="1"/>
  <c r="TCT43" i="1" s="1"/>
  <c r="TCS42" i="1"/>
  <c r="TCS43" i="1" s="1"/>
  <c r="TCR42" i="1"/>
  <c r="TCR43" i="1" s="1"/>
  <c r="TCQ42" i="1"/>
  <c r="TCQ43" i="1" s="1"/>
  <c r="TCP42" i="1"/>
  <c r="TCP43" i="1" s="1"/>
  <c r="TCO42" i="1"/>
  <c r="TCO43" i="1" s="1"/>
  <c r="TCN42" i="1"/>
  <c r="TCN43" i="1" s="1"/>
  <c r="TCM42" i="1"/>
  <c r="TCM43" i="1" s="1"/>
  <c r="TCL42" i="1"/>
  <c r="TCL43" i="1" s="1"/>
  <c r="TCK42" i="1"/>
  <c r="TCK43" i="1" s="1"/>
  <c r="TCJ42" i="1"/>
  <c r="TCJ43" i="1" s="1"/>
  <c r="TCI42" i="1"/>
  <c r="TCI43" i="1" s="1"/>
  <c r="TCH42" i="1"/>
  <c r="TCH43" i="1" s="1"/>
  <c r="TCG42" i="1"/>
  <c r="TCG43" i="1" s="1"/>
  <c r="TCF42" i="1"/>
  <c r="TCF43" i="1" s="1"/>
  <c r="TCE42" i="1"/>
  <c r="TCE43" i="1" s="1"/>
  <c r="TCD42" i="1"/>
  <c r="TCD43" i="1" s="1"/>
  <c r="TCC42" i="1"/>
  <c r="TCC43" i="1" s="1"/>
  <c r="TCB42" i="1"/>
  <c r="TCB43" i="1" s="1"/>
  <c r="TCA42" i="1"/>
  <c r="TCA43" i="1" s="1"/>
  <c r="TBZ42" i="1"/>
  <c r="TBZ43" i="1" s="1"/>
  <c r="TBY42" i="1"/>
  <c r="TBY43" i="1" s="1"/>
  <c r="TBX42" i="1"/>
  <c r="TBX43" i="1" s="1"/>
  <c r="TBW42" i="1"/>
  <c r="TBW43" i="1" s="1"/>
  <c r="TBV42" i="1"/>
  <c r="TBV43" i="1" s="1"/>
  <c r="TBU42" i="1"/>
  <c r="TBU43" i="1" s="1"/>
  <c r="TBT42" i="1"/>
  <c r="TBT43" i="1" s="1"/>
  <c r="TBS42" i="1"/>
  <c r="TBS43" i="1" s="1"/>
  <c r="TBR42" i="1"/>
  <c r="TBR43" i="1" s="1"/>
  <c r="TBQ42" i="1"/>
  <c r="TBQ43" i="1" s="1"/>
  <c r="TBP42" i="1"/>
  <c r="TBP43" i="1" s="1"/>
  <c r="TBO42" i="1"/>
  <c r="TBO43" i="1" s="1"/>
  <c r="TBN42" i="1"/>
  <c r="TBN43" i="1" s="1"/>
  <c r="TBM42" i="1"/>
  <c r="TBM43" i="1" s="1"/>
  <c r="TBL42" i="1"/>
  <c r="TBL43" i="1" s="1"/>
  <c r="TBK42" i="1"/>
  <c r="TBK43" i="1" s="1"/>
  <c r="TBJ42" i="1"/>
  <c r="TBJ43" i="1" s="1"/>
  <c r="TBI42" i="1"/>
  <c r="TBI43" i="1" s="1"/>
  <c r="TBH42" i="1"/>
  <c r="TBH43" i="1" s="1"/>
  <c r="TBG42" i="1"/>
  <c r="TBG43" i="1" s="1"/>
  <c r="TBF42" i="1"/>
  <c r="TBF43" i="1" s="1"/>
  <c r="TBE42" i="1"/>
  <c r="TBE43" i="1" s="1"/>
  <c r="TBD42" i="1"/>
  <c r="TBD43" i="1" s="1"/>
  <c r="TBC42" i="1"/>
  <c r="TBC43" i="1" s="1"/>
  <c r="TBB42" i="1"/>
  <c r="TBB43" i="1" s="1"/>
  <c r="TBA42" i="1"/>
  <c r="TBA43" i="1" s="1"/>
  <c r="TAZ42" i="1"/>
  <c r="TAZ43" i="1" s="1"/>
  <c r="TAY42" i="1"/>
  <c r="TAY43" i="1" s="1"/>
  <c r="TAX42" i="1"/>
  <c r="TAX43" i="1" s="1"/>
  <c r="TAW42" i="1"/>
  <c r="TAW43" i="1" s="1"/>
  <c r="TAV42" i="1"/>
  <c r="TAV43" i="1" s="1"/>
  <c r="TAU42" i="1"/>
  <c r="TAU43" i="1" s="1"/>
  <c r="TAT42" i="1"/>
  <c r="TAT43" i="1" s="1"/>
  <c r="TAS42" i="1"/>
  <c r="TAS43" i="1" s="1"/>
  <c r="TAR42" i="1"/>
  <c r="TAR43" i="1" s="1"/>
  <c r="TAQ42" i="1"/>
  <c r="TAQ43" i="1" s="1"/>
  <c r="TAP42" i="1"/>
  <c r="TAP43" i="1" s="1"/>
  <c r="TAO42" i="1"/>
  <c r="TAO43" i="1" s="1"/>
  <c r="TAN42" i="1"/>
  <c r="TAN43" i="1" s="1"/>
  <c r="TAM42" i="1"/>
  <c r="TAM43" i="1" s="1"/>
  <c r="TAL42" i="1"/>
  <c r="TAL43" i="1" s="1"/>
  <c r="TAK42" i="1"/>
  <c r="TAK43" i="1" s="1"/>
  <c r="TAJ42" i="1"/>
  <c r="TAJ43" i="1" s="1"/>
  <c r="TAI42" i="1"/>
  <c r="TAI43" i="1" s="1"/>
  <c r="TAH42" i="1"/>
  <c r="TAH43" i="1" s="1"/>
  <c r="TAG42" i="1"/>
  <c r="TAG43" i="1" s="1"/>
  <c r="TAF42" i="1"/>
  <c r="TAF43" i="1" s="1"/>
  <c r="TAE42" i="1"/>
  <c r="TAE43" i="1" s="1"/>
  <c r="TAD42" i="1"/>
  <c r="TAD43" i="1" s="1"/>
  <c r="TAC42" i="1"/>
  <c r="TAC43" i="1" s="1"/>
  <c r="TAB42" i="1"/>
  <c r="TAB43" i="1" s="1"/>
  <c r="TAA42" i="1"/>
  <c r="TAA43" i="1" s="1"/>
  <c r="SZZ42" i="1"/>
  <c r="SZZ43" i="1" s="1"/>
  <c r="SZY42" i="1"/>
  <c r="SZY43" i="1" s="1"/>
  <c r="SZX42" i="1"/>
  <c r="SZX43" i="1" s="1"/>
  <c r="SZW42" i="1"/>
  <c r="SZW43" i="1" s="1"/>
  <c r="SZV42" i="1"/>
  <c r="SZV43" i="1" s="1"/>
  <c r="SZU42" i="1"/>
  <c r="SZU43" i="1" s="1"/>
  <c r="SZT42" i="1"/>
  <c r="SZT43" i="1" s="1"/>
  <c r="SZS42" i="1"/>
  <c r="SZS43" i="1" s="1"/>
  <c r="SZR42" i="1"/>
  <c r="SZR43" i="1" s="1"/>
  <c r="SZQ42" i="1"/>
  <c r="SZQ43" i="1" s="1"/>
  <c r="SZP42" i="1"/>
  <c r="SZP43" i="1" s="1"/>
  <c r="SZO42" i="1"/>
  <c r="SZO43" i="1" s="1"/>
  <c r="SZN42" i="1"/>
  <c r="SZN43" i="1" s="1"/>
  <c r="SZM42" i="1"/>
  <c r="SZM43" i="1" s="1"/>
  <c r="SZL42" i="1"/>
  <c r="SZL43" i="1" s="1"/>
  <c r="SZK42" i="1"/>
  <c r="SZK43" i="1" s="1"/>
  <c r="SZJ42" i="1"/>
  <c r="SZJ43" i="1" s="1"/>
  <c r="SZI42" i="1"/>
  <c r="SZI43" i="1" s="1"/>
  <c r="SZH42" i="1"/>
  <c r="SZH43" i="1" s="1"/>
  <c r="SZG42" i="1"/>
  <c r="SZG43" i="1" s="1"/>
  <c r="SZF42" i="1"/>
  <c r="SZF43" i="1" s="1"/>
  <c r="SZE42" i="1"/>
  <c r="SZE43" i="1" s="1"/>
  <c r="SZD42" i="1"/>
  <c r="SZD43" i="1" s="1"/>
  <c r="SZC42" i="1"/>
  <c r="SZC43" i="1" s="1"/>
  <c r="SZB42" i="1"/>
  <c r="SZB43" i="1" s="1"/>
  <c r="SZA42" i="1"/>
  <c r="SZA43" i="1" s="1"/>
  <c r="SYZ42" i="1"/>
  <c r="SYZ43" i="1" s="1"/>
  <c r="SYY42" i="1"/>
  <c r="SYY43" i="1" s="1"/>
  <c r="SYX42" i="1"/>
  <c r="SYX43" i="1" s="1"/>
  <c r="SYW42" i="1"/>
  <c r="SYW43" i="1" s="1"/>
  <c r="SYV42" i="1"/>
  <c r="SYV43" i="1" s="1"/>
  <c r="SYU42" i="1"/>
  <c r="SYU43" i="1" s="1"/>
  <c r="SYT42" i="1"/>
  <c r="SYT43" i="1" s="1"/>
  <c r="SYS42" i="1"/>
  <c r="SYS43" i="1" s="1"/>
  <c r="SYR42" i="1"/>
  <c r="SYR43" i="1" s="1"/>
  <c r="SYQ42" i="1"/>
  <c r="SYQ43" i="1" s="1"/>
  <c r="SYP42" i="1"/>
  <c r="SYP43" i="1" s="1"/>
  <c r="SYO42" i="1"/>
  <c r="SYO43" i="1" s="1"/>
  <c r="SYN42" i="1"/>
  <c r="SYN43" i="1" s="1"/>
  <c r="SYM42" i="1"/>
  <c r="SYM43" i="1" s="1"/>
  <c r="SYL42" i="1"/>
  <c r="SYL43" i="1" s="1"/>
  <c r="SYK42" i="1"/>
  <c r="SYK43" i="1" s="1"/>
  <c r="SYJ42" i="1"/>
  <c r="SYJ43" i="1" s="1"/>
  <c r="SYI42" i="1"/>
  <c r="SYI43" i="1" s="1"/>
  <c r="SYH42" i="1"/>
  <c r="SYH43" i="1" s="1"/>
  <c r="SYG42" i="1"/>
  <c r="SYG43" i="1" s="1"/>
  <c r="SYF42" i="1"/>
  <c r="SYF43" i="1" s="1"/>
  <c r="SYE42" i="1"/>
  <c r="SYE43" i="1" s="1"/>
  <c r="SYD42" i="1"/>
  <c r="SYD43" i="1" s="1"/>
  <c r="SYC42" i="1"/>
  <c r="SYC43" i="1" s="1"/>
  <c r="SYB42" i="1"/>
  <c r="SYB43" i="1" s="1"/>
  <c r="SYA42" i="1"/>
  <c r="SYA43" i="1" s="1"/>
  <c r="SXZ42" i="1"/>
  <c r="SXZ43" i="1" s="1"/>
  <c r="SXY42" i="1"/>
  <c r="SXY43" i="1" s="1"/>
  <c r="SXX42" i="1"/>
  <c r="SXX43" i="1" s="1"/>
  <c r="SXW42" i="1"/>
  <c r="SXW43" i="1" s="1"/>
  <c r="SXV42" i="1"/>
  <c r="SXV43" i="1" s="1"/>
  <c r="SXU42" i="1"/>
  <c r="SXU43" i="1" s="1"/>
  <c r="SXT42" i="1"/>
  <c r="SXT43" i="1" s="1"/>
  <c r="SXS42" i="1"/>
  <c r="SXS43" i="1" s="1"/>
  <c r="SXR42" i="1"/>
  <c r="SXR43" i="1" s="1"/>
  <c r="SXQ42" i="1"/>
  <c r="SXQ43" i="1" s="1"/>
  <c r="SXP42" i="1"/>
  <c r="SXP43" i="1" s="1"/>
  <c r="SXO42" i="1"/>
  <c r="SXO43" i="1" s="1"/>
  <c r="SXN42" i="1"/>
  <c r="SXN43" i="1" s="1"/>
  <c r="SXM42" i="1"/>
  <c r="SXM43" i="1" s="1"/>
  <c r="SXL42" i="1"/>
  <c r="SXL43" i="1" s="1"/>
  <c r="SXK42" i="1"/>
  <c r="SXK43" i="1" s="1"/>
  <c r="SXJ42" i="1"/>
  <c r="SXJ43" i="1" s="1"/>
  <c r="SXI42" i="1"/>
  <c r="SXI43" i="1" s="1"/>
  <c r="SXH42" i="1"/>
  <c r="SXH43" i="1" s="1"/>
  <c r="SXG42" i="1"/>
  <c r="SXG43" i="1" s="1"/>
  <c r="SXF42" i="1"/>
  <c r="SXF43" i="1" s="1"/>
  <c r="SXE42" i="1"/>
  <c r="SXE43" i="1" s="1"/>
  <c r="SXD42" i="1"/>
  <c r="SXD43" i="1" s="1"/>
  <c r="SXC42" i="1"/>
  <c r="SXC43" i="1" s="1"/>
  <c r="SXB42" i="1"/>
  <c r="SXB43" i="1" s="1"/>
  <c r="SXA42" i="1"/>
  <c r="SXA43" i="1" s="1"/>
  <c r="SWZ42" i="1"/>
  <c r="SWZ43" i="1" s="1"/>
  <c r="SWY42" i="1"/>
  <c r="SWY43" i="1" s="1"/>
  <c r="SWX42" i="1"/>
  <c r="SWX43" i="1" s="1"/>
  <c r="SWW42" i="1"/>
  <c r="SWW43" i="1" s="1"/>
  <c r="SWV42" i="1"/>
  <c r="SWV43" i="1" s="1"/>
  <c r="SWU42" i="1"/>
  <c r="SWU43" i="1" s="1"/>
  <c r="SWT42" i="1"/>
  <c r="SWT43" i="1" s="1"/>
  <c r="SWS42" i="1"/>
  <c r="SWS43" i="1" s="1"/>
  <c r="SWR42" i="1"/>
  <c r="SWR43" i="1" s="1"/>
  <c r="SWQ42" i="1"/>
  <c r="SWQ43" i="1" s="1"/>
  <c r="SWP42" i="1"/>
  <c r="SWP43" i="1" s="1"/>
  <c r="SWO42" i="1"/>
  <c r="SWO43" i="1" s="1"/>
  <c r="SWN42" i="1"/>
  <c r="SWN43" i="1" s="1"/>
  <c r="SWM42" i="1"/>
  <c r="SWM43" i="1" s="1"/>
  <c r="SWL42" i="1"/>
  <c r="SWL43" i="1" s="1"/>
  <c r="SWK42" i="1"/>
  <c r="SWK43" i="1" s="1"/>
  <c r="SWJ42" i="1"/>
  <c r="SWJ43" i="1" s="1"/>
  <c r="SWI42" i="1"/>
  <c r="SWI43" i="1" s="1"/>
  <c r="SWH42" i="1"/>
  <c r="SWH43" i="1" s="1"/>
  <c r="SWG42" i="1"/>
  <c r="SWG43" i="1" s="1"/>
  <c r="SWF42" i="1"/>
  <c r="SWF43" i="1" s="1"/>
  <c r="SWE42" i="1"/>
  <c r="SWE43" i="1" s="1"/>
  <c r="SWD42" i="1"/>
  <c r="SWD43" i="1" s="1"/>
  <c r="SWC42" i="1"/>
  <c r="SWC43" i="1" s="1"/>
  <c r="SWB42" i="1"/>
  <c r="SWB43" i="1" s="1"/>
  <c r="SWA42" i="1"/>
  <c r="SWA43" i="1" s="1"/>
  <c r="SVZ42" i="1"/>
  <c r="SVZ43" i="1" s="1"/>
  <c r="SVY42" i="1"/>
  <c r="SVY43" i="1" s="1"/>
  <c r="SVX42" i="1"/>
  <c r="SVX43" i="1" s="1"/>
  <c r="SVW42" i="1"/>
  <c r="SVW43" i="1" s="1"/>
  <c r="SVV42" i="1"/>
  <c r="SVV43" i="1" s="1"/>
  <c r="SVU42" i="1"/>
  <c r="SVU43" i="1" s="1"/>
  <c r="SVT42" i="1"/>
  <c r="SVT43" i="1" s="1"/>
  <c r="SVS42" i="1"/>
  <c r="SVS43" i="1" s="1"/>
  <c r="SVR42" i="1"/>
  <c r="SVR43" i="1" s="1"/>
  <c r="SVQ42" i="1"/>
  <c r="SVQ43" i="1" s="1"/>
  <c r="SVP42" i="1"/>
  <c r="SVP43" i="1" s="1"/>
  <c r="SVO42" i="1"/>
  <c r="SVO43" i="1" s="1"/>
  <c r="SVN42" i="1"/>
  <c r="SVN43" i="1" s="1"/>
  <c r="SVM42" i="1"/>
  <c r="SVM43" i="1" s="1"/>
  <c r="SVL42" i="1"/>
  <c r="SVL43" i="1" s="1"/>
  <c r="SVK42" i="1"/>
  <c r="SVK43" i="1" s="1"/>
  <c r="SVJ42" i="1"/>
  <c r="SVJ43" i="1" s="1"/>
  <c r="SVI42" i="1"/>
  <c r="SVI43" i="1" s="1"/>
  <c r="SVH42" i="1"/>
  <c r="SVH43" i="1" s="1"/>
  <c r="SVG42" i="1"/>
  <c r="SVG43" i="1" s="1"/>
  <c r="SVF42" i="1"/>
  <c r="SVF43" i="1" s="1"/>
  <c r="SVE42" i="1"/>
  <c r="SVE43" i="1" s="1"/>
  <c r="SVD42" i="1"/>
  <c r="SVD43" i="1" s="1"/>
  <c r="SVC42" i="1"/>
  <c r="SVC43" i="1" s="1"/>
  <c r="SVB42" i="1"/>
  <c r="SVB43" i="1" s="1"/>
  <c r="SVA42" i="1"/>
  <c r="SVA43" i="1" s="1"/>
  <c r="SUZ42" i="1"/>
  <c r="SUZ43" i="1" s="1"/>
  <c r="SUY42" i="1"/>
  <c r="SUY43" i="1" s="1"/>
  <c r="SUX42" i="1"/>
  <c r="SUX43" i="1" s="1"/>
  <c r="SUW42" i="1"/>
  <c r="SUW43" i="1" s="1"/>
  <c r="SUV42" i="1"/>
  <c r="SUV43" i="1" s="1"/>
  <c r="SUU42" i="1"/>
  <c r="SUU43" i="1" s="1"/>
  <c r="SUT42" i="1"/>
  <c r="SUT43" i="1" s="1"/>
  <c r="SUS42" i="1"/>
  <c r="SUS43" i="1" s="1"/>
  <c r="SUR42" i="1"/>
  <c r="SUR43" i="1" s="1"/>
  <c r="SUQ42" i="1"/>
  <c r="SUQ43" i="1" s="1"/>
  <c r="SUP42" i="1"/>
  <c r="SUP43" i="1" s="1"/>
  <c r="SUO42" i="1"/>
  <c r="SUO43" i="1" s="1"/>
  <c r="SUN42" i="1"/>
  <c r="SUN43" i="1" s="1"/>
  <c r="SUM42" i="1"/>
  <c r="SUM43" i="1" s="1"/>
  <c r="SUL42" i="1"/>
  <c r="SUL43" i="1" s="1"/>
  <c r="SUK42" i="1"/>
  <c r="SUK43" i="1" s="1"/>
  <c r="SUJ42" i="1"/>
  <c r="SUJ43" i="1" s="1"/>
  <c r="SUI42" i="1"/>
  <c r="SUI43" i="1" s="1"/>
  <c r="SUH42" i="1"/>
  <c r="SUH43" i="1" s="1"/>
  <c r="SUG42" i="1"/>
  <c r="SUG43" i="1" s="1"/>
  <c r="SUF42" i="1"/>
  <c r="SUF43" i="1" s="1"/>
  <c r="SUE42" i="1"/>
  <c r="SUE43" i="1" s="1"/>
  <c r="SUD42" i="1"/>
  <c r="SUD43" i="1" s="1"/>
  <c r="SUC42" i="1"/>
  <c r="SUC43" i="1" s="1"/>
  <c r="SUB42" i="1"/>
  <c r="SUB43" i="1" s="1"/>
  <c r="SUA42" i="1"/>
  <c r="SUA43" i="1" s="1"/>
  <c r="STZ42" i="1"/>
  <c r="STZ43" i="1" s="1"/>
  <c r="STY42" i="1"/>
  <c r="STY43" i="1" s="1"/>
  <c r="STX42" i="1"/>
  <c r="STX43" i="1" s="1"/>
  <c r="STW42" i="1"/>
  <c r="STW43" i="1" s="1"/>
  <c r="STV42" i="1"/>
  <c r="STV43" i="1" s="1"/>
  <c r="STU42" i="1"/>
  <c r="STU43" i="1" s="1"/>
  <c r="STT42" i="1"/>
  <c r="STT43" i="1" s="1"/>
  <c r="STS42" i="1"/>
  <c r="STS43" i="1" s="1"/>
  <c r="STR42" i="1"/>
  <c r="STR43" i="1" s="1"/>
  <c r="STQ42" i="1"/>
  <c r="STQ43" i="1" s="1"/>
  <c r="STP42" i="1"/>
  <c r="STP43" i="1" s="1"/>
  <c r="STO42" i="1"/>
  <c r="STO43" i="1" s="1"/>
  <c r="STN42" i="1"/>
  <c r="STN43" i="1" s="1"/>
  <c r="STM42" i="1"/>
  <c r="STM43" i="1" s="1"/>
  <c r="STL42" i="1"/>
  <c r="STL43" i="1" s="1"/>
  <c r="STK42" i="1"/>
  <c r="STK43" i="1" s="1"/>
  <c r="STJ42" i="1"/>
  <c r="STJ43" i="1" s="1"/>
  <c r="STI42" i="1"/>
  <c r="STI43" i="1" s="1"/>
  <c r="STH42" i="1"/>
  <c r="STH43" i="1" s="1"/>
  <c r="STG42" i="1"/>
  <c r="STG43" i="1" s="1"/>
  <c r="STF42" i="1"/>
  <c r="STF43" i="1" s="1"/>
  <c r="STE42" i="1"/>
  <c r="STE43" i="1" s="1"/>
  <c r="STD42" i="1"/>
  <c r="STD43" i="1" s="1"/>
  <c r="STC42" i="1"/>
  <c r="STC43" i="1" s="1"/>
  <c r="STB42" i="1"/>
  <c r="STB43" i="1" s="1"/>
  <c r="STA42" i="1"/>
  <c r="STA43" i="1" s="1"/>
  <c r="SSZ42" i="1"/>
  <c r="SSZ43" i="1" s="1"/>
  <c r="SSY42" i="1"/>
  <c r="SSY43" i="1" s="1"/>
  <c r="SSX42" i="1"/>
  <c r="SSX43" i="1" s="1"/>
  <c r="SSW42" i="1"/>
  <c r="SSW43" i="1" s="1"/>
  <c r="SSV42" i="1"/>
  <c r="SSV43" i="1" s="1"/>
  <c r="SSU42" i="1"/>
  <c r="SSU43" i="1" s="1"/>
  <c r="SST42" i="1"/>
  <c r="SST43" i="1" s="1"/>
  <c r="SSS42" i="1"/>
  <c r="SSS43" i="1" s="1"/>
  <c r="SSR42" i="1"/>
  <c r="SSR43" i="1" s="1"/>
  <c r="SSQ42" i="1"/>
  <c r="SSQ43" i="1" s="1"/>
  <c r="SSP42" i="1"/>
  <c r="SSP43" i="1" s="1"/>
  <c r="SSO42" i="1"/>
  <c r="SSO43" i="1" s="1"/>
  <c r="SSN42" i="1"/>
  <c r="SSN43" i="1" s="1"/>
  <c r="SSM42" i="1"/>
  <c r="SSM43" i="1" s="1"/>
  <c r="SSL42" i="1"/>
  <c r="SSL43" i="1" s="1"/>
  <c r="SSK42" i="1"/>
  <c r="SSK43" i="1" s="1"/>
  <c r="SSJ42" i="1"/>
  <c r="SSJ43" i="1" s="1"/>
  <c r="SSI42" i="1"/>
  <c r="SSI43" i="1" s="1"/>
  <c r="SSH42" i="1"/>
  <c r="SSH43" i="1" s="1"/>
  <c r="SSG42" i="1"/>
  <c r="SSG43" i="1" s="1"/>
  <c r="SSF42" i="1"/>
  <c r="SSF43" i="1" s="1"/>
  <c r="SSE42" i="1"/>
  <c r="SSE43" i="1" s="1"/>
  <c r="SSD42" i="1"/>
  <c r="SSD43" i="1" s="1"/>
  <c r="SSC42" i="1"/>
  <c r="SSC43" i="1" s="1"/>
  <c r="SSB42" i="1"/>
  <c r="SSB43" i="1" s="1"/>
  <c r="SSA42" i="1"/>
  <c r="SSA43" i="1" s="1"/>
  <c r="SRZ42" i="1"/>
  <c r="SRZ43" i="1" s="1"/>
  <c r="SRY42" i="1"/>
  <c r="SRY43" i="1" s="1"/>
  <c r="SRX42" i="1"/>
  <c r="SRX43" i="1" s="1"/>
  <c r="SRW42" i="1"/>
  <c r="SRW43" i="1" s="1"/>
  <c r="SRV42" i="1"/>
  <c r="SRV43" i="1" s="1"/>
  <c r="SRU42" i="1"/>
  <c r="SRU43" i="1" s="1"/>
  <c r="SRT42" i="1"/>
  <c r="SRT43" i="1" s="1"/>
  <c r="SRS42" i="1"/>
  <c r="SRS43" i="1" s="1"/>
  <c r="SRR42" i="1"/>
  <c r="SRR43" i="1" s="1"/>
  <c r="SRQ42" i="1"/>
  <c r="SRQ43" i="1" s="1"/>
  <c r="SRP42" i="1"/>
  <c r="SRP43" i="1" s="1"/>
  <c r="SRO42" i="1"/>
  <c r="SRO43" i="1" s="1"/>
  <c r="SRN42" i="1"/>
  <c r="SRN43" i="1" s="1"/>
  <c r="SRM42" i="1"/>
  <c r="SRM43" i="1" s="1"/>
  <c r="SRL42" i="1"/>
  <c r="SRL43" i="1" s="1"/>
  <c r="SRK42" i="1"/>
  <c r="SRK43" i="1" s="1"/>
  <c r="SRJ42" i="1"/>
  <c r="SRJ43" i="1" s="1"/>
  <c r="SRI42" i="1"/>
  <c r="SRI43" i="1" s="1"/>
  <c r="SRH42" i="1"/>
  <c r="SRH43" i="1" s="1"/>
  <c r="SRG42" i="1"/>
  <c r="SRG43" i="1" s="1"/>
  <c r="SRF42" i="1"/>
  <c r="SRF43" i="1" s="1"/>
  <c r="SRE42" i="1"/>
  <c r="SRE43" i="1" s="1"/>
  <c r="SRD42" i="1"/>
  <c r="SRD43" i="1" s="1"/>
  <c r="SRC42" i="1"/>
  <c r="SRC43" i="1" s="1"/>
  <c r="SRB42" i="1"/>
  <c r="SRB43" i="1" s="1"/>
  <c r="SRA42" i="1"/>
  <c r="SRA43" i="1" s="1"/>
  <c r="SQZ42" i="1"/>
  <c r="SQZ43" i="1" s="1"/>
  <c r="SQY42" i="1"/>
  <c r="SQY43" i="1" s="1"/>
  <c r="SQX42" i="1"/>
  <c r="SQX43" i="1" s="1"/>
  <c r="SQW42" i="1"/>
  <c r="SQW43" i="1" s="1"/>
  <c r="SQV42" i="1"/>
  <c r="SQV43" i="1" s="1"/>
  <c r="SQU42" i="1"/>
  <c r="SQU43" i="1" s="1"/>
  <c r="SQT42" i="1"/>
  <c r="SQT43" i="1" s="1"/>
  <c r="SQS42" i="1"/>
  <c r="SQS43" i="1" s="1"/>
  <c r="SQR42" i="1"/>
  <c r="SQR43" i="1" s="1"/>
  <c r="SQQ42" i="1"/>
  <c r="SQQ43" i="1" s="1"/>
  <c r="SQP42" i="1"/>
  <c r="SQP43" i="1" s="1"/>
  <c r="SQO42" i="1"/>
  <c r="SQO43" i="1" s="1"/>
  <c r="SQN42" i="1"/>
  <c r="SQN43" i="1" s="1"/>
  <c r="SQM42" i="1"/>
  <c r="SQM43" i="1" s="1"/>
  <c r="SQL42" i="1"/>
  <c r="SQL43" i="1" s="1"/>
  <c r="SQK42" i="1"/>
  <c r="SQK43" i="1" s="1"/>
  <c r="SQJ42" i="1"/>
  <c r="SQJ43" i="1" s="1"/>
  <c r="SQI42" i="1"/>
  <c r="SQI43" i="1" s="1"/>
  <c r="SQH42" i="1"/>
  <c r="SQH43" i="1" s="1"/>
  <c r="SQG42" i="1"/>
  <c r="SQG43" i="1" s="1"/>
  <c r="SQF42" i="1"/>
  <c r="SQF43" i="1" s="1"/>
  <c r="SQE42" i="1"/>
  <c r="SQE43" i="1" s="1"/>
  <c r="SQD42" i="1"/>
  <c r="SQD43" i="1" s="1"/>
  <c r="SQC42" i="1"/>
  <c r="SQC43" i="1" s="1"/>
  <c r="SQB42" i="1"/>
  <c r="SQB43" i="1" s="1"/>
  <c r="SQA42" i="1"/>
  <c r="SQA43" i="1" s="1"/>
  <c r="SPZ42" i="1"/>
  <c r="SPZ43" i="1" s="1"/>
  <c r="SPY42" i="1"/>
  <c r="SPY43" i="1" s="1"/>
  <c r="SPX42" i="1"/>
  <c r="SPX43" i="1" s="1"/>
  <c r="SPW42" i="1"/>
  <c r="SPW43" i="1" s="1"/>
  <c r="SPV42" i="1"/>
  <c r="SPV43" i="1" s="1"/>
  <c r="SPU42" i="1"/>
  <c r="SPU43" i="1" s="1"/>
  <c r="SPT42" i="1"/>
  <c r="SPT43" i="1" s="1"/>
  <c r="SPS42" i="1"/>
  <c r="SPS43" i="1" s="1"/>
  <c r="SPR42" i="1"/>
  <c r="SPR43" i="1" s="1"/>
  <c r="SPQ42" i="1"/>
  <c r="SPQ43" i="1" s="1"/>
  <c r="SPP42" i="1"/>
  <c r="SPP43" i="1" s="1"/>
  <c r="SPO42" i="1"/>
  <c r="SPO43" i="1" s="1"/>
  <c r="SPN42" i="1"/>
  <c r="SPN43" i="1" s="1"/>
  <c r="SPM42" i="1"/>
  <c r="SPM43" i="1" s="1"/>
  <c r="SPL42" i="1"/>
  <c r="SPL43" i="1" s="1"/>
  <c r="SPK42" i="1"/>
  <c r="SPK43" i="1" s="1"/>
  <c r="SPJ42" i="1"/>
  <c r="SPJ43" i="1" s="1"/>
  <c r="SPI42" i="1"/>
  <c r="SPI43" i="1" s="1"/>
  <c r="SPH42" i="1"/>
  <c r="SPH43" i="1" s="1"/>
  <c r="SPG42" i="1"/>
  <c r="SPG43" i="1" s="1"/>
  <c r="SPF42" i="1"/>
  <c r="SPF43" i="1" s="1"/>
  <c r="SPE42" i="1"/>
  <c r="SPE43" i="1" s="1"/>
  <c r="SPD42" i="1"/>
  <c r="SPD43" i="1" s="1"/>
  <c r="SPC42" i="1"/>
  <c r="SPC43" i="1" s="1"/>
  <c r="SPB42" i="1"/>
  <c r="SPB43" i="1" s="1"/>
  <c r="SPA42" i="1"/>
  <c r="SPA43" i="1" s="1"/>
  <c r="SOZ42" i="1"/>
  <c r="SOZ43" i="1" s="1"/>
  <c r="SOY42" i="1"/>
  <c r="SOY43" i="1" s="1"/>
  <c r="SOX42" i="1"/>
  <c r="SOX43" i="1" s="1"/>
  <c r="SOW42" i="1"/>
  <c r="SOW43" i="1" s="1"/>
  <c r="SOV42" i="1"/>
  <c r="SOV43" i="1" s="1"/>
  <c r="SOU42" i="1"/>
  <c r="SOU43" i="1" s="1"/>
  <c r="SOT42" i="1"/>
  <c r="SOT43" i="1" s="1"/>
  <c r="SOS42" i="1"/>
  <c r="SOS43" i="1" s="1"/>
  <c r="SOR42" i="1"/>
  <c r="SOR43" i="1" s="1"/>
  <c r="SOQ42" i="1"/>
  <c r="SOQ43" i="1" s="1"/>
  <c r="SOP42" i="1"/>
  <c r="SOP43" i="1" s="1"/>
  <c r="SOO42" i="1"/>
  <c r="SOO43" i="1" s="1"/>
  <c r="SON42" i="1"/>
  <c r="SON43" i="1" s="1"/>
  <c r="SOM42" i="1"/>
  <c r="SOM43" i="1" s="1"/>
  <c r="SOL42" i="1"/>
  <c r="SOL43" i="1" s="1"/>
  <c r="SOK42" i="1"/>
  <c r="SOK43" i="1" s="1"/>
  <c r="SOJ42" i="1"/>
  <c r="SOJ43" i="1" s="1"/>
  <c r="SOI42" i="1"/>
  <c r="SOI43" i="1" s="1"/>
  <c r="SOH42" i="1"/>
  <c r="SOH43" i="1" s="1"/>
  <c r="SOG42" i="1"/>
  <c r="SOG43" i="1" s="1"/>
  <c r="SOF42" i="1"/>
  <c r="SOF43" i="1" s="1"/>
  <c r="SOE42" i="1"/>
  <c r="SOE43" i="1" s="1"/>
  <c r="SOD42" i="1"/>
  <c r="SOD43" i="1" s="1"/>
  <c r="SOC42" i="1"/>
  <c r="SOC43" i="1" s="1"/>
  <c r="SOB42" i="1"/>
  <c r="SOB43" i="1" s="1"/>
  <c r="SOA42" i="1"/>
  <c r="SOA43" i="1" s="1"/>
  <c r="SNZ42" i="1"/>
  <c r="SNZ43" i="1" s="1"/>
  <c r="SNY42" i="1"/>
  <c r="SNY43" i="1" s="1"/>
  <c r="SNX42" i="1"/>
  <c r="SNX43" i="1" s="1"/>
  <c r="SNW42" i="1"/>
  <c r="SNW43" i="1" s="1"/>
  <c r="SNV42" i="1"/>
  <c r="SNV43" i="1" s="1"/>
  <c r="SNU42" i="1"/>
  <c r="SNU43" i="1" s="1"/>
  <c r="SNT42" i="1"/>
  <c r="SNT43" i="1" s="1"/>
  <c r="SNS42" i="1"/>
  <c r="SNS43" i="1" s="1"/>
  <c r="SNR42" i="1"/>
  <c r="SNR43" i="1" s="1"/>
  <c r="SNQ42" i="1"/>
  <c r="SNQ43" i="1" s="1"/>
  <c r="SNP42" i="1"/>
  <c r="SNP43" i="1" s="1"/>
  <c r="SNO42" i="1"/>
  <c r="SNO43" i="1" s="1"/>
  <c r="SNN42" i="1"/>
  <c r="SNN43" i="1" s="1"/>
  <c r="SNM42" i="1"/>
  <c r="SNM43" i="1" s="1"/>
  <c r="SNL42" i="1"/>
  <c r="SNL43" i="1" s="1"/>
  <c r="SNK42" i="1"/>
  <c r="SNK43" i="1" s="1"/>
  <c r="SNJ42" i="1"/>
  <c r="SNJ43" i="1" s="1"/>
  <c r="SNI42" i="1"/>
  <c r="SNI43" i="1" s="1"/>
  <c r="SNH42" i="1"/>
  <c r="SNH43" i="1" s="1"/>
  <c r="SNG42" i="1"/>
  <c r="SNG43" i="1" s="1"/>
  <c r="SNF42" i="1"/>
  <c r="SNF43" i="1" s="1"/>
  <c r="SNE42" i="1"/>
  <c r="SNE43" i="1" s="1"/>
  <c r="SND42" i="1"/>
  <c r="SND43" i="1" s="1"/>
  <c r="SNC42" i="1"/>
  <c r="SNC43" i="1" s="1"/>
  <c r="SNB42" i="1"/>
  <c r="SNB43" i="1" s="1"/>
  <c r="SNA42" i="1"/>
  <c r="SNA43" i="1" s="1"/>
  <c r="SMZ42" i="1"/>
  <c r="SMZ43" i="1" s="1"/>
  <c r="SMY42" i="1"/>
  <c r="SMY43" i="1" s="1"/>
  <c r="SMX42" i="1"/>
  <c r="SMX43" i="1" s="1"/>
  <c r="SMW42" i="1"/>
  <c r="SMW43" i="1" s="1"/>
  <c r="SMV42" i="1"/>
  <c r="SMV43" i="1" s="1"/>
  <c r="SMU42" i="1"/>
  <c r="SMU43" i="1" s="1"/>
  <c r="SMT42" i="1"/>
  <c r="SMT43" i="1" s="1"/>
  <c r="SMS42" i="1"/>
  <c r="SMS43" i="1" s="1"/>
  <c r="SMR42" i="1"/>
  <c r="SMR43" i="1" s="1"/>
  <c r="SMQ42" i="1"/>
  <c r="SMQ43" i="1" s="1"/>
  <c r="SMP42" i="1"/>
  <c r="SMP43" i="1" s="1"/>
  <c r="SMO42" i="1"/>
  <c r="SMO43" i="1" s="1"/>
  <c r="SMN42" i="1"/>
  <c r="SMN43" i="1" s="1"/>
  <c r="SMM42" i="1"/>
  <c r="SMM43" i="1" s="1"/>
  <c r="SML42" i="1"/>
  <c r="SML43" i="1" s="1"/>
  <c r="SMK42" i="1"/>
  <c r="SMK43" i="1" s="1"/>
  <c r="SMJ42" i="1"/>
  <c r="SMJ43" i="1" s="1"/>
  <c r="SMI42" i="1"/>
  <c r="SMI43" i="1" s="1"/>
  <c r="SMH42" i="1"/>
  <c r="SMH43" i="1" s="1"/>
  <c r="SMG42" i="1"/>
  <c r="SMG43" i="1" s="1"/>
  <c r="SMF42" i="1"/>
  <c r="SMF43" i="1" s="1"/>
  <c r="SME42" i="1"/>
  <c r="SME43" i="1" s="1"/>
  <c r="SMD42" i="1"/>
  <c r="SMD43" i="1" s="1"/>
  <c r="SMC42" i="1"/>
  <c r="SMC43" i="1" s="1"/>
  <c r="SMB42" i="1"/>
  <c r="SMB43" i="1" s="1"/>
  <c r="SMA42" i="1"/>
  <c r="SMA43" i="1" s="1"/>
  <c r="SLZ42" i="1"/>
  <c r="SLZ43" i="1" s="1"/>
  <c r="SLY42" i="1"/>
  <c r="SLY43" i="1" s="1"/>
  <c r="SLX42" i="1"/>
  <c r="SLX43" i="1" s="1"/>
  <c r="SLW42" i="1"/>
  <c r="SLW43" i="1" s="1"/>
  <c r="SLV42" i="1"/>
  <c r="SLV43" i="1" s="1"/>
  <c r="SLU42" i="1"/>
  <c r="SLU43" i="1" s="1"/>
  <c r="SLT42" i="1"/>
  <c r="SLT43" i="1" s="1"/>
  <c r="SLS42" i="1"/>
  <c r="SLS43" i="1" s="1"/>
  <c r="SLR42" i="1"/>
  <c r="SLR43" i="1" s="1"/>
  <c r="SLQ42" i="1"/>
  <c r="SLQ43" i="1" s="1"/>
  <c r="SLP42" i="1"/>
  <c r="SLP43" i="1" s="1"/>
  <c r="SLO42" i="1"/>
  <c r="SLO43" i="1" s="1"/>
  <c r="SLN42" i="1"/>
  <c r="SLN43" i="1" s="1"/>
  <c r="SLM42" i="1"/>
  <c r="SLM43" i="1" s="1"/>
  <c r="SLL42" i="1"/>
  <c r="SLL43" i="1" s="1"/>
  <c r="SLK42" i="1"/>
  <c r="SLK43" i="1" s="1"/>
  <c r="SLJ42" i="1"/>
  <c r="SLJ43" i="1" s="1"/>
  <c r="SLI42" i="1"/>
  <c r="SLI43" i="1" s="1"/>
  <c r="SLH42" i="1"/>
  <c r="SLH43" i="1" s="1"/>
  <c r="SLG42" i="1"/>
  <c r="SLG43" i="1" s="1"/>
  <c r="SLF42" i="1"/>
  <c r="SLF43" i="1" s="1"/>
  <c r="SLE42" i="1"/>
  <c r="SLE43" i="1" s="1"/>
  <c r="SLD42" i="1"/>
  <c r="SLD43" i="1" s="1"/>
  <c r="SLC42" i="1"/>
  <c r="SLC43" i="1" s="1"/>
  <c r="SLB42" i="1"/>
  <c r="SLB43" i="1" s="1"/>
  <c r="SLA42" i="1"/>
  <c r="SLA43" i="1" s="1"/>
  <c r="SKZ42" i="1"/>
  <c r="SKZ43" i="1" s="1"/>
  <c r="SKY42" i="1"/>
  <c r="SKY43" i="1" s="1"/>
  <c r="SKX42" i="1"/>
  <c r="SKX43" i="1" s="1"/>
  <c r="SKW42" i="1"/>
  <c r="SKW43" i="1" s="1"/>
  <c r="SKV42" i="1"/>
  <c r="SKV43" i="1" s="1"/>
  <c r="SKU42" i="1"/>
  <c r="SKU43" i="1" s="1"/>
  <c r="SKT42" i="1"/>
  <c r="SKT43" i="1" s="1"/>
  <c r="SKS42" i="1"/>
  <c r="SKS43" i="1" s="1"/>
  <c r="SKR42" i="1"/>
  <c r="SKR43" i="1" s="1"/>
  <c r="SKQ42" i="1"/>
  <c r="SKQ43" i="1" s="1"/>
  <c r="SKP42" i="1"/>
  <c r="SKP43" i="1" s="1"/>
  <c r="SKO42" i="1"/>
  <c r="SKO43" i="1" s="1"/>
  <c r="SKN42" i="1"/>
  <c r="SKN43" i="1" s="1"/>
  <c r="SKM42" i="1"/>
  <c r="SKM43" i="1" s="1"/>
  <c r="SKL42" i="1"/>
  <c r="SKL43" i="1" s="1"/>
  <c r="SKK42" i="1"/>
  <c r="SKK43" i="1" s="1"/>
  <c r="SKJ42" i="1"/>
  <c r="SKJ43" i="1" s="1"/>
  <c r="SKI42" i="1"/>
  <c r="SKI43" i="1" s="1"/>
  <c r="SKH42" i="1"/>
  <c r="SKH43" i="1" s="1"/>
  <c r="SKG42" i="1"/>
  <c r="SKG43" i="1" s="1"/>
  <c r="SKF42" i="1"/>
  <c r="SKF43" i="1" s="1"/>
  <c r="SKE42" i="1"/>
  <c r="SKE43" i="1" s="1"/>
  <c r="SKD42" i="1"/>
  <c r="SKD43" i="1" s="1"/>
  <c r="SKC42" i="1"/>
  <c r="SKC43" i="1" s="1"/>
  <c r="SKB42" i="1"/>
  <c r="SKB43" i="1" s="1"/>
  <c r="SKA42" i="1"/>
  <c r="SKA43" i="1" s="1"/>
  <c r="SJZ42" i="1"/>
  <c r="SJZ43" i="1" s="1"/>
  <c r="SJY42" i="1"/>
  <c r="SJY43" i="1" s="1"/>
  <c r="SJX42" i="1"/>
  <c r="SJX43" i="1" s="1"/>
  <c r="SJW42" i="1"/>
  <c r="SJW43" i="1" s="1"/>
  <c r="SJV42" i="1"/>
  <c r="SJV43" i="1" s="1"/>
  <c r="SJU42" i="1"/>
  <c r="SJU43" i="1" s="1"/>
  <c r="SJT42" i="1"/>
  <c r="SJT43" i="1" s="1"/>
  <c r="SJS42" i="1"/>
  <c r="SJS43" i="1" s="1"/>
  <c r="SJR42" i="1"/>
  <c r="SJR43" i="1" s="1"/>
  <c r="SJQ42" i="1"/>
  <c r="SJQ43" i="1" s="1"/>
  <c r="SJP42" i="1"/>
  <c r="SJP43" i="1" s="1"/>
  <c r="SJO42" i="1"/>
  <c r="SJO43" i="1" s="1"/>
  <c r="SJN42" i="1"/>
  <c r="SJN43" i="1" s="1"/>
  <c r="SJM42" i="1"/>
  <c r="SJM43" i="1" s="1"/>
  <c r="SJL42" i="1"/>
  <c r="SJL43" i="1" s="1"/>
  <c r="SJK42" i="1"/>
  <c r="SJK43" i="1" s="1"/>
  <c r="SJJ42" i="1"/>
  <c r="SJJ43" i="1" s="1"/>
  <c r="SJI42" i="1"/>
  <c r="SJI43" i="1" s="1"/>
  <c r="SJH42" i="1"/>
  <c r="SJH43" i="1" s="1"/>
  <c r="SJG42" i="1"/>
  <c r="SJG43" i="1" s="1"/>
  <c r="SJF42" i="1"/>
  <c r="SJF43" i="1" s="1"/>
  <c r="SJE42" i="1"/>
  <c r="SJE43" i="1" s="1"/>
  <c r="SJD42" i="1"/>
  <c r="SJD43" i="1" s="1"/>
  <c r="SJC42" i="1"/>
  <c r="SJC43" i="1" s="1"/>
  <c r="SJB42" i="1"/>
  <c r="SJB43" i="1" s="1"/>
  <c r="SJA42" i="1"/>
  <c r="SJA43" i="1" s="1"/>
  <c r="SIZ42" i="1"/>
  <c r="SIZ43" i="1" s="1"/>
  <c r="SIY42" i="1"/>
  <c r="SIY43" i="1" s="1"/>
  <c r="SIX42" i="1"/>
  <c r="SIX43" i="1" s="1"/>
  <c r="SIW42" i="1"/>
  <c r="SIW43" i="1" s="1"/>
  <c r="SIV42" i="1"/>
  <c r="SIV43" i="1" s="1"/>
  <c r="SIU42" i="1"/>
  <c r="SIU43" i="1" s="1"/>
  <c r="SIT42" i="1"/>
  <c r="SIT43" i="1" s="1"/>
  <c r="SIS42" i="1"/>
  <c r="SIS43" i="1" s="1"/>
  <c r="SIR42" i="1"/>
  <c r="SIR43" i="1" s="1"/>
  <c r="SIQ42" i="1"/>
  <c r="SIQ43" i="1" s="1"/>
  <c r="SIP42" i="1"/>
  <c r="SIP43" i="1" s="1"/>
  <c r="SIO42" i="1"/>
  <c r="SIO43" i="1" s="1"/>
  <c r="SIN42" i="1"/>
  <c r="SIN43" i="1" s="1"/>
  <c r="SIM42" i="1"/>
  <c r="SIM43" i="1" s="1"/>
  <c r="SIL42" i="1"/>
  <c r="SIL43" i="1" s="1"/>
  <c r="SIK42" i="1"/>
  <c r="SIK43" i="1" s="1"/>
  <c r="SIJ42" i="1"/>
  <c r="SIJ43" i="1" s="1"/>
  <c r="SII42" i="1"/>
  <c r="SII43" i="1" s="1"/>
  <c r="SIH42" i="1"/>
  <c r="SIH43" i="1" s="1"/>
  <c r="SIG42" i="1"/>
  <c r="SIG43" i="1" s="1"/>
  <c r="SIF42" i="1"/>
  <c r="SIF43" i="1" s="1"/>
  <c r="SIE42" i="1"/>
  <c r="SIE43" i="1" s="1"/>
  <c r="SID42" i="1"/>
  <c r="SID43" i="1" s="1"/>
  <c r="SIC42" i="1"/>
  <c r="SIC43" i="1" s="1"/>
  <c r="SIB42" i="1"/>
  <c r="SIB43" i="1" s="1"/>
  <c r="SIA42" i="1"/>
  <c r="SIA43" i="1" s="1"/>
  <c r="SHZ42" i="1"/>
  <c r="SHZ43" i="1" s="1"/>
  <c r="SHY42" i="1"/>
  <c r="SHY43" i="1" s="1"/>
  <c r="SHX42" i="1"/>
  <c r="SHX43" i="1" s="1"/>
  <c r="SHW42" i="1"/>
  <c r="SHW43" i="1" s="1"/>
  <c r="SHV42" i="1"/>
  <c r="SHV43" i="1" s="1"/>
  <c r="SHU42" i="1"/>
  <c r="SHU43" i="1" s="1"/>
  <c r="SHT42" i="1"/>
  <c r="SHT43" i="1" s="1"/>
  <c r="SHS42" i="1"/>
  <c r="SHS43" i="1" s="1"/>
  <c r="SHR42" i="1"/>
  <c r="SHR43" i="1" s="1"/>
  <c r="SHQ42" i="1"/>
  <c r="SHQ43" i="1" s="1"/>
  <c r="SHP42" i="1"/>
  <c r="SHP43" i="1" s="1"/>
  <c r="SHO42" i="1"/>
  <c r="SHO43" i="1" s="1"/>
  <c r="SHN42" i="1"/>
  <c r="SHN43" i="1" s="1"/>
  <c r="SHM42" i="1"/>
  <c r="SHM43" i="1" s="1"/>
  <c r="SHL42" i="1"/>
  <c r="SHL43" i="1" s="1"/>
  <c r="SHK42" i="1"/>
  <c r="SHK43" i="1" s="1"/>
  <c r="SHJ42" i="1"/>
  <c r="SHJ43" i="1" s="1"/>
  <c r="SHI42" i="1"/>
  <c r="SHI43" i="1" s="1"/>
  <c r="SHH42" i="1"/>
  <c r="SHH43" i="1" s="1"/>
  <c r="SHG42" i="1"/>
  <c r="SHG43" i="1" s="1"/>
  <c r="SHF42" i="1"/>
  <c r="SHF43" i="1" s="1"/>
  <c r="SHE42" i="1"/>
  <c r="SHE43" i="1" s="1"/>
  <c r="SHD42" i="1"/>
  <c r="SHD43" i="1" s="1"/>
  <c r="SHC42" i="1"/>
  <c r="SHC43" i="1" s="1"/>
  <c r="SHB42" i="1"/>
  <c r="SHB43" i="1" s="1"/>
  <c r="SHA42" i="1"/>
  <c r="SHA43" i="1" s="1"/>
  <c r="SGZ42" i="1"/>
  <c r="SGZ43" i="1" s="1"/>
  <c r="SGY42" i="1"/>
  <c r="SGY43" i="1" s="1"/>
  <c r="SGX42" i="1"/>
  <c r="SGX43" i="1" s="1"/>
  <c r="SGW42" i="1"/>
  <c r="SGW43" i="1" s="1"/>
  <c r="SGV42" i="1"/>
  <c r="SGV43" i="1" s="1"/>
  <c r="SGU42" i="1"/>
  <c r="SGU43" i="1" s="1"/>
  <c r="SGT42" i="1"/>
  <c r="SGT43" i="1" s="1"/>
  <c r="SGS42" i="1"/>
  <c r="SGS43" i="1" s="1"/>
  <c r="SGR42" i="1"/>
  <c r="SGR43" i="1" s="1"/>
  <c r="SGQ42" i="1"/>
  <c r="SGQ43" i="1" s="1"/>
  <c r="SGP42" i="1"/>
  <c r="SGP43" i="1" s="1"/>
  <c r="SGO42" i="1"/>
  <c r="SGO43" i="1" s="1"/>
  <c r="SGN42" i="1"/>
  <c r="SGN43" i="1" s="1"/>
  <c r="SGM42" i="1"/>
  <c r="SGM43" i="1" s="1"/>
  <c r="SGL42" i="1"/>
  <c r="SGL43" i="1" s="1"/>
  <c r="SGK42" i="1"/>
  <c r="SGK43" i="1" s="1"/>
  <c r="SGJ42" i="1"/>
  <c r="SGJ43" i="1" s="1"/>
  <c r="SGI42" i="1"/>
  <c r="SGI43" i="1" s="1"/>
  <c r="SGH42" i="1"/>
  <c r="SGH43" i="1" s="1"/>
  <c r="SGG42" i="1"/>
  <c r="SGG43" i="1" s="1"/>
  <c r="SGF42" i="1"/>
  <c r="SGF43" i="1" s="1"/>
  <c r="SGE42" i="1"/>
  <c r="SGE43" i="1" s="1"/>
  <c r="SGD42" i="1"/>
  <c r="SGD43" i="1" s="1"/>
  <c r="SGC42" i="1"/>
  <c r="SGC43" i="1" s="1"/>
  <c r="SGB42" i="1"/>
  <c r="SGB43" i="1" s="1"/>
  <c r="SGA42" i="1"/>
  <c r="SGA43" i="1" s="1"/>
  <c r="SFZ42" i="1"/>
  <c r="SFZ43" i="1" s="1"/>
  <c r="SFY42" i="1"/>
  <c r="SFY43" i="1" s="1"/>
  <c r="SFX42" i="1"/>
  <c r="SFX43" i="1" s="1"/>
  <c r="SFW42" i="1"/>
  <c r="SFW43" i="1" s="1"/>
  <c r="SFV42" i="1"/>
  <c r="SFV43" i="1" s="1"/>
  <c r="SFU42" i="1"/>
  <c r="SFU43" i="1" s="1"/>
  <c r="SFT42" i="1"/>
  <c r="SFT43" i="1" s="1"/>
  <c r="SFS42" i="1"/>
  <c r="SFS43" i="1" s="1"/>
  <c r="SFR42" i="1"/>
  <c r="SFR43" i="1" s="1"/>
  <c r="SFQ42" i="1"/>
  <c r="SFQ43" i="1" s="1"/>
  <c r="SFP42" i="1"/>
  <c r="SFP43" i="1" s="1"/>
  <c r="SFO42" i="1"/>
  <c r="SFO43" i="1" s="1"/>
  <c r="SFN42" i="1"/>
  <c r="SFN43" i="1" s="1"/>
  <c r="SFM42" i="1"/>
  <c r="SFM43" i="1" s="1"/>
  <c r="SFL42" i="1"/>
  <c r="SFL43" i="1" s="1"/>
  <c r="SFK42" i="1"/>
  <c r="SFK43" i="1" s="1"/>
  <c r="SFJ42" i="1"/>
  <c r="SFJ43" i="1" s="1"/>
  <c r="SFI42" i="1"/>
  <c r="SFI43" i="1" s="1"/>
  <c r="SFH42" i="1"/>
  <c r="SFH43" i="1" s="1"/>
  <c r="SFG42" i="1"/>
  <c r="SFG43" i="1" s="1"/>
  <c r="SFF42" i="1"/>
  <c r="SFF43" i="1" s="1"/>
  <c r="SFE42" i="1"/>
  <c r="SFE43" i="1" s="1"/>
  <c r="SFD42" i="1"/>
  <c r="SFD43" i="1" s="1"/>
  <c r="SFC42" i="1"/>
  <c r="SFC43" i="1" s="1"/>
  <c r="SFB42" i="1"/>
  <c r="SFB43" i="1" s="1"/>
  <c r="SFA42" i="1"/>
  <c r="SFA43" i="1" s="1"/>
  <c r="SEZ42" i="1"/>
  <c r="SEZ43" i="1" s="1"/>
  <c r="SEY42" i="1"/>
  <c r="SEY43" i="1" s="1"/>
  <c r="SEX42" i="1"/>
  <c r="SEX43" i="1" s="1"/>
  <c r="SEW42" i="1"/>
  <c r="SEW43" i="1" s="1"/>
  <c r="SEV42" i="1"/>
  <c r="SEV43" i="1" s="1"/>
  <c r="SEU42" i="1"/>
  <c r="SEU43" i="1" s="1"/>
  <c r="SET42" i="1"/>
  <c r="SET43" i="1" s="1"/>
  <c r="SES42" i="1"/>
  <c r="SES43" i="1" s="1"/>
  <c r="SER42" i="1"/>
  <c r="SER43" i="1" s="1"/>
  <c r="SEQ42" i="1"/>
  <c r="SEQ43" i="1" s="1"/>
  <c r="SEP42" i="1"/>
  <c r="SEP43" i="1" s="1"/>
  <c r="SEO42" i="1"/>
  <c r="SEO43" i="1" s="1"/>
  <c r="SEN42" i="1"/>
  <c r="SEN43" i="1" s="1"/>
  <c r="SEM42" i="1"/>
  <c r="SEM43" i="1" s="1"/>
  <c r="SEL42" i="1"/>
  <c r="SEL43" i="1" s="1"/>
  <c r="SEK42" i="1"/>
  <c r="SEK43" i="1" s="1"/>
  <c r="SEJ42" i="1"/>
  <c r="SEJ43" i="1" s="1"/>
  <c r="SEI42" i="1"/>
  <c r="SEI43" i="1" s="1"/>
  <c r="SEH42" i="1"/>
  <c r="SEH43" i="1" s="1"/>
  <c r="SEG42" i="1"/>
  <c r="SEG43" i="1" s="1"/>
  <c r="SEF42" i="1"/>
  <c r="SEF43" i="1" s="1"/>
  <c r="SEE42" i="1"/>
  <c r="SEE43" i="1" s="1"/>
  <c r="SED42" i="1"/>
  <c r="SED43" i="1" s="1"/>
  <c r="SEC42" i="1"/>
  <c r="SEC43" i="1" s="1"/>
  <c r="SEB42" i="1"/>
  <c r="SEB43" i="1" s="1"/>
  <c r="SEA42" i="1"/>
  <c r="SEA43" i="1" s="1"/>
  <c r="SDZ42" i="1"/>
  <c r="SDZ43" i="1" s="1"/>
  <c r="SDY42" i="1"/>
  <c r="SDY43" i="1" s="1"/>
  <c r="SDX42" i="1"/>
  <c r="SDX43" i="1" s="1"/>
  <c r="SDW42" i="1"/>
  <c r="SDW43" i="1" s="1"/>
  <c r="SDV42" i="1"/>
  <c r="SDV43" i="1" s="1"/>
  <c r="SDU42" i="1"/>
  <c r="SDU43" i="1" s="1"/>
  <c r="SDT42" i="1"/>
  <c r="SDT43" i="1" s="1"/>
  <c r="SDS42" i="1"/>
  <c r="SDS43" i="1" s="1"/>
  <c r="SDR42" i="1"/>
  <c r="SDR43" i="1" s="1"/>
  <c r="SDQ42" i="1"/>
  <c r="SDQ43" i="1" s="1"/>
  <c r="SDP42" i="1"/>
  <c r="SDP43" i="1" s="1"/>
  <c r="SDO42" i="1"/>
  <c r="SDO43" i="1" s="1"/>
  <c r="SDN42" i="1"/>
  <c r="SDN43" i="1" s="1"/>
  <c r="SDM42" i="1"/>
  <c r="SDM43" i="1" s="1"/>
  <c r="SDL42" i="1"/>
  <c r="SDL43" i="1" s="1"/>
  <c r="SDK42" i="1"/>
  <c r="SDK43" i="1" s="1"/>
  <c r="SDJ42" i="1"/>
  <c r="SDJ43" i="1" s="1"/>
  <c r="SDI42" i="1"/>
  <c r="SDI43" i="1" s="1"/>
  <c r="SDH42" i="1"/>
  <c r="SDH43" i="1" s="1"/>
  <c r="SDG42" i="1"/>
  <c r="SDG43" i="1" s="1"/>
  <c r="SDF42" i="1"/>
  <c r="SDF43" i="1" s="1"/>
  <c r="SDE42" i="1"/>
  <c r="SDE43" i="1" s="1"/>
  <c r="SDD42" i="1"/>
  <c r="SDD43" i="1" s="1"/>
  <c r="SDC42" i="1"/>
  <c r="SDC43" i="1" s="1"/>
  <c r="SDB42" i="1"/>
  <c r="SDB43" i="1" s="1"/>
  <c r="SDA42" i="1"/>
  <c r="SDA43" i="1" s="1"/>
  <c r="SCZ42" i="1"/>
  <c r="SCZ43" i="1" s="1"/>
  <c r="SCY42" i="1"/>
  <c r="SCY43" i="1" s="1"/>
  <c r="SCX42" i="1"/>
  <c r="SCX43" i="1" s="1"/>
  <c r="SCW42" i="1"/>
  <c r="SCW43" i="1" s="1"/>
  <c r="SCV42" i="1"/>
  <c r="SCV43" i="1" s="1"/>
  <c r="SCU42" i="1"/>
  <c r="SCU43" i="1" s="1"/>
  <c r="SCT42" i="1"/>
  <c r="SCT43" i="1" s="1"/>
  <c r="SCS42" i="1"/>
  <c r="SCS43" i="1" s="1"/>
  <c r="SCR42" i="1"/>
  <c r="SCR43" i="1" s="1"/>
  <c r="SCQ42" i="1"/>
  <c r="SCQ43" i="1" s="1"/>
  <c r="SCP42" i="1"/>
  <c r="SCP43" i="1" s="1"/>
  <c r="SCO42" i="1"/>
  <c r="SCO43" i="1" s="1"/>
  <c r="SCN42" i="1"/>
  <c r="SCN43" i="1" s="1"/>
  <c r="SCM42" i="1"/>
  <c r="SCM43" i="1" s="1"/>
  <c r="SCL42" i="1"/>
  <c r="SCL43" i="1" s="1"/>
  <c r="SCK42" i="1"/>
  <c r="SCK43" i="1" s="1"/>
  <c r="SCJ42" i="1"/>
  <c r="SCJ43" i="1" s="1"/>
  <c r="SCI42" i="1"/>
  <c r="SCI43" i="1" s="1"/>
  <c r="SCH42" i="1"/>
  <c r="SCH43" i="1" s="1"/>
  <c r="SCG42" i="1"/>
  <c r="SCG43" i="1" s="1"/>
  <c r="SCF42" i="1"/>
  <c r="SCF43" i="1" s="1"/>
  <c r="SCE42" i="1"/>
  <c r="SCE43" i="1" s="1"/>
  <c r="SCD42" i="1"/>
  <c r="SCD43" i="1" s="1"/>
  <c r="SCC42" i="1"/>
  <c r="SCC43" i="1" s="1"/>
  <c r="SCB42" i="1"/>
  <c r="SCB43" i="1" s="1"/>
  <c r="SCA42" i="1"/>
  <c r="SCA43" i="1" s="1"/>
  <c r="SBZ42" i="1"/>
  <c r="SBZ43" i="1" s="1"/>
  <c r="SBY42" i="1"/>
  <c r="SBY43" i="1" s="1"/>
  <c r="SBX42" i="1"/>
  <c r="SBX43" i="1" s="1"/>
  <c r="SBW42" i="1"/>
  <c r="SBW43" i="1" s="1"/>
  <c r="SBV42" i="1"/>
  <c r="SBV43" i="1" s="1"/>
  <c r="SBU42" i="1"/>
  <c r="SBU43" i="1" s="1"/>
  <c r="SBT42" i="1"/>
  <c r="SBT43" i="1" s="1"/>
  <c r="SBS42" i="1"/>
  <c r="SBS43" i="1" s="1"/>
  <c r="SBR42" i="1"/>
  <c r="SBR43" i="1" s="1"/>
  <c r="SBQ42" i="1"/>
  <c r="SBQ43" i="1" s="1"/>
  <c r="SBP42" i="1"/>
  <c r="SBP43" i="1" s="1"/>
  <c r="SBO42" i="1"/>
  <c r="SBO43" i="1" s="1"/>
  <c r="SBN42" i="1"/>
  <c r="SBN43" i="1" s="1"/>
  <c r="SBM42" i="1"/>
  <c r="SBM43" i="1" s="1"/>
  <c r="SBL42" i="1"/>
  <c r="SBL43" i="1" s="1"/>
  <c r="SBK42" i="1"/>
  <c r="SBK43" i="1" s="1"/>
  <c r="SBJ42" i="1"/>
  <c r="SBJ43" i="1" s="1"/>
  <c r="SBI42" i="1"/>
  <c r="SBI43" i="1" s="1"/>
  <c r="SBH42" i="1"/>
  <c r="SBH43" i="1" s="1"/>
  <c r="SBG42" i="1"/>
  <c r="SBG43" i="1" s="1"/>
  <c r="SBF42" i="1"/>
  <c r="SBF43" i="1" s="1"/>
  <c r="SBE42" i="1"/>
  <c r="SBE43" i="1" s="1"/>
  <c r="SBD42" i="1"/>
  <c r="SBD43" i="1" s="1"/>
  <c r="SBC42" i="1"/>
  <c r="SBC43" i="1" s="1"/>
  <c r="SBB42" i="1"/>
  <c r="SBB43" i="1" s="1"/>
  <c r="SBA42" i="1"/>
  <c r="SBA43" i="1" s="1"/>
  <c r="SAZ42" i="1"/>
  <c r="SAZ43" i="1" s="1"/>
  <c r="SAY42" i="1"/>
  <c r="SAY43" i="1" s="1"/>
  <c r="SAX42" i="1"/>
  <c r="SAX43" i="1" s="1"/>
  <c r="SAW42" i="1"/>
  <c r="SAW43" i="1" s="1"/>
  <c r="SAV42" i="1"/>
  <c r="SAV43" i="1" s="1"/>
  <c r="SAU42" i="1"/>
  <c r="SAU43" i="1" s="1"/>
  <c r="SAT42" i="1"/>
  <c r="SAT43" i="1" s="1"/>
  <c r="SAS42" i="1"/>
  <c r="SAS43" i="1" s="1"/>
  <c r="SAR42" i="1"/>
  <c r="SAR43" i="1" s="1"/>
  <c r="SAQ42" i="1"/>
  <c r="SAQ43" i="1" s="1"/>
  <c r="SAP42" i="1"/>
  <c r="SAP43" i="1" s="1"/>
  <c r="SAO42" i="1"/>
  <c r="SAO43" i="1" s="1"/>
  <c r="SAN42" i="1"/>
  <c r="SAN43" i="1" s="1"/>
  <c r="SAM42" i="1"/>
  <c r="SAM43" i="1" s="1"/>
  <c r="SAL42" i="1"/>
  <c r="SAL43" i="1" s="1"/>
  <c r="SAK42" i="1"/>
  <c r="SAK43" i="1" s="1"/>
  <c r="SAJ42" i="1"/>
  <c r="SAJ43" i="1" s="1"/>
  <c r="SAI42" i="1"/>
  <c r="SAI43" i="1" s="1"/>
  <c r="SAH42" i="1"/>
  <c r="SAH43" i="1" s="1"/>
  <c r="SAG42" i="1"/>
  <c r="SAG43" i="1" s="1"/>
  <c r="SAF42" i="1"/>
  <c r="SAF43" i="1" s="1"/>
  <c r="SAE42" i="1"/>
  <c r="SAE43" i="1" s="1"/>
  <c r="SAD42" i="1"/>
  <c r="SAD43" i="1" s="1"/>
  <c r="SAC42" i="1"/>
  <c r="SAC43" i="1" s="1"/>
  <c r="SAB42" i="1"/>
  <c r="SAB43" i="1" s="1"/>
  <c r="SAA42" i="1"/>
  <c r="SAA43" i="1" s="1"/>
  <c r="RZZ42" i="1"/>
  <c r="RZZ43" i="1" s="1"/>
  <c r="RZY42" i="1"/>
  <c r="RZY43" i="1" s="1"/>
  <c r="RZX42" i="1"/>
  <c r="RZX43" i="1" s="1"/>
  <c r="RZW42" i="1"/>
  <c r="RZW43" i="1" s="1"/>
  <c r="RZV42" i="1"/>
  <c r="RZV43" i="1" s="1"/>
  <c r="RZU42" i="1"/>
  <c r="RZU43" i="1" s="1"/>
  <c r="RZT42" i="1"/>
  <c r="RZT43" i="1" s="1"/>
  <c r="RZS42" i="1"/>
  <c r="RZS43" i="1" s="1"/>
  <c r="RZR42" i="1"/>
  <c r="RZR43" i="1" s="1"/>
  <c r="RZQ42" i="1"/>
  <c r="RZQ43" i="1" s="1"/>
  <c r="RZP42" i="1"/>
  <c r="RZP43" i="1" s="1"/>
  <c r="RZO42" i="1"/>
  <c r="RZO43" i="1" s="1"/>
  <c r="RZN42" i="1"/>
  <c r="RZN43" i="1" s="1"/>
  <c r="RZM42" i="1"/>
  <c r="RZM43" i="1" s="1"/>
  <c r="RZL42" i="1"/>
  <c r="RZL43" i="1" s="1"/>
  <c r="RZK42" i="1"/>
  <c r="RZK43" i="1" s="1"/>
  <c r="RZJ42" i="1"/>
  <c r="RZJ43" i="1" s="1"/>
  <c r="RZI42" i="1"/>
  <c r="RZI43" i="1" s="1"/>
  <c r="RZH42" i="1"/>
  <c r="RZH43" i="1" s="1"/>
  <c r="RZG42" i="1"/>
  <c r="RZG43" i="1" s="1"/>
  <c r="RZF42" i="1"/>
  <c r="RZF43" i="1" s="1"/>
  <c r="RZE42" i="1"/>
  <c r="RZE43" i="1" s="1"/>
  <c r="RZD42" i="1"/>
  <c r="RZD43" i="1" s="1"/>
  <c r="RZC42" i="1"/>
  <c r="RZC43" i="1" s="1"/>
  <c r="RZB42" i="1"/>
  <c r="RZB43" i="1" s="1"/>
  <c r="RZA42" i="1"/>
  <c r="RZA43" i="1" s="1"/>
  <c r="RYZ42" i="1"/>
  <c r="RYZ43" i="1" s="1"/>
  <c r="RYY42" i="1"/>
  <c r="RYY43" i="1" s="1"/>
  <c r="RYX42" i="1"/>
  <c r="RYX43" i="1" s="1"/>
  <c r="RYW42" i="1"/>
  <c r="RYW43" i="1" s="1"/>
  <c r="RYV42" i="1"/>
  <c r="RYV43" i="1" s="1"/>
  <c r="RYU42" i="1"/>
  <c r="RYU43" i="1" s="1"/>
  <c r="RYT42" i="1"/>
  <c r="RYT43" i="1" s="1"/>
  <c r="RYS42" i="1"/>
  <c r="RYS43" i="1" s="1"/>
  <c r="RYR42" i="1"/>
  <c r="RYR43" i="1" s="1"/>
  <c r="RYQ42" i="1"/>
  <c r="RYQ43" i="1" s="1"/>
  <c r="RYP42" i="1"/>
  <c r="RYP43" i="1" s="1"/>
  <c r="RYO42" i="1"/>
  <c r="RYO43" i="1" s="1"/>
  <c r="RYN42" i="1"/>
  <c r="RYN43" i="1" s="1"/>
  <c r="RYM42" i="1"/>
  <c r="RYM43" i="1" s="1"/>
  <c r="RYL42" i="1"/>
  <c r="RYL43" i="1" s="1"/>
  <c r="RYK42" i="1"/>
  <c r="RYK43" i="1" s="1"/>
  <c r="RYJ42" i="1"/>
  <c r="RYJ43" i="1" s="1"/>
  <c r="RYI42" i="1"/>
  <c r="RYI43" i="1" s="1"/>
  <c r="RYH42" i="1"/>
  <c r="RYH43" i="1" s="1"/>
  <c r="RYG42" i="1"/>
  <c r="RYG43" i="1" s="1"/>
  <c r="RYF42" i="1"/>
  <c r="RYF43" i="1" s="1"/>
  <c r="RYE42" i="1"/>
  <c r="RYE43" i="1" s="1"/>
  <c r="RYD42" i="1"/>
  <c r="RYD43" i="1" s="1"/>
  <c r="RYC42" i="1"/>
  <c r="RYC43" i="1" s="1"/>
  <c r="RYB42" i="1"/>
  <c r="RYB43" i="1" s="1"/>
  <c r="RYA42" i="1"/>
  <c r="RYA43" i="1" s="1"/>
  <c r="RXZ42" i="1"/>
  <c r="RXZ43" i="1" s="1"/>
  <c r="RXY42" i="1"/>
  <c r="RXY43" i="1" s="1"/>
  <c r="RXX42" i="1"/>
  <c r="RXX43" i="1" s="1"/>
  <c r="RXW42" i="1"/>
  <c r="RXW43" i="1" s="1"/>
  <c r="RXV42" i="1"/>
  <c r="RXV43" i="1" s="1"/>
  <c r="RXU42" i="1"/>
  <c r="RXU43" i="1" s="1"/>
  <c r="RXT42" i="1"/>
  <c r="RXT43" i="1" s="1"/>
  <c r="RXS42" i="1"/>
  <c r="RXS43" i="1" s="1"/>
  <c r="RXR42" i="1"/>
  <c r="RXR43" i="1" s="1"/>
  <c r="RXQ42" i="1"/>
  <c r="RXQ43" i="1" s="1"/>
  <c r="RXP42" i="1"/>
  <c r="RXP43" i="1" s="1"/>
  <c r="RXO42" i="1"/>
  <c r="RXO43" i="1" s="1"/>
  <c r="RXN42" i="1"/>
  <c r="RXN43" i="1" s="1"/>
  <c r="RXM42" i="1"/>
  <c r="RXM43" i="1" s="1"/>
  <c r="RXL42" i="1"/>
  <c r="RXL43" i="1" s="1"/>
  <c r="RXK42" i="1"/>
  <c r="RXK43" i="1" s="1"/>
  <c r="RXJ42" i="1"/>
  <c r="RXJ43" i="1" s="1"/>
  <c r="RXI42" i="1"/>
  <c r="RXI43" i="1" s="1"/>
  <c r="RXH42" i="1"/>
  <c r="RXH43" i="1" s="1"/>
  <c r="RXG42" i="1"/>
  <c r="RXG43" i="1" s="1"/>
  <c r="RXF42" i="1"/>
  <c r="RXF43" i="1" s="1"/>
  <c r="RXE42" i="1"/>
  <c r="RXE43" i="1" s="1"/>
  <c r="RXD42" i="1"/>
  <c r="RXD43" i="1" s="1"/>
  <c r="RXC42" i="1"/>
  <c r="RXC43" i="1" s="1"/>
  <c r="RXB42" i="1"/>
  <c r="RXB43" i="1" s="1"/>
  <c r="RXA42" i="1"/>
  <c r="RXA43" i="1" s="1"/>
  <c r="RWZ42" i="1"/>
  <c r="RWZ43" i="1" s="1"/>
  <c r="RWY42" i="1"/>
  <c r="RWY43" i="1" s="1"/>
  <c r="RWX42" i="1"/>
  <c r="RWX43" i="1" s="1"/>
  <c r="RWW42" i="1"/>
  <c r="RWW43" i="1" s="1"/>
  <c r="RWV42" i="1"/>
  <c r="RWV43" i="1" s="1"/>
  <c r="RWU42" i="1"/>
  <c r="RWU43" i="1" s="1"/>
  <c r="RWT42" i="1"/>
  <c r="RWT43" i="1" s="1"/>
  <c r="RWS42" i="1"/>
  <c r="RWS43" i="1" s="1"/>
  <c r="RWR42" i="1"/>
  <c r="RWR43" i="1" s="1"/>
  <c r="RWQ42" i="1"/>
  <c r="RWQ43" i="1" s="1"/>
  <c r="RWP42" i="1"/>
  <c r="RWP43" i="1" s="1"/>
  <c r="RWO42" i="1"/>
  <c r="RWO43" i="1" s="1"/>
  <c r="RWN42" i="1"/>
  <c r="RWN43" i="1" s="1"/>
  <c r="RWM42" i="1"/>
  <c r="RWM43" i="1" s="1"/>
  <c r="RWL42" i="1"/>
  <c r="RWL43" i="1" s="1"/>
  <c r="RWK42" i="1"/>
  <c r="RWK43" i="1" s="1"/>
  <c r="RWJ42" i="1"/>
  <c r="RWJ43" i="1" s="1"/>
  <c r="RWI42" i="1"/>
  <c r="RWI43" i="1" s="1"/>
  <c r="RWH42" i="1"/>
  <c r="RWH43" i="1" s="1"/>
  <c r="RWG42" i="1"/>
  <c r="RWG43" i="1" s="1"/>
  <c r="RWF42" i="1"/>
  <c r="RWF43" i="1" s="1"/>
  <c r="RWE42" i="1"/>
  <c r="RWE43" i="1" s="1"/>
  <c r="RWD42" i="1"/>
  <c r="RWD43" i="1" s="1"/>
  <c r="RWC42" i="1"/>
  <c r="RWC43" i="1" s="1"/>
  <c r="RWB42" i="1"/>
  <c r="RWB43" i="1" s="1"/>
  <c r="RWA42" i="1"/>
  <c r="RWA43" i="1" s="1"/>
  <c r="RVZ42" i="1"/>
  <c r="RVZ43" i="1" s="1"/>
  <c r="RVY42" i="1"/>
  <c r="RVY43" i="1" s="1"/>
  <c r="RVX42" i="1"/>
  <c r="RVX43" i="1" s="1"/>
  <c r="RVW42" i="1"/>
  <c r="RVW43" i="1" s="1"/>
  <c r="RVV42" i="1"/>
  <c r="RVV43" i="1" s="1"/>
  <c r="RVU42" i="1"/>
  <c r="RVU43" i="1" s="1"/>
  <c r="RVT42" i="1"/>
  <c r="RVT43" i="1" s="1"/>
  <c r="RVS42" i="1"/>
  <c r="RVS43" i="1" s="1"/>
  <c r="RVR42" i="1"/>
  <c r="RVR43" i="1" s="1"/>
  <c r="RVQ42" i="1"/>
  <c r="RVQ43" i="1" s="1"/>
  <c r="RVP42" i="1"/>
  <c r="RVP43" i="1" s="1"/>
  <c r="RVO42" i="1"/>
  <c r="RVO43" i="1" s="1"/>
  <c r="RVN42" i="1"/>
  <c r="RVN43" i="1" s="1"/>
  <c r="RVM42" i="1"/>
  <c r="RVM43" i="1" s="1"/>
  <c r="RVL42" i="1"/>
  <c r="RVL43" i="1" s="1"/>
  <c r="RVK42" i="1"/>
  <c r="RVK43" i="1" s="1"/>
  <c r="RVJ42" i="1"/>
  <c r="RVJ43" i="1" s="1"/>
  <c r="RVI42" i="1"/>
  <c r="RVI43" i="1" s="1"/>
  <c r="RVH42" i="1"/>
  <c r="RVH43" i="1" s="1"/>
  <c r="RVG42" i="1"/>
  <c r="RVG43" i="1" s="1"/>
  <c r="RVF42" i="1"/>
  <c r="RVF43" i="1" s="1"/>
  <c r="RVE42" i="1"/>
  <c r="RVE43" i="1" s="1"/>
  <c r="RVD42" i="1"/>
  <c r="RVD43" i="1" s="1"/>
  <c r="RVC42" i="1"/>
  <c r="RVC43" i="1" s="1"/>
  <c r="RVB42" i="1"/>
  <c r="RVB43" i="1" s="1"/>
  <c r="RVA42" i="1"/>
  <c r="RVA43" i="1" s="1"/>
  <c r="RUZ42" i="1"/>
  <c r="RUZ43" i="1" s="1"/>
  <c r="RUY42" i="1"/>
  <c r="RUY43" i="1" s="1"/>
  <c r="RUX42" i="1"/>
  <c r="RUX43" i="1" s="1"/>
  <c r="RUW42" i="1"/>
  <c r="RUW43" i="1" s="1"/>
  <c r="RUV42" i="1"/>
  <c r="RUV43" i="1" s="1"/>
  <c r="RUU42" i="1"/>
  <c r="RUU43" i="1" s="1"/>
  <c r="RUT42" i="1"/>
  <c r="RUT43" i="1" s="1"/>
  <c r="RUS42" i="1"/>
  <c r="RUS43" i="1" s="1"/>
  <c r="RUR42" i="1"/>
  <c r="RUR43" i="1" s="1"/>
  <c r="RUQ42" i="1"/>
  <c r="RUQ43" i="1" s="1"/>
  <c r="RUP42" i="1"/>
  <c r="RUP43" i="1" s="1"/>
  <c r="RUO42" i="1"/>
  <c r="RUO43" i="1" s="1"/>
  <c r="RUN42" i="1"/>
  <c r="RUN43" i="1" s="1"/>
  <c r="RUM42" i="1"/>
  <c r="RUM43" i="1" s="1"/>
  <c r="RUL42" i="1"/>
  <c r="RUL43" i="1" s="1"/>
  <c r="RUK42" i="1"/>
  <c r="RUK43" i="1" s="1"/>
  <c r="RUJ42" i="1"/>
  <c r="RUJ43" i="1" s="1"/>
  <c r="RUI42" i="1"/>
  <c r="RUI43" i="1" s="1"/>
  <c r="RUH42" i="1"/>
  <c r="RUH43" i="1" s="1"/>
  <c r="RUG42" i="1"/>
  <c r="RUG43" i="1" s="1"/>
  <c r="RUF42" i="1"/>
  <c r="RUF43" i="1" s="1"/>
  <c r="RUE42" i="1"/>
  <c r="RUE43" i="1" s="1"/>
  <c r="RUD42" i="1"/>
  <c r="RUD43" i="1" s="1"/>
  <c r="RUC42" i="1"/>
  <c r="RUC43" i="1" s="1"/>
  <c r="RUB42" i="1"/>
  <c r="RUB43" i="1" s="1"/>
  <c r="RUA42" i="1"/>
  <c r="RUA43" i="1" s="1"/>
  <c r="RTZ42" i="1"/>
  <c r="RTZ43" i="1" s="1"/>
  <c r="RTY42" i="1"/>
  <c r="RTY43" i="1" s="1"/>
  <c r="RTX42" i="1"/>
  <c r="RTX43" i="1" s="1"/>
  <c r="RTW42" i="1"/>
  <c r="RTW43" i="1" s="1"/>
  <c r="RTV42" i="1"/>
  <c r="RTV43" i="1" s="1"/>
  <c r="RTU42" i="1"/>
  <c r="RTU43" i="1" s="1"/>
  <c r="RTT42" i="1"/>
  <c r="RTT43" i="1" s="1"/>
  <c r="RTS42" i="1"/>
  <c r="RTS43" i="1" s="1"/>
  <c r="RTR42" i="1"/>
  <c r="RTR43" i="1" s="1"/>
  <c r="RTQ42" i="1"/>
  <c r="RTQ43" i="1" s="1"/>
  <c r="RTP42" i="1"/>
  <c r="RTP43" i="1" s="1"/>
  <c r="RTO42" i="1"/>
  <c r="RTO43" i="1" s="1"/>
  <c r="RTN42" i="1"/>
  <c r="RTN43" i="1" s="1"/>
  <c r="RTM42" i="1"/>
  <c r="RTM43" i="1" s="1"/>
  <c r="RTL42" i="1"/>
  <c r="RTL43" i="1" s="1"/>
  <c r="RTK42" i="1"/>
  <c r="RTK43" i="1" s="1"/>
  <c r="RTJ42" i="1"/>
  <c r="RTJ43" i="1" s="1"/>
  <c r="RTI42" i="1"/>
  <c r="RTI43" i="1" s="1"/>
  <c r="RTH42" i="1"/>
  <c r="RTH43" i="1" s="1"/>
  <c r="RTG42" i="1"/>
  <c r="RTG43" i="1" s="1"/>
  <c r="RTF42" i="1"/>
  <c r="RTF43" i="1" s="1"/>
  <c r="RTE42" i="1"/>
  <c r="RTE43" i="1" s="1"/>
  <c r="RTD42" i="1"/>
  <c r="RTD43" i="1" s="1"/>
  <c r="RTC42" i="1"/>
  <c r="RTC43" i="1" s="1"/>
  <c r="RTB42" i="1"/>
  <c r="RTB43" i="1" s="1"/>
  <c r="RTA42" i="1"/>
  <c r="RTA43" i="1" s="1"/>
  <c r="RSZ42" i="1"/>
  <c r="RSZ43" i="1" s="1"/>
  <c r="RSY42" i="1"/>
  <c r="RSY43" i="1" s="1"/>
  <c r="RSX42" i="1"/>
  <c r="RSX43" i="1" s="1"/>
  <c r="RSW42" i="1"/>
  <c r="RSW43" i="1" s="1"/>
  <c r="RSV42" i="1"/>
  <c r="RSV43" i="1" s="1"/>
  <c r="RSU42" i="1"/>
  <c r="RSU43" i="1" s="1"/>
  <c r="RST42" i="1"/>
  <c r="RST43" i="1" s="1"/>
  <c r="RSS42" i="1"/>
  <c r="RSS43" i="1" s="1"/>
  <c r="RSR42" i="1"/>
  <c r="RSR43" i="1" s="1"/>
  <c r="RSQ42" i="1"/>
  <c r="RSQ43" i="1" s="1"/>
  <c r="RSP42" i="1"/>
  <c r="RSP43" i="1" s="1"/>
  <c r="RSO42" i="1"/>
  <c r="RSO43" i="1" s="1"/>
  <c r="RSN42" i="1"/>
  <c r="RSN43" i="1" s="1"/>
  <c r="RSM42" i="1"/>
  <c r="RSM43" i="1" s="1"/>
  <c r="RSL42" i="1"/>
  <c r="RSL43" i="1" s="1"/>
  <c r="RSK42" i="1"/>
  <c r="RSK43" i="1" s="1"/>
  <c r="RSJ42" i="1"/>
  <c r="RSJ43" i="1" s="1"/>
  <c r="RSI42" i="1"/>
  <c r="RSI43" i="1" s="1"/>
  <c r="RSH42" i="1"/>
  <c r="RSH43" i="1" s="1"/>
  <c r="RSG42" i="1"/>
  <c r="RSG43" i="1" s="1"/>
  <c r="RSF42" i="1"/>
  <c r="RSF43" i="1" s="1"/>
  <c r="RSE42" i="1"/>
  <c r="RSE43" i="1" s="1"/>
  <c r="RSD42" i="1"/>
  <c r="RSD43" i="1" s="1"/>
  <c r="RSC42" i="1"/>
  <c r="RSC43" i="1" s="1"/>
  <c r="RSB42" i="1"/>
  <c r="RSB43" i="1" s="1"/>
  <c r="RSA42" i="1"/>
  <c r="RSA43" i="1" s="1"/>
  <c r="RRZ42" i="1"/>
  <c r="RRZ43" i="1" s="1"/>
  <c r="RRY42" i="1"/>
  <c r="RRY43" i="1" s="1"/>
  <c r="RRX42" i="1"/>
  <c r="RRX43" i="1" s="1"/>
  <c r="RRW42" i="1"/>
  <c r="RRW43" i="1" s="1"/>
  <c r="RRV42" i="1"/>
  <c r="RRV43" i="1" s="1"/>
  <c r="RRU42" i="1"/>
  <c r="RRU43" i="1" s="1"/>
  <c r="RRT42" i="1"/>
  <c r="RRT43" i="1" s="1"/>
  <c r="RRS42" i="1"/>
  <c r="RRS43" i="1" s="1"/>
  <c r="RRR42" i="1"/>
  <c r="RRR43" i="1" s="1"/>
  <c r="RRQ42" i="1"/>
  <c r="RRQ43" i="1" s="1"/>
  <c r="RRP42" i="1"/>
  <c r="RRP43" i="1" s="1"/>
  <c r="RRO42" i="1"/>
  <c r="RRO43" i="1" s="1"/>
  <c r="RRN42" i="1"/>
  <c r="RRN43" i="1" s="1"/>
  <c r="RRM42" i="1"/>
  <c r="RRM43" i="1" s="1"/>
  <c r="RRL42" i="1"/>
  <c r="RRL43" i="1" s="1"/>
  <c r="RRK42" i="1"/>
  <c r="RRK43" i="1" s="1"/>
  <c r="RRJ42" i="1"/>
  <c r="RRJ43" i="1" s="1"/>
  <c r="RRI42" i="1"/>
  <c r="RRI43" i="1" s="1"/>
  <c r="RRH42" i="1"/>
  <c r="RRH43" i="1" s="1"/>
  <c r="RRG42" i="1"/>
  <c r="RRG43" i="1" s="1"/>
  <c r="RRF42" i="1"/>
  <c r="RRF43" i="1" s="1"/>
  <c r="RRE42" i="1"/>
  <c r="RRE43" i="1" s="1"/>
  <c r="RRD42" i="1"/>
  <c r="RRD43" i="1" s="1"/>
  <c r="RRC42" i="1"/>
  <c r="RRC43" i="1" s="1"/>
  <c r="RRB42" i="1"/>
  <c r="RRB43" i="1" s="1"/>
  <c r="RRA42" i="1"/>
  <c r="RRA43" i="1" s="1"/>
  <c r="RQZ42" i="1"/>
  <c r="RQZ43" i="1" s="1"/>
  <c r="RQY42" i="1"/>
  <c r="RQY43" i="1" s="1"/>
  <c r="RQX42" i="1"/>
  <c r="RQX43" i="1" s="1"/>
  <c r="RQW42" i="1"/>
  <c r="RQW43" i="1" s="1"/>
  <c r="RQV42" i="1"/>
  <c r="RQV43" i="1" s="1"/>
  <c r="RQU42" i="1"/>
  <c r="RQU43" i="1" s="1"/>
  <c r="RQT42" i="1"/>
  <c r="RQT43" i="1" s="1"/>
  <c r="RQS42" i="1"/>
  <c r="RQS43" i="1" s="1"/>
  <c r="RQR42" i="1"/>
  <c r="RQR43" i="1" s="1"/>
  <c r="RQQ42" i="1"/>
  <c r="RQQ43" i="1" s="1"/>
  <c r="RQP42" i="1"/>
  <c r="RQP43" i="1" s="1"/>
  <c r="RQO42" i="1"/>
  <c r="RQO43" i="1" s="1"/>
  <c r="RQN42" i="1"/>
  <c r="RQN43" i="1" s="1"/>
  <c r="RQM42" i="1"/>
  <c r="RQM43" i="1" s="1"/>
  <c r="RQL42" i="1"/>
  <c r="RQL43" i="1" s="1"/>
  <c r="RQK42" i="1"/>
  <c r="RQK43" i="1" s="1"/>
  <c r="RQJ42" i="1"/>
  <c r="RQJ43" i="1" s="1"/>
  <c r="RQI42" i="1"/>
  <c r="RQI43" i="1" s="1"/>
  <c r="RQH42" i="1"/>
  <c r="RQH43" i="1" s="1"/>
  <c r="RQG42" i="1"/>
  <c r="RQG43" i="1" s="1"/>
  <c r="RQF42" i="1"/>
  <c r="RQF43" i="1" s="1"/>
  <c r="RQE42" i="1"/>
  <c r="RQE43" i="1" s="1"/>
  <c r="RQD42" i="1"/>
  <c r="RQD43" i="1" s="1"/>
  <c r="RQC42" i="1"/>
  <c r="RQC43" i="1" s="1"/>
  <c r="RQB42" i="1"/>
  <c r="RQB43" i="1" s="1"/>
  <c r="RQA42" i="1"/>
  <c r="RQA43" i="1" s="1"/>
  <c r="RPZ42" i="1"/>
  <c r="RPZ43" i="1" s="1"/>
  <c r="RPY42" i="1"/>
  <c r="RPY43" i="1" s="1"/>
  <c r="RPX42" i="1"/>
  <c r="RPX43" i="1" s="1"/>
  <c r="RPW42" i="1"/>
  <c r="RPW43" i="1" s="1"/>
  <c r="RPV42" i="1"/>
  <c r="RPV43" i="1" s="1"/>
  <c r="RPU42" i="1"/>
  <c r="RPU43" i="1" s="1"/>
  <c r="RPT42" i="1"/>
  <c r="RPT43" i="1" s="1"/>
  <c r="RPS42" i="1"/>
  <c r="RPS43" i="1" s="1"/>
  <c r="RPR42" i="1"/>
  <c r="RPR43" i="1" s="1"/>
  <c r="RPQ42" i="1"/>
  <c r="RPQ43" i="1" s="1"/>
  <c r="RPP42" i="1"/>
  <c r="RPP43" i="1" s="1"/>
  <c r="RPO42" i="1"/>
  <c r="RPO43" i="1" s="1"/>
  <c r="RPN42" i="1"/>
  <c r="RPN43" i="1" s="1"/>
  <c r="RPM42" i="1"/>
  <c r="RPM43" i="1" s="1"/>
  <c r="RPL42" i="1"/>
  <c r="RPL43" i="1" s="1"/>
  <c r="RPK42" i="1"/>
  <c r="RPK43" i="1" s="1"/>
  <c r="RPJ42" i="1"/>
  <c r="RPJ43" i="1" s="1"/>
  <c r="RPI42" i="1"/>
  <c r="RPI43" i="1" s="1"/>
  <c r="RPH42" i="1"/>
  <c r="RPH43" i="1" s="1"/>
  <c r="RPG42" i="1"/>
  <c r="RPG43" i="1" s="1"/>
  <c r="RPF42" i="1"/>
  <c r="RPF43" i="1" s="1"/>
  <c r="RPE42" i="1"/>
  <c r="RPE43" i="1" s="1"/>
  <c r="RPD42" i="1"/>
  <c r="RPD43" i="1" s="1"/>
  <c r="RPC42" i="1"/>
  <c r="RPC43" i="1" s="1"/>
  <c r="RPB42" i="1"/>
  <c r="RPB43" i="1" s="1"/>
  <c r="RPA42" i="1"/>
  <c r="RPA43" i="1" s="1"/>
  <c r="ROZ42" i="1"/>
  <c r="ROZ43" i="1" s="1"/>
  <c r="ROY42" i="1"/>
  <c r="ROY43" i="1" s="1"/>
  <c r="ROX42" i="1"/>
  <c r="ROX43" i="1" s="1"/>
  <c r="ROW42" i="1"/>
  <c r="ROW43" i="1" s="1"/>
  <c r="ROV42" i="1"/>
  <c r="ROV43" i="1" s="1"/>
  <c r="ROU42" i="1"/>
  <c r="ROU43" i="1" s="1"/>
  <c r="ROT42" i="1"/>
  <c r="ROT43" i="1" s="1"/>
  <c r="ROS42" i="1"/>
  <c r="ROS43" i="1" s="1"/>
  <c r="ROR42" i="1"/>
  <c r="ROR43" i="1" s="1"/>
  <c r="ROQ42" i="1"/>
  <c r="ROQ43" i="1" s="1"/>
  <c r="ROP42" i="1"/>
  <c r="ROP43" i="1" s="1"/>
  <c r="ROO42" i="1"/>
  <c r="ROO43" i="1" s="1"/>
  <c r="RON42" i="1"/>
  <c r="RON43" i="1" s="1"/>
  <c r="ROM42" i="1"/>
  <c r="ROM43" i="1" s="1"/>
  <c r="ROL42" i="1"/>
  <c r="ROL43" i="1" s="1"/>
  <c r="ROK42" i="1"/>
  <c r="ROK43" i="1" s="1"/>
  <c r="ROJ42" i="1"/>
  <c r="ROJ43" i="1" s="1"/>
  <c r="ROI42" i="1"/>
  <c r="ROI43" i="1" s="1"/>
  <c r="ROH42" i="1"/>
  <c r="ROH43" i="1" s="1"/>
  <c r="ROG42" i="1"/>
  <c r="ROG43" i="1" s="1"/>
  <c r="ROF42" i="1"/>
  <c r="ROF43" i="1" s="1"/>
  <c r="ROE42" i="1"/>
  <c r="ROE43" i="1" s="1"/>
  <c r="ROD42" i="1"/>
  <c r="ROD43" i="1" s="1"/>
  <c r="ROC42" i="1"/>
  <c r="ROC43" i="1" s="1"/>
  <c r="ROB42" i="1"/>
  <c r="ROB43" i="1" s="1"/>
  <c r="ROA42" i="1"/>
  <c r="ROA43" i="1" s="1"/>
  <c r="RNZ42" i="1"/>
  <c r="RNZ43" i="1" s="1"/>
  <c r="RNY42" i="1"/>
  <c r="RNY43" i="1" s="1"/>
  <c r="RNX42" i="1"/>
  <c r="RNX43" i="1" s="1"/>
  <c r="RNW42" i="1"/>
  <c r="RNW43" i="1" s="1"/>
  <c r="RNV42" i="1"/>
  <c r="RNV43" i="1" s="1"/>
  <c r="RNU42" i="1"/>
  <c r="RNU43" i="1" s="1"/>
  <c r="RNT42" i="1"/>
  <c r="RNT43" i="1" s="1"/>
  <c r="RNS42" i="1"/>
  <c r="RNS43" i="1" s="1"/>
  <c r="RNR42" i="1"/>
  <c r="RNR43" i="1" s="1"/>
  <c r="RNQ42" i="1"/>
  <c r="RNQ43" i="1" s="1"/>
  <c r="RNP42" i="1"/>
  <c r="RNP43" i="1" s="1"/>
  <c r="RNO42" i="1"/>
  <c r="RNO43" i="1" s="1"/>
  <c r="RNN42" i="1"/>
  <c r="RNN43" i="1" s="1"/>
  <c r="RNM42" i="1"/>
  <c r="RNM43" i="1" s="1"/>
  <c r="RNL42" i="1"/>
  <c r="RNL43" i="1" s="1"/>
  <c r="RNK42" i="1"/>
  <c r="RNK43" i="1" s="1"/>
  <c r="RNJ42" i="1"/>
  <c r="RNJ43" i="1" s="1"/>
  <c r="RNI42" i="1"/>
  <c r="RNI43" i="1" s="1"/>
  <c r="RNH42" i="1"/>
  <c r="RNH43" i="1" s="1"/>
  <c r="RNG42" i="1"/>
  <c r="RNG43" i="1" s="1"/>
  <c r="RNF42" i="1"/>
  <c r="RNF43" i="1" s="1"/>
  <c r="RNE42" i="1"/>
  <c r="RNE43" i="1" s="1"/>
  <c r="RND42" i="1"/>
  <c r="RND43" i="1" s="1"/>
  <c r="RNC42" i="1"/>
  <c r="RNC43" i="1" s="1"/>
  <c r="RNB42" i="1"/>
  <c r="RNB43" i="1" s="1"/>
  <c r="RNA42" i="1"/>
  <c r="RNA43" i="1" s="1"/>
  <c r="RMZ42" i="1"/>
  <c r="RMZ43" i="1" s="1"/>
  <c r="RMY42" i="1"/>
  <c r="RMY43" i="1" s="1"/>
  <c r="RMX42" i="1"/>
  <c r="RMX43" i="1" s="1"/>
  <c r="RMW42" i="1"/>
  <c r="RMW43" i="1" s="1"/>
  <c r="RMV42" i="1"/>
  <c r="RMV43" i="1" s="1"/>
  <c r="RMU42" i="1"/>
  <c r="RMU43" i="1" s="1"/>
  <c r="RMT42" i="1"/>
  <c r="RMT43" i="1" s="1"/>
  <c r="RMS42" i="1"/>
  <c r="RMS43" i="1" s="1"/>
  <c r="RMR42" i="1"/>
  <c r="RMR43" i="1" s="1"/>
  <c r="RMQ42" i="1"/>
  <c r="RMQ43" i="1" s="1"/>
  <c r="RMP42" i="1"/>
  <c r="RMP43" i="1" s="1"/>
  <c r="RMO42" i="1"/>
  <c r="RMO43" i="1" s="1"/>
  <c r="RMN42" i="1"/>
  <c r="RMN43" i="1" s="1"/>
  <c r="RMM42" i="1"/>
  <c r="RMM43" i="1" s="1"/>
  <c r="RML42" i="1"/>
  <c r="RML43" i="1" s="1"/>
  <c r="RMK42" i="1"/>
  <c r="RMK43" i="1" s="1"/>
  <c r="RMJ42" i="1"/>
  <c r="RMJ43" i="1" s="1"/>
  <c r="RMI42" i="1"/>
  <c r="RMI43" i="1" s="1"/>
  <c r="RMH42" i="1"/>
  <c r="RMH43" i="1" s="1"/>
  <c r="RMG42" i="1"/>
  <c r="RMG43" i="1" s="1"/>
  <c r="RMF42" i="1"/>
  <c r="RMF43" i="1" s="1"/>
  <c r="RME42" i="1"/>
  <c r="RME43" i="1" s="1"/>
  <c r="RMD42" i="1"/>
  <c r="RMD43" i="1" s="1"/>
  <c r="RMC42" i="1"/>
  <c r="RMC43" i="1" s="1"/>
  <c r="RMB42" i="1"/>
  <c r="RMB43" i="1" s="1"/>
  <c r="RMA42" i="1"/>
  <c r="RMA43" i="1" s="1"/>
  <c r="RLZ42" i="1"/>
  <c r="RLZ43" i="1" s="1"/>
  <c r="RLY42" i="1"/>
  <c r="RLY43" i="1" s="1"/>
  <c r="RLX42" i="1"/>
  <c r="RLX43" i="1" s="1"/>
  <c r="RLW42" i="1"/>
  <c r="RLW43" i="1" s="1"/>
  <c r="RLV42" i="1"/>
  <c r="RLV43" i="1" s="1"/>
  <c r="RLU42" i="1"/>
  <c r="RLU43" i="1" s="1"/>
  <c r="RLT42" i="1"/>
  <c r="RLT43" i="1" s="1"/>
  <c r="RLS42" i="1"/>
  <c r="RLS43" i="1" s="1"/>
  <c r="RLR42" i="1"/>
  <c r="RLR43" i="1" s="1"/>
  <c r="RLQ42" i="1"/>
  <c r="RLQ43" i="1" s="1"/>
  <c r="RLP42" i="1"/>
  <c r="RLP43" i="1" s="1"/>
  <c r="RLO42" i="1"/>
  <c r="RLO43" i="1" s="1"/>
  <c r="RLN42" i="1"/>
  <c r="RLN43" i="1" s="1"/>
  <c r="RLM42" i="1"/>
  <c r="RLM43" i="1" s="1"/>
  <c r="RLL42" i="1"/>
  <c r="RLL43" i="1" s="1"/>
  <c r="RLK42" i="1"/>
  <c r="RLK43" i="1" s="1"/>
  <c r="RLJ42" i="1"/>
  <c r="RLJ43" i="1" s="1"/>
  <c r="RLI42" i="1"/>
  <c r="RLI43" i="1" s="1"/>
  <c r="RLH42" i="1"/>
  <c r="RLH43" i="1" s="1"/>
  <c r="RLG42" i="1"/>
  <c r="RLG43" i="1" s="1"/>
  <c r="RLF42" i="1"/>
  <c r="RLF43" i="1" s="1"/>
  <c r="RLE42" i="1"/>
  <c r="RLE43" i="1" s="1"/>
  <c r="RLD42" i="1"/>
  <c r="RLD43" i="1" s="1"/>
  <c r="RLC42" i="1"/>
  <c r="RLC43" i="1" s="1"/>
  <c r="RLB42" i="1"/>
  <c r="RLB43" i="1" s="1"/>
  <c r="RLA42" i="1"/>
  <c r="RLA43" i="1" s="1"/>
  <c r="RKZ42" i="1"/>
  <c r="RKZ43" i="1" s="1"/>
  <c r="RKY42" i="1"/>
  <c r="RKY43" i="1" s="1"/>
  <c r="RKX42" i="1"/>
  <c r="RKX43" i="1" s="1"/>
  <c r="RKW42" i="1"/>
  <c r="RKW43" i="1" s="1"/>
  <c r="RKV42" i="1"/>
  <c r="RKV43" i="1" s="1"/>
  <c r="RKU42" i="1"/>
  <c r="RKU43" i="1" s="1"/>
  <c r="RKT42" i="1"/>
  <c r="RKT43" i="1" s="1"/>
  <c r="RKS42" i="1"/>
  <c r="RKS43" i="1" s="1"/>
  <c r="RKR42" i="1"/>
  <c r="RKR43" i="1" s="1"/>
  <c r="RKQ42" i="1"/>
  <c r="RKQ43" i="1" s="1"/>
  <c r="RKP42" i="1"/>
  <c r="RKP43" i="1" s="1"/>
  <c r="RKO42" i="1"/>
  <c r="RKO43" i="1" s="1"/>
  <c r="RKN42" i="1"/>
  <c r="RKN43" i="1" s="1"/>
  <c r="RKM42" i="1"/>
  <c r="RKM43" i="1" s="1"/>
  <c r="RKL42" i="1"/>
  <c r="RKL43" i="1" s="1"/>
  <c r="RKK42" i="1"/>
  <c r="RKK43" i="1" s="1"/>
  <c r="RKJ42" i="1"/>
  <c r="RKJ43" i="1" s="1"/>
  <c r="RKI42" i="1"/>
  <c r="RKI43" i="1" s="1"/>
  <c r="RKH42" i="1"/>
  <c r="RKH43" i="1" s="1"/>
  <c r="RKG42" i="1"/>
  <c r="RKG43" i="1" s="1"/>
  <c r="RKF42" i="1"/>
  <c r="RKF43" i="1" s="1"/>
  <c r="RKE42" i="1"/>
  <c r="RKE43" i="1" s="1"/>
  <c r="RKD42" i="1"/>
  <c r="RKD43" i="1" s="1"/>
  <c r="RKC42" i="1"/>
  <c r="RKC43" i="1" s="1"/>
  <c r="RKB42" i="1"/>
  <c r="RKB43" i="1" s="1"/>
  <c r="RKA42" i="1"/>
  <c r="RKA43" i="1" s="1"/>
  <c r="RJZ42" i="1"/>
  <c r="RJZ43" i="1" s="1"/>
  <c r="RJY42" i="1"/>
  <c r="RJY43" i="1" s="1"/>
  <c r="RJX42" i="1"/>
  <c r="RJX43" i="1" s="1"/>
  <c r="RJW42" i="1"/>
  <c r="RJW43" i="1" s="1"/>
  <c r="RJV42" i="1"/>
  <c r="RJV43" i="1" s="1"/>
  <c r="RJU42" i="1"/>
  <c r="RJU43" i="1" s="1"/>
  <c r="RJT42" i="1"/>
  <c r="RJT43" i="1" s="1"/>
  <c r="RJS42" i="1"/>
  <c r="RJS43" i="1" s="1"/>
  <c r="RJR42" i="1"/>
  <c r="RJR43" i="1" s="1"/>
  <c r="RJQ42" i="1"/>
  <c r="RJQ43" i="1" s="1"/>
  <c r="RJP42" i="1"/>
  <c r="RJP43" i="1" s="1"/>
  <c r="RJO42" i="1"/>
  <c r="RJO43" i="1" s="1"/>
  <c r="RJN42" i="1"/>
  <c r="RJN43" i="1" s="1"/>
  <c r="RJM42" i="1"/>
  <c r="RJM43" i="1" s="1"/>
  <c r="RJL42" i="1"/>
  <c r="RJL43" i="1" s="1"/>
  <c r="RJK42" i="1"/>
  <c r="RJK43" i="1" s="1"/>
  <c r="RJJ42" i="1"/>
  <c r="RJJ43" i="1" s="1"/>
  <c r="RJI42" i="1"/>
  <c r="RJI43" i="1" s="1"/>
  <c r="RJH42" i="1"/>
  <c r="RJH43" i="1" s="1"/>
  <c r="RJG42" i="1"/>
  <c r="RJG43" i="1" s="1"/>
  <c r="RJF42" i="1"/>
  <c r="RJF43" i="1" s="1"/>
  <c r="RJE42" i="1"/>
  <c r="RJE43" i="1" s="1"/>
  <c r="RJD42" i="1"/>
  <c r="RJD43" i="1" s="1"/>
  <c r="RJC42" i="1"/>
  <c r="RJC43" i="1" s="1"/>
  <c r="RJB42" i="1"/>
  <c r="RJB43" i="1" s="1"/>
  <c r="RJA42" i="1"/>
  <c r="RJA43" i="1" s="1"/>
  <c r="RIZ42" i="1"/>
  <c r="RIZ43" i="1" s="1"/>
  <c r="RIY42" i="1"/>
  <c r="RIY43" i="1" s="1"/>
  <c r="RIX42" i="1"/>
  <c r="RIX43" i="1" s="1"/>
  <c r="RIW42" i="1"/>
  <c r="RIW43" i="1" s="1"/>
  <c r="RIV42" i="1"/>
  <c r="RIV43" i="1" s="1"/>
  <c r="RIU42" i="1"/>
  <c r="RIU43" i="1" s="1"/>
  <c r="RIT42" i="1"/>
  <c r="RIT43" i="1" s="1"/>
  <c r="RIS42" i="1"/>
  <c r="RIS43" i="1" s="1"/>
  <c r="RIR42" i="1"/>
  <c r="RIR43" i="1" s="1"/>
  <c r="RIQ42" i="1"/>
  <c r="RIQ43" i="1" s="1"/>
  <c r="RIP42" i="1"/>
  <c r="RIP43" i="1" s="1"/>
  <c r="RIO42" i="1"/>
  <c r="RIO43" i="1" s="1"/>
  <c r="RIN42" i="1"/>
  <c r="RIN43" i="1" s="1"/>
  <c r="RIM42" i="1"/>
  <c r="RIM43" i="1" s="1"/>
  <c r="RIL42" i="1"/>
  <c r="RIL43" i="1" s="1"/>
  <c r="RIK42" i="1"/>
  <c r="RIK43" i="1" s="1"/>
  <c r="RIJ42" i="1"/>
  <c r="RIJ43" i="1" s="1"/>
  <c r="RII42" i="1"/>
  <c r="RII43" i="1" s="1"/>
  <c r="RIH42" i="1"/>
  <c r="RIH43" i="1" s="1"/>
  <c r="RIG42" i="1"/>
  <c r="RIG43" i="1" s="1"/>
  <c r="RIF42" i="1"/>
  <c r="RIF43" i="1" s="1"/>
  <c r="RIE42" i="1"/>
  <c r="RIE43" i="1" s="1"/>
  <c r="RID42" i="1"/>
  <c r="RID43" i="1" s="1"/>
  <c r="RIC42" i="1"/>
  <c r="RIC43" i="1" s="1"/>
  <c r="RIB42" i="1"/>
  <c r="RIB43" i="1" s="1"/>
  <c r="RIA42" i="1"/>
  <c r="RIA43" i="1" s="1"/>
  <c r="RHZ42" i="1"/>
  <c r="RHZ43" i="1" s="1"/>
  <c r="RHY42" i="1"/>
  <c r="RHY43" i="1" s="1"/>
  <c r="RHX42" i="1"/>
  <c r="RHX43" i="1" s="1"/>
  <c r="RHW42" i="1"/>
  <c r="RHW43" i="1" s="1"/>
  <c r="RHV42" i="1"/>
  <c r="RHV43" i="1" s="1"/>
  <c r="RHU42" i="1"/>
  <c r="RHU43" i="1" s="1"/>
  <c r="RHT42" i="1"/>
  <c r="RHT43" i="1" s="1"/>
  <c r="RHS42" i="1"/>
  <c r="RHS43" i="1" s="1"/>
  <c r="RHR42" i="1"/>
  <c r="RHR43" i="1" s="1"/>
  <c r="RHQ42" i="1"/>
  <c r="RHQ43" i="1" s="1"/>
  <c r="RHP42" i="1"/>
  <c r="RHP43" i="1" s="1"/>
  <c r="RHO42" i="1"/>
  <c r="RHO43" i="1" s="1"/>
  <c r="RHN42" i="1"/>
  <c r="RHN43" i="1" s="1"/>
  <c r="RHM42" i="1"/>
  <c r="RHM43" i="1" s="1"/>
  <c r="RHL42" i="1"/>
  <c r="RHL43" i="1" s="1"/>
  <c r="RHK42" i="1"/>
  <c r="RHK43" i="1" s="1"/>
  <c r="RHJ42" i="1"/>
  <c r="RHJ43" i="1" s="1"/>
  <c r="RHI42" i="1"/>
  <c r="RHI43" i="1" s="1"/>
  <c r="RHH42" i="1"/>
  <c r="RHH43" i="1" s="1"/>
  <c r="RHG42" i="1"/>
  <c r="RHG43" i="1" s="1"/>
  <c r="RHF42" i="1"/>
  <c r="RHF43" i="1" s="1"/>
  <c r="RHE42" i="1"/>
  <c r="RHE43" i="1" s="1"/>
  <c r="RHD42" i="1"/>
  <c r="RHD43" i="1" s="1"/>
  <c r="RHC42" i="1"/>
  <c r="RHC43" i="1" s="1"/>
  <c r="RHB42" i="1"/>
  <c r="RHB43" i="1" s="1"/>
  <c r="RHA42" i="1"/>
  <c r="RHA43" i="1" s="1"/>
  <c r="RGZ42" i="1"/>
  <c r="RGZ43" i="1" s="1"/>
  <c r="RGY42" i="1"/>
  <c r="RGY43" i="1" s="1"/>
  <c r="RGX42" i="1"/>
  <c r="RGX43" i="1" s="1"/>
  <c r="RGW42" i="1"/>
  <c r="RGW43" i="1" s="1"/>
  <c r="RGV42" i="1"/>
  <c r="RGV43" i="1" s="1"/>
  <c r="RGU42" i="1"/>
  <c r="RGU43" i="1" s="1"/>
  <c r="RGT42" i="1"/>
  <c r="RGT43" i="1" s="1"/>
  <c r="RGS42" i="1"/>
  <c r="RGS43" i="1" s="1"/>
  <c r="RGR42" i="1"/>
  <c r="RGR43" i="1" s="1"/>
  <c r="RGQ42" i="1"/>
  <c r="RGQ43" i="1" s="1"/>
  <c r="RGP42" i="1"/>
  <c r="RGP43" i="1" s="1"/>
  <c r="RGO42" i="1"/>
  <c r="RGO43" i="1" s="1"/>
  <c r="RGN42" i="1"/>
  <c r="RGN43" i="1" s="1"/>
  <c r="RGM42" i="1"/>
  <c r="RGM43" i="1" s="1"/>
  <c r="RGL42" i="1"/>
  <c r="RGL43" i="1" s="1"/>
  <c r="RGK42" i="1"/>
  <c r="RGK43" i="1" s="1"/>
  <c r="RGJ42" i="1"/>
  <c r="RGJ43" i="1" s="1"/>
  <c r="RGI42" i="1"/>
  <c r="RGI43" i="1" s="1"/>
  <c r="RGH42" i="1"/>
  <c r="RGH43" i="1" s="1"/>
  <c r="RGG42" i="1"/>
  <c r="RGG43" i="1" s="1"/>
  <c r="RGF42" i="1"/>
  <c r="RGF43" i="1" s="1"/>
  <c r="RGE42" i="1"/>
  <c r="RGE43" i="1" s="1"/>
  <c r="RGD42" i="1"/>
  <c r="RGD43" i="1" s="1"/>
  <c r="RGC42" i="1"/>
  <c r="RGC43" i="1" s="1"/>
  <c r="RGB42" i="1"/>
  <c r="RGB43" i="1" s="1"/>
  <c r="RGA42" i="1"/>
  <c r="RGA43" i="1" s="1"/>
  <c r="RFZ42" i="1"/>
  <c r="RFZ43" i="1" s="1"/>
  <c r="RFY42" i="1"/>
  <c r="RFY43" i="1" s="1"/>
  <c r="RFX42" i="1"/>
  <c r="RFX43" i="1" s="1"/>
  <c r="RFW42" i="1"/>
  <c r="RFW43" i="1" s="1"/>
  <c r="RFV42" i="1"/>
  <c r="RFV43" i="1" s="1"/>
  <c r="RFU42" i="1"/>
  <c r="RFU43" i="1" s="1"/>
  <c r="RFT42" i="1"/>
  <c r="RFT43" i="1" s="1"/>
  <c r="RFS42" i="1"/>
  <c r="RFS43" i="1" s="1"/>
  <c r="RFR42" i="1"/>
  <c r="RFR43" i="1" s="1"/>
  <c r="RFQ42" i="1"/>
  <c r="RFQ43" i="1" s="1"/>
  <c r="RFP42" i="1"/>
  <c r="RFP43" i="1" s="1"/>
  <c r="RFO42" i="1"/>
  <c r="RFO43" i="1" s="1"/>
  <c r="RFN42" i="1"/>
  <c r="RFN43" i="1" s="1"/>
  <c r="RFM42" i="1"/>
  <c r="RFM43" i="1" s="1"/>
  <c r="RFL42" i="1"/>
  <c r="RFL43" i="1" s="1"/>
  <c r="RFK42" i="1"/>
  <c r="RFK43" i="1" s="1"/>
  <c r="RFJ42" i="1"/>
  <c r="RFJ43" i="1" s="1"/>
  <c r="RFI42" i="1"/>
  <c r="RFI43" i="1" s="1"/>
  <c r="RFH42" i="1"/>
  <c r="RFH43" i="1" s="1"/>
  <c r="RFG42" i="1"/>
  <c r="RFG43" i="1" s="1"/>
  <c r="RFF42" i="1"/>
  <c r="RFF43" i="1" s="1"/>
  <c r="RFE42" i="1"/>
  <c r="RFE43" i="1" s="1"/>
  <c r="RFD42" i="1"/>
  <c r="RFD43" i="1" s="1"/>
  <c r="RFC42" i="1"/>
  <c r="RFC43" i="1" s="1"/>
  <c r="RFB42" i="1"/>
  <c r="RFB43" i="1" s="1"/>
  <c r="RFA42" i="1"/>
  <c r="RFA43" i="1" s="1"/>
  <c r="REZ42" i="1"/>
  <c r="REZ43" i="1" s="1"/>
  <c r="REY42" i="1"/>
  <c r="REY43" i="1" s="1"/>
  <c r="REX42" i="1"/>
  <c r="REX43" i="1" s="1"/>
  <c r="REW42" i="1"/>
  <c r="REW43" i="1" s="1"/>
  <c r="REV42" i="1"/>
  <c r="REV43" i="1" s="1"/>
  <c r="REU42" i="1"/>
  <c r="REU43" i="1" s="1"/>
  <c r="RET42" i="1"/>
  <c r="RET43" i="1" s="1"/>
  <c r="RES42" i="1"/>
  <c r="RES43" i="1" s="1"/>
  <c r="RER42" i="1"/>
  <c r="RER43" i="1" s="1"/>
  <c r="REQ42" i="1"/>
  <c r="REQ43" i="1" s="1"/>
  <c r="REP42" i="1"/>
  <c r="REP43" i="1" s="1"/>
  <c r="REO42" i="1"/>
  <c r="REO43" i="1" s="1"/>
  <c r="REN42" i="1"/>
  <c r="REN43" i="1" s="1"/>
  <c r="REM42" i="1"/>
  <c r="REM43" i="1" s="1"/>
  <c r="REL42" i="1"/>
  <c r="REL43" i="1" s="1"/>
  <c r="REK42" i="1"/>
  <c r="REK43" i="1" s="1"/>
  <c r="REJ42" i="1"/>
  <c r="REJ43" i="1" s="1"/>
  <c r="REI42" i="1"/>
  <c r="REI43" i="1" s="1"/>
  <c r="REH42" i="1"/>
  <c r="REH43" i="1" s="1"/>
  <c r="REG42" i="1"/>
  <c r="REG43" i="1" s="1"/>
  <c r="REF42" i="1"/>
  <c r="REF43" i="1" s="1"/>
  <c r="REE42" i="1"/>
  <c r="REE43" i="1" s="1"/>
  <c r="RED42" i="1"/>
  <c r="RED43" i="1" s="1"/>
  <c r="REC42" i="1"/>
  <c r="REC43" i="1" s="1"/>
  <c r="REB42" i="1"/>
  <c r="REB43" i="1" s="1"/>
  <c r="REA42" i="1"/>
  <c r="REA43" i="1" s="1"/>
  <c r="RDZ42" i="1"/>
  <c r="RDZ43" i="1" s="1"/>
  <c r="RDY42" i="1"/>
  <c r="RDY43" i="1" s="1"/>
  <c r="RDX42" i="1"/>
  <c r="RDX43" i="1" s="1"/>
  <c r="RDW42" i="1"/>
  <c r="RDW43" i="1" s="1"/>
  <c r="RDV42" i="1"/>
  <c r="RDV43" i="1" s="1"/>
  <c r="RDU42" i="1"/>
  <c r="RDU43" i="1" s="1"/>
  <c r="RDT42" i="1"/>
  <c r="RDT43" i="1" s="1"/>
  <c r="RDS42" i="1"/>
  <c r="RDS43" i="1" s="1"/>
  <c r="RDR42" i="1"/>
  <c r="RDR43" i="1" s="1"/>
  <c r="RDQ42" i="1"/>
  <c r="RDQ43" i="1" s="1"/>
  <c r="RDP42" i="1"/>
  <c r="RDP43" i="1" s="1"/>
  <c r="RDO42" i="1"/>
  <c r="RDO43" i="1" s="1"/>
  <c r="RDN42" i="1"/>
  <c r="RDN43" i="1" s="1"/>
  <c r="RDM42" i="1"/>
  <c r="RDM43" i="1" s="1"/>
  <c r="RDL42" i="1"/>
  <c r="RDL43" i="1" s="1"/>
  <c r="RDK42" i="1"/>
  <c r="RDK43" i="1" s="1"/>
  <c r="RDJ42" i="1"/>
  <c r="RDJ43" i="1" s="1"/>
  <c r="RDI42" i="1"/>
  <c r="RDI43" i="1" s="1"/>
  <c r="RDH42" i="1"/>
  <c r="RDH43" i="1" s="1"/>
  <c r="RDG42" i="1"/>
  <c r="RDG43" i="1" s="1"/>
  <c r="RDF42" i="1"/>
  <c r="RDF43" i="1" s="1"/>
  <c r="RDE42" i="1"/>
  <c r="RDE43" i="1" s="1"/>
  <c r="RDD42" i="1"/>
  <c r="RDD43" i="1" s="1"/>
  <c r="RDC42" i="1"/>
  <c r="RDC43" i="1" s="1"/>
  <c r="RDB42" i="1"/>
  <c r="RDB43" i="1" s="1"/>
  <c r="RDA42" i="1"/>
  <c r="RDA43" i="1" s="1"/>
  <c r="RCZ42" i="1"/>
  <c r="RCZ43" i="1" s="1"/>
  <c r="RCY42" i="1"/>
  <c r="RCY43" i="1" s="1"/>
  <c r="RCX42" i="1"/>
  <c r="RCX43" i="1" s="1"/>
  <c r="RCW42" i="1"/>
  <c r="RCW43" i="1" s="1"/>
  <c r="RCV42" i="1"/>
  <c r="RCV43" i="1" s="1"/>
  <c r="RCU42" i="1"/>
  <c r="RCU43" i="1" s="1"/>
  <c r="RCT42" i="1"/>
  <c r="RCT43" i="1" s="1"/>
  <c r="RCS42" i="1"/>
  <c r="RCS43" i="1" s="1"/>
  <c r="RCR42" i="1"/>
  <c r="RCR43" i="1" s="1"/>
  <c r="RCQ42" i="1"/>
  <c r="RCQ43" i="1" s="1"/>
  <c r="RCP42" i="1"/>
  <c r="RCP43" i="1" s="1"/>
  <c r="RCO42" i="1"/>
  <c r="RCO43" i="1" s="1"/>
  <c r="RCN42" i="1"/>
  <c r="RCN43" i="1" s="1"/>
  <c r="RCM42" i="1"/>
  <c r="RCM43" i="1" s="1"/>
  <c r="RCL42" i="1"/>
  <c r="RCL43" i="1" s="1"/>
  <c r="RCK42" i="1"/>
  <c r="RCK43" i="1" s="1"/>
  <c r="RCJ42" i="1"/>
  <c r="RCJ43" i="1" s="1"/>
  <c r="RCI42" i="1"/>
  <c r="RCI43" i="1" s="1"/>
  <c r="RCH42" i="1"/>
  <c r="RCH43" i="1" s="1"/>
  <c r="RCG42" i="1"/>
  <c r="RCG43" i="1" s="1"/>
  <c r="RCF42" i="1"/>
  <c r="RCF43" i="1" s="1"/>
  <c r="RCE42" i="1"/>
  <c r="RCE43" i="1" s="1"/>
  <c r="RCD42" i="1"/>
  <c r="RCD43" i="1" s="1"/>
  <c r="RCC42" i="1"/>
  <c r="RCC43" i="1" s="1"/>
  <c r="RCB42" i="1"/>
  <c r="RCB43" i="1" s="1"/>
  <c r="RCA42" i="1"/>
  <c r="RCA43" i="1" s="1"/>
  <c r="RBZ42" i="1"/>
  <c r="RBZ43" i="1" s="1"/>
  <c r="RBY42" i="1"/>
  <c r="RBY43" i="1" s="1"/>
  <c r="RBX42" i="1"/>
  <c r="RBX43" i="1" s="1"/>
  <c r="RBW42" i="1"/>
  <c r="RBW43" i="1" s="1"/>
  <c r="RBV42" i="1"/>
  <c r="RBV43" i="1" s="1"/>
  <c r="RBU42" i="1"/>
  <c r="RBU43" i="1" s="1"/>
  <c r="RBT42" i="1"/>
  <c r="RBT43" i="1" s="1"/>
  <c r="RBS42" i="1"/>
  <c r="RBS43" i="1" s="1"/>
  <c r="RBR42" i="1"/>
  <c r="RBR43" i="1" s="1"/>
  <c r="RBQ42" i="1"/>
  <c r="RBQ43" i="1" s="1"/>
  <c r="RBP42" i="1"/>
  <c r="RBP43" i="1" s="1"/>
  <c r="RBO42" i="1"/>
  <c r="RBO43" i="1" s="1"/>
  <c r="RBN42" i="1"/>
  <c r="RBN43" i="1" s="1"/>
  <c r="RBM42" i="1"/>
  <c r="RBM43" i="1" s="1"/>
  <c r="RBL42" i="1"/>
  <c r="RBL43" i="1" s="1"/>
  <c r="RBK42" i="1"/>
  <c r="RBK43" i="1" s="1"/>
  <c r="RBJ42" i="1"/>
  <c r="RBJ43" i="1" s="1"/>
  <c r="RBI42" i="1"/>
  <c r="RBI43" i="1" s="1"/>
  <c r="RBH42" i="1"/>
  <c r="RBH43" i="1" s="1"/>
  <c r="RBG42" i="1"/>
  <c r="RBG43" i="1" s="1"/>
  <c r="RBF42" i="1"/>
  <c r="RBF43" i="1" s="1"/>
  <c r="RBE42" i="1"/>
  <c r="RBE43" i="1" s="1"/>
  <c r="RBD42" i="1"/>
  <c r="RBD43" i="1" s="1"/>
  <c r="RBC42" i="1"/>
  <c r="RBC43" i="1" s="1"/>
  <c r="RBB42" i="1"/>
  <c r="RBB43" i="1" s="1"/>
  <c r="RBA42" i="1"/>
  <c r="RBA43" i="1" s="1"/>
  <c r="RAZ42" i="1"/>
  <c r="RAZ43" i="1" s="1"/>
  <c r="RAY42" i="1"/>
  <c r="RAY43" i="1" s="1"/>
  <c r="RAX42" i="1"/>
  <c r="RAX43" i="1" s="1"/>
  <c r="RAW42" i="1"/>
  <c r="RAW43" i="1" s="1"/>
  <c r="RAV42" i="1"/>
  <c r="RAV43" i="1" s="1"/>
  <c r="RAU42" i="1"/>
  <c r="RAU43" i="1" s="1"/>
  <c r="RAT42" i="1"/>
  <c r="RAT43" i="1" s="1"/>
  <c r="RAS42" i="1"/>
  <c r="RAS43" i="1" s="1"/>
  <c r="RAR42" i="1"/>
  <c r="RAR43" i="1" s="1"/>
  <c r="RAQ42" i="1"/>
  <c r="RAQ43" i="1" s="1"/>
  <c r="RAP42" i="1"/>
  <c r="RAP43" i="1" s="1"/>
  <c r="RAO42" i="1"/>
  <c r="RAO43" i="1" s="1"/>
  <c r="RAN42" i="1"/>
  <c r="RAN43" i="1" s="1"/>
  <c r="RAM42" i="1"/>
  <c r="RAM43" i="1" s="1"/>
  <c r="RAL42" i="1"/>
  <c r="RAL43" i="1" s="1"/>
  <c r="RAK42" i="1"/>
  <c r="RAK43" i="1" s="1"/>
  <c r="RAJ42" i="1"/>
  <c r="RAJ43" i="1" s="1"/>
  <c r="RAI42" i="1"/>
  <c r="RAI43" i="1" s="1"/>
  <c r="RAH42" i="1"/>
  <c r="RAH43" i="1" s="1"/>
  <c r="RAG42" i="1"/>
  <c r="RAG43" i="1" s="1"/>
  <c r="RAF42" i="1"/>
  <c r="RAF43" i="1" s="1"/>
  <c r="RAE42" i="1"/>
  <c r="RAE43" i="1" s="1"/>
  <c r="RAD42" i="1"/>
  <c r="RAD43" i="1" s="1"/>
  <c r="RAC42" i="1"/>
  <c r="RAC43" i="1" s="1"/>
  <c r="RAB42" i="1"/>
  <c r="RAB43" i="1" s="1"/>
  <c r="RAA42" i="1"/>
  <c r="RAA43" i="1" s="1"/>
  <c r="QZZ42" i="1"/>
  <c r="QZZ43" i="1" s="1"/>
  <c r="QZY42" i="1"/>
  <c r="QZY43" i="1" s="1"/>
  <c r="QZX42" i="1"/>
  <c r="QZX43" i="1" s="1"/>
  <c r="QZW42" i="1"/>
  <c r="QZW43" i="1" s="1"/>
  <c r="QZV42" i="1"/>
  <c r="QZV43" i="1" s="1"/>
  <c r="QZU42" i="1"/>
  <c r="QZU43" i="1" s="1"/>
  <c r="QZT42" i="1"/>
  <c r="QZT43" i="1" s="1"/>
  <c r="QZS42" i="1"/>
  <c r="QZS43" i="1" s="1"/>
  <c r="QZR42" i="1"/>
  <c r="QZR43" i="1" s="1"/>
  <c r="QZQ42" i="1"/>
  <c r="QZQ43" i="1" s="1"/>
  <c r="QZP42" i="1"/>
  <c r="QZP43" i="1" s="1"/>
  <c r="QZO42" i="1"/>
  <c r="QZO43" i="1" s="1"/>
  <c r="QZN42" i="1"/>
  <c r="QZN43" i="1" s="1"/>
  <c r="QZM42" i="1"/>
  <c r="QZM43" i="1" s="1"/>
  <c r="QZL42" i="1"/>
  <c r="QZL43" i="1" s="1"/>
  <c r="QZK42" i="1"/>
  <c r="QZK43" i="1" s="1"/>
  <c r="QZJ42" i="1"/>
  <c r="QZJ43" i="1" s="1"/>
  <c r="QZI42" i="1"/>
  <c r="QZI43" i="1" s="1"/>
  <c r="QZH42" i="1"/>
  <c r="QZH43" i="1" s="1"/>
  <c r="QZG42" i="1"/>
  <c r="QZG43" i="1" s="1"/>
  <c r="QZF42" i="1"/>
  <c r="QZF43" i="1" s="1"/>
  <c r="QZE42" i="1"/>
  <c r="QZE43" i="1" s="1"/>
  <c r="QZD42" i="1"/>
  <c r="QZD43" i="1" s="1"/>
  <c r="QZC42" i="1"/>
  <c r="QZC43" i="1" s="1"/>
  <c r="QZB42" i="1"/>
  <c r="QZB43" i="1" s="1"/>
  <c r="QZA42" i="1"/>
  <c r="QZA43" i="1" s="1"/>
  <c r="QYZ42" i="1"/>
  <c r="QYZ43" i="1" s="1"/>
  <c r="QYY42" i="1"/>
  <c r="QYY43" i="1" s="1"/>
  <c r="QYX42" i="1"/>
  <c r="QYX43" i="1" s="1"/>
  <c r="QYW42" i="1"/>
  <c r="QYW43" i="1" s="1"/>
  <c r="QYV42" i="1"/>
  <c r="QYV43" i="1" s="1"/>
  <c r="QYU42" i="1"/>
  <c r="QYU43" i="1" s="1"/>
  <c r="QYT42" i="1"/>
  <c r="QYT43" i="1" s="1"/>
  <c r="QYS42" i="1"/>
  <c r="QYS43" i="1" s="1"/>
  <c r="QYR42" i="1"/>
  <c r="QYR43" i="1" s="1"/>
  <c r="QYQ42" i="1"/>
  <c r="QYQ43" i="1" s="1"/>
  <c r="QYP42" i="1"/>
  <c r="QYP43" i="1" s="1"/>
  <c r="QYO42" i="1"/>
  <c r="QYO43" i="1" s="1"/>
  <c r="QYN42" i="1"/>
  <c r="QYN43" i="1" s="1"/>
  <c r="QYM42" i="1"/>
  <c r="QYM43" i="1" s="1"/>
  <c r="QYL42" i="1"/>
  <c r="QYL43" i="1" s="1"/>
  <c r="QYK42" i="1"/>
  <c r="QYK43" i="1" s="1"/>
  <c r="QYJ42" i="1"/>
  <c r="QYJ43" i="1" s="1"/>
  <c r="QYI42" i="1"/>
  <c r="QYI43" i="1" s="1"/>
  <c r="QYH42" i="1"/>
  <c r="QYH43" i="1" s="1"/>
  <c r="QYG42" i="1"/>
  <c r="QYG43" i="1" s="1"/>
  <c r="QYF42" i="1"/>
  <c r="QYF43" i="1" s="1"/>
  <c r="QYE42" i="1"/>
  <c r="QYE43" i="1" s="1"/>
  <c r="QYD42" i="1"/>
  <c r="QYD43" i="1" s="1"/>
  <c r="QYC42" i="1"/>
  <c r="QYC43" i="1" s="1"/>
  <c r="QYB42" i="1"/>
  <c r="QYB43" i="1" s="1"/>
  <c r="QYA42" i="1"/>
  <c r="QYA43" i="1" s="1"/>
  <c r="QXZ42" i="1"/>
  <c r="QXZ43" i="1" s="1"/>
  <c r="QXY42" i="1"/>
  <c r="QXY43" i="1" s="1"/>
  <c r="QXX42" i="1"/>
  <c r="QXX43" i="1" s="1"/>
  <c r="QXW42" i="1"/>
  <c r="QXW43" i="1" s="1"/>
  <c r="QXV42" i="1"/>
  <c r="QXV43" i="1" s="1"/>
  <c r="QXU42" i="1"/>
  <c r="QXU43" i="1" s="1"/>
  <c r="QXT42" i="1"/>
  <c r="QXT43" i="1" s="1"/>
  <c r="QXS42" i="1"/>
  <c r="QXS43" i="1" s="1"/>
  <c r="QXR42" i="1"/>
  <c r="QXR43" i="1" s="1"/>
  <c r="QXQ42" i="1"/>
  <c r="QXQ43" i="1" s="1"/>
  <c r="QXP42" i="1"/>
  <c r="QXP43" i="1" s="1"/>
  <c r="QXO42" i="1"/>
  <c r="QXO43" i="1" s="1"/>
  <c r="QXN42" i="1"/>
  <c r="QXN43" i="1" s="1"/>
  <c r="QXM42" i="1"/>
  <c r="QXM43" i="1" s="1"/>
  <c r="QXL42" i="1"/>
  <c r="QXL43" i="1" s="1"/>
  <c r="QXK42" i="1"/>
  <c r="QXK43" i="1" s="1"/>
  <c r="QXJ42" i="1"/>
  <c r="QXJ43" i="1" s="1"/>
  <c r="QXI42" i="1"/>
  <c r="QXI43" i="1" s="1"/>
  <c r="QXH42" i="1"/>
  <c r="QXH43" i="1" s="1"/>
  <c r="QXG42" i="1"/>
  <c r="QXG43" i="1" s="1"/>
  <c r="QXF42" i="1"/>
  <c r="QXF43" i="1" s="1"/>
  <c r="QXE42" i="1"/>
  <c r="QXE43" i="1" s="1"/>
  <c r="QXD42" i="1"/>
  <c r="QXD43" i="1" s="1"/>
  <c r="QXC42" i="1"/>
  <c r="QXC43" i="1" s="1"/>
  <c r="QXB42" i="1"/>
  <c r="QXB43" i="1" s="1"/>
  <c r="QXA42" i="1"/>
  <c r="QXA43" i="1" s="1"/>
  <c r="QWZ42" i="1"/>
  <c r="QWZ43" i="1" s="1"/>
  <c r="QWY42" i="1"/>
  <c r="QWY43" i="1" s="1"/>
  <c r="QWX42" i="1"/>
  <c r="QWX43" i="1" s="1"/>
  <c r="QWW42" i="1"/>
  <c r="QWW43" i="1" s="1"/>
  <c r="QWV42" i="1"/>
  <c r="QWV43" i="1" s="1"/>
  <c r="QWU42" i="1"/>
  <c r="QWU43" i="1" s="1"/>
  <c r="QWT42" i="1"/>
  <c r="QWT43" i="1" s="1"/>
  <c r="QWS42" i="1"/>
  <c r="QWS43" i="1" s="1"/>
  <c r="QWR42" i="1"/>
  <c r="QWR43" i="1" s="1"/>
  <c r="QWQ42" i="1"/>
  <c r="QWQ43" i="1" s="1"/>
  <c r="QWP42" i="1"/>
  <c r="QWP43" i="1" s="1"/>
  <c r="QWO42" i="1"/>
  <c r="QWO43" i="1" s="1"/>
  <c r="QWN42" i="1"/>
  <c r="QWN43" i="1" s="1"/>
  <c r="QWM42" i="1"/>
  <c r="QWM43" i="1" s="1"/>
  <c r="QWL42" i="1"/>
  <c r="QWL43" i="1" s="1"/>
  <c r="QWK42" i="1"/>
  <c r="QWK43" i="1" s="1"/>
  <c r="QWJ42" i="1"/>
  <c r="QWJ43" i="1" s="1"/>
  <c r="QWI42" i="1"/>
  <c r="QWI43" i="1" s="1"/>
  <c r="QWH42" i="1"/>
  <c r="QWH43" i="1" s="1"/>
  <c r="QWG42" i="1"/>
  <c r="QWG43" i="1" s="1"/>
  <c r="QWF42" i="1"/>
  <c r="QWF43" i="1" s="1"/>
  <c r="QWE42" i="1"/>
  <c r="QWE43" i="1" s="1"/>
  <c r="QWD42" i="1"/>
  <c r="QWD43" i="1" s="1"/>
  <c r="QWC42" i="1"/>
  <c r="QWC43" i="1" s="1"/>
  <c r="QWB42" i="1"/>
  <c r="QWB43" i="1" s="1"/>
  <c r="QWA42" i="1"/>
  <c r="QWA43" i="1" s="1"/>
  <c r="QVZ42" i="1"/>
  <c r="QVZ43" i="1" s="1"/>
  <c r="QVY42" i="1"/>
  <c r="QVY43" i="1" s="1"/>
  <c r="QVX42" i="1"/>
  <c r="QVX43" i="1" s="1"/>
  <c r="QVW42" i="1"/>
  <c r="QVW43" i="1" s="1"/>
  <c r="QVV42" i="1"/>
  <c r="QVV43" i="1" s="1"/>
  <c r="QVU42" i="1"/>
  <c r="QVU43" i="1" s="1"/>
  <c r="QVT42" i="1"/>
  <c r="QVT43" i="1" s="1"/>
  <c r="QVS42" i="1"/>
  <c r="QVS43" i="1" s="1"/>
  <c r="QVR42" i="1"/>
  <c r="QVR43" i="1" s="1"/>
  <c r="QVQ42" i="1"/>
  <c r="QVQ43" i="1" s="1"/>
  <c r="QVP42" i="1"/>
  <c r="QVP43" i="1" s="1"/>
  <c r="QVO42" i="1"/>
  <c r="QVO43" i="1" s="1"/>
  <c r="QVN42" i="1"/>
  <c r="QVN43" i="1" s="1"/>
  <c r="QVM42" i="1"/>
  <c r="QVM43" i="1" s="1"/>
  <c r="QVL42" i="1"/>
  <c r="QVL43" i="1" s="1"/>
  <c r="QVK42" i="1"/>
  <c r="QVK43" i="1" s="1"/>
  <c r="QVJ42" i="1"/>
  <c r="QVJ43" i="1" s="1"/>
  <c r="QVI42" i="1"/>
  <c r="QVI43" i="1" s="1"/>
  <c r="QVH42" i="1"/>
  <c r="QVH43" i="1" s="1"/>
  <c r="QVG42" i="1"/>
  <c r="QVG43" i="1" s="1"/>
  <c r="QVF42" i="1"/>
  <c r="QVF43" i="1" s="1"/>
  <c r="QVE42" i="1"/>
  <c r="QVE43" i="1" s="1"/>
  <c r="QVD42" i="1"/>
  <c r="QVD43" i="1" s="1"/>
  <c r="QVC42" i="1"/>
  <c r="QVC43" i="1" s="1"/>
  <c r="QVB42" i="1"/>
  <c r="QVB43" i="1" s="1"/>
  <c r="QVA42" i="1"/>
  <c r="QVA43" i="1" s="1"/>
  <c r="QUZ42" i="1"/>
  <c r="QUZ43" i="1" s="1"/>
  <c r="QUY42" i="1"/>
  <c r="QUY43" i="1" s="1"/>
  <c r="QUX42" i="1"/>
  <c r="QUX43" i="1" s="1"/>
  <c r="QUW42" i="1"/>
  <c r="QUW43" i="1" s="1"/>
  <c r="QUV42" i="1"/>
  <c r="QUV43" i="1" s="1"/>
  <c r="QUU42" i="1"/>
  <c r="QUU43" i="1" s="1"/>
  <c r="QUT42" i="1"/>
  <c r="QUT43" i="1" s="1"/>
  <c r="QUS42" i="1"/>
  <c r="QUS43" i="1" s="1"/>
  <c r="QUR42" i="1"/>
  <c r="QUR43" i="1" s="1"/>
  <c r="QUQ42" i="1"/>
  <c r="QUQ43" i="1" s="1"/>
  <c r="QUP42" i="1"/>
  <c r="QUP43" i="1" s="1"/>
  <c r="QUO42" i="1"/>
  <c r="QUO43" i="1" s="1"/>
  <c r="QUN42" i="1"/>
  <c r="QUN43" i="1" s="1"/>
  <c r="QUM42" i="1"/>
  <c r="QUM43" i="1" s="1"/>
  <c r="QUL42" i="1"/>
  <c r="QUL43" i="1" s="1"/>
  <c r="QUK42" i="1"/>
  <c r="QUK43" i="1" s="1"/>
  <c r="QUJ42" i="1"/>
  <c r="QUJ43" i="1" s="1"/>
  <c r="QUI42" i="1"/>
  <c r="QUI43" i="1" s="1"/>
  <c r="QUH42" i="1"/>
  <c r="QUH43" i="1" s="1"/>
  <c r="QUG42" i="1"/>
  <c r="QUG43" i="1" s="1"/>
  <c r="QUF42" i="1"/>
  <c r="QUF43" i="1" s="1"/>
  <c r="QUE42" i="1"/>
  <c r="QUE43" i="1" s="1"/>
  <c r="QUD42" i="1"/>
  <c r="QUD43" i="1" s="1"/>
  <c r="QUC42" i="1"/>
  <c r="QUC43" i="1" s="1"/>
  <c r="QUB42" i="1"/>
  <c r="QUB43" i="1" s="1"/>
  <c r="QUA42" i="1"/>
  <c r="QUA43" i="1" s="1"/>
  <c r="QTZ42" i="1"/>
  <c r="QTZ43" i="1" s="1"/>
  <c r="QTY42" i="1"/>
  <c r="QTY43" i="1" s="1"/>
  <c r="QTX42" i="1"/>
  <c r="QTX43" i="1" s="1"/>
  <c r="QTW42" i="1"/>
  <c r="QTW43" i="1" s="1"/>
  <c r="QTV42" i="1"/>
  <c r="QTV43" i="1" s="1"/>
  <c r="QTU42" i="1"/>
  <c r="QTU43" i="1" s="1"/>
  <c r="QTT42" i="1"/>
  <c r="QTT43" i="1" s="1"/>
  <c r="QTS42" i="1"/>
  <c r="QTS43" i="1" s="1"/>
  <c r="QTR42" i="1"/>
  <c r="QTR43" i="1" s="1"/>
  <c r="QTQ42" i="1"/>
  <c r="QTQ43" i="1" s="1"/>
  <c r="QTP42" i="1"/>
  <c r="QTP43" i="1" s="1"/>
  <c r="QTO42" i="1"/>
  <c r="QTO43" i="1" s="1"/>
  <c r="QTN42" i="1"/>
  <c r="QTN43" i="1" s="1"/>
  <c r="QTM42" i="1"/>
  <c r="QTM43" i="1" s="1"/>
  <c r="QTL42" i="1"/>
  <c r="QTL43" i="1" s="1"/>
  <c r="QTK42" i="1"/>
  <c r="QTK43" i="1" s="1"/>
  <c r="QTJ42" i="1"/>
  <c r="QTJ43" i="1" s="1"/>
  <c r="QTI42" i="1"/>
  <c r="QTI43" i="1" s="1"/>
  <c r="QTH42" i="1"/>
  <c r="QTH43" i="1" s="1"/>
  <c r="QTG42" i="1"/>
  <c r="QTG43" i="1" s="1"/>
  <c r="QTF42" i="1"/>
  <c r="QTF43" i="1" s="1"/>
  <c r="QTE42" i="1"/>
  <c r="QTE43" i="1" s="1"/>
  <c r="QTD42" i="1"/>
  <c r="QTD43" i="1" s="1"/>
  <c r="QTC42" i="1"/>
  <c r="QTC43" i="1" s="1"/>
  <c r="QTB42" i="1"/>
  <c r="QTB43" i="1" s="1"/>
  <c r="QTA42" i="1"/>
  <c r="QTA43" i="1" s="1"/>
  <c r="QSZ42" i="1"/>
  <c r="QSZ43" i="1" s="1"/>
  <c r="QSY42" i="1"/>
  <c r="QSY43" i="1" s="1"/>
  <c r="QSX42" i="1"/>
  <c r="QSX43" i="1" s="1"/>
  <c r="QSW42" i="1"/>
  <c r="QSW43" i="1" s="1"/>
  <c r="QSV42" i="1"/>
  <c r="QSV43" i="1" s="1"/>
  <c r="QSU42" i="1"/>
  <c r="QSU43" i="1" s="1"/>
  <c r="QST42" i="1"/>
  <c r="QST43" i="1" s="1"/>
  <c r="QSS42" i="1"/>
  <c r="QSS43" i="1" s="1"/>
  <c r="QSR42" i="1"/>
  <c r="QSR43" i="1" s="1"/>
  <c r="QSQ42" i="1"/>
  <c r="QSQ43" i="1" s="1"/>
  <c r="QSP42" i="1"/>
  <c r="QSP43" i="1" s="1"/>
  <c r="QSO42" i="1"/>
  <c r="QSO43" i="1" s="1"/>
  <c r="QSN42" i="1"/>
  <c r="QSN43" i="1" s="1"/>
  <c r="QSM42" i="1"/>
  <c r="QSM43" i="1" s="1"/>
  <c r="QSL42" i="1"/>
  <c r="QSL43" i="1" s="1"/>
  <c r="QSK42" i="1"/>
  <c r="QSK43" i="1" s="1"/>
  <c r="QSJ42" i="1"/>
  <c r="QSJ43" i="1" s="1"/>
  <c r="QSI42" i="1"/>
  <c r="QSI43" i="1" s="1"/>
  <c r="QSH42" i="1"/>
  <c r="QSH43" i="1" s="1"/>
  <c r="QSG42" i="1"/>
  <c r="QSG43" i="1" s="1"/>
  <c r="QSF42" i="1"/>
  <c r="QSF43" i="1" s="1"/>
  <c r="QSE42" i="1"/>
  <c r="QSE43" i="1" s="1"/>
  <c r="QSD42" i="1"/>
  <c r="QSD43" i="1" s="1"/>
  <c r="QSC42" i="1"/>
  <c r="QSC43" i="1" s="1"/>
  <c r="QSB42" i="1"/>
  <c r="QSB43" i="1" s="1"/>
  <c r="QSA42" i="1"/>
  <c r="QSA43" i="1" s="1"/>
  <c r="QRZ42" i="1"/>
  <c r="QRZ43" i="1" s="1"/>
  <c r="QRY42" i="1"/>
  <c r="QRY43" i="1" s="1"/>
  <c r="QRX42" i="1"/>
  <c r="QRX43" i="1" s="1"/>
  <c r="QRW42" i="1"/>
  <c r="QRW43" i="1" s="1"/>
  <c r="QRV42" i="1"/>
  <c r="QRV43" i="1" s="1"/>
  <c r="QRU42" i="1"/>
  <c r="QRU43" i="1" s="1"/>
  <c r="QRT42" i="1"/>
  <c r="QRT43" i="1" s="1"/>
  <c r="QRS42" i="1"/>
  <c r="QRS43" i="1" s="1"/>
  <c r="QRR42" i="1"/>
  <c r="QRR43" i="1" s="1"/>
  <c r="QRQ42" i="1"/>
  <c r="QRQ43" i="1" s="1"/>
  <c r="QRP42" i="1"/>
  <c r="QRP43" i="1" s="1"/>
  <c r="QRO42" i="1"/>
  <c r="QRO43" i="1" s="1"/>
  <c r="QRN42" i="1"/>
  <c r="QRN43" i="1" s="1"/>
  <c r="QRM42" i="1"/>
  <c r="QRM43" i="1" s="1"/>
  <c r="QRL42" i="1"/>
  <c r="QRL43" i="1" s="1"/>
  <c r="QRK42" i="1"/>
  <c r="QRK43" i="1" s="1"/>
  <c r="QRJ42" i="1"/>
  <c r="QRJ43" i="1" s="1"/>
  <c r="QRI42" i="1"/>
  <c r="QRI43" i="1" s="1"/>
  <c r="QRH42" i="1"/>
  <c r="QRH43" i="1" s="1"/>
  <c r="QRG42" i="1"/>
  <c r="QRG43" i="1" s="1"/>
  <c r="QRF42" i="1"/>
  <c r="QRF43" i="1" s="1"/>
  <c r="QRE42" i="1"/>
  <c r="QRE43" i="1" s="1"/>
  <c r="QRD42" i="1"/>
  <c r="QRD43" i="1" s="1"/>
  <c r="QRC42" i="1"/>
  <c r="QRC43" i="1" s="1"/>
  <c r="QRB42" i="1"/>
  <c r="QRB43" i="1" s="1"/>
  <c r="QRA42" i="1"/>
  <c r="QRA43" i="1" s="1"/>
  <c r="QQZ42" i="1"/>
  <c r="QQZ43" i="1" s="1"/>
  <c r="QQY42" i="1"/>
  <c r="QQY43" i="1" s="1"/>
  <c r="QQX42" i="1"/>
  <c r="QQX43" i="1" s="1"/>
  <c r="QQW42" i="1"/>
  <c r="QQW43" i="1" s="1"/>
  <c r="QQV42" i="1"/>
  <c r="QQV43" i="1" s="1"/>
  <c r="QQU42" i="1"/>
  <c r="QQU43" i="1" s="1"/>
  <c r="QQT42" i="1"/>
  <c r="QQT43" i="1" s="1"/>
  <c r="QQS42" i="1"/>
  <c r="QQS43" i="1" s="1"/>
  <c r="QQR42" i="1"/>
  <c r="QQR43" i="1" s="1"/>
  <c r="QQQ42" i="1"/>
  <c r="QQQ43" i="1" s="1"/>
  <c r="QQP42" i="1"/>
  <c r="QQP43" i="1" s="1"/>
  <c r="QQO42" i="1"/>
  <c r="QQO43" i="1" s="1"/>
  <c r="QQN42" i="1"/>
  <c r="QQN43" i="1" s="1"/>
  <c r="QQM42" i="1"/>
  <c r="QQM43" i="1" s="1"/>
  <c r="QQL42" i="1"/>
  <c r="QQL43" i="1" s="1"/>
  <c r="QQK42" i="1"/>
  <c r="QQK43" i="1" s="1"/>
  <c r="QQJ42" i="1"/>
  <c r="QQJ43" i="1" s="1"/>
  <c r="QQI42" i="1"/>
  <c r="QQI43" i="1" s="1"/>
  <c r="QQH42" i="1"/>
  <c r="QQH43" i="1" s="1"/>
  <c r="QQG42" i="1"/>
  <c r="QQG43" i="1" s="1"/>
  <c r="QQF42" i="1"/>
  <c r="QQF43" i="1" s="1"/>
  <c r="QQE42" i="1"/>
  <c r="QQE43" i="1" s="1"/>
  <c r="QQD42" i="1"/>
  <c r="QQD43" i="1" s="1"/>
  <c r="QQC42" i="1"/>
  <c r="QQC43" i="1" s="1"/>
  <c r="QQB42" i="1"/>
  <c r="QQB43" i="1" s="1"/>
  <c r="QQA42" i="1"/>
  <c r="QQA43" i="1" s="1"/>
  <c r="QPZ42" i="1"/>
  <c r="QPZ43" i="1" s="1"/>
  <c r="QPY42" i="1"/>
  <c r="QPY43" i="1" s="1"/>
  <c r="QPX42" i="1"/>
  <c r="QPX43" i="1" s="1"/>
  <c r="QPW42" i="1"/>
  <c r="QPW43" i="1" s="1"/>
  <c r="QPV42" i="1"/>
  <c r="QPV43" i="1" s="1"/>
  <c r="QPU42" i="1"/>
  <c r="QPU43" i="1" s="1"/>
  <c r="QPT42" i="1"/>
  <c r="QPT43" i="1" s="1"/>
  <c r="QPS42" i="1"/>
  <c r="QPS43" i="1" s="1"/>
  <c r="QPR42" i="1"/>
  <c r="QPR43" i="1" s="1"/>
  <c r="QPQ42" i="1"/>
  <c r="QPQ43" i="1" s="1"/>
  <c r="QPP42" i="1"/>
  <c r="QPP43" i="1" s="1"/>
  <c r="QPO42" i="1"/>
  <c r="QPO43" i="1" s="1"/>
  <c r="QPN42" i="1"/>
  <c r="QPN43" i="1" s="1"/>
  <c r="QPM42" i="1"/>
  <c r="QPM43" i="1" s="1"/>
  <c r="QPL42" i="1"/>
  <c r="QPL43" i="1" s="1"/>
  <c r="QPK42" i="1"/>
  <c r="QPK43" i="1" s="1"/>
  <c r="QPJ42" i="1"/>
  <c r="QPJ43" i="1" s="1"/>
  <c r="QPI42" i="1"/>
  <c r="QPI43" i="1" s="1"/>
  <c r="QPH42" i="1"/>
  <c r="QPH43" i="1" s="1"/>
  <c r="QPG42" i="1"/>
  <c r="QPG43" i="1" s="1"/>
  <c r="QPF42" i="1"/>
  <c r="QPF43" i="1" s="1"/>
  <c r="QPE42" i="1"/>
  <c r="QPE43" i="1" s="1"/>
  <c r="QPD42" i="1"/>
  <c r="QPD43" i="1" s="1"/>
  <c r="QPC42" i="1"/>
  <c r="QPC43" i="1" s="1"/>
  <c r="QPB42" i="1"/>
  <c r="QPB43" i="1" s="1"/>
  <c r="QPA42" i="1"/>
  <c r="QPA43" i="1" s="1"/>
  <c r="QOZ42" i="1"/>
  <c r="QOZ43" i="1" s="1"/>
  <c r="QOY42" i="1"/>
  <c r="QOY43" i="1" s="1"/>
  <c r="QOX42" i="1"/>
  <c r="QOX43" i="1" s="1"/>
  <c r="QOW42" i="1"/>
  <c r="QOW43" i="1" s="1"/>
  <c r="QOV42" i="1"/>
  <c r="QOV43" i="1" s="1"/>
  <c r="QOU42" i="1"/>
  <c r="QOU43" i="1" s="1"/>
  <c r="QOT42" i="1"/>
  <c r="QOT43" i="1" s="1"/>
  <c r="QOS42" i="1"/>
  <c r="QOS43" i="1" s="1"/>
  <c r="QOR42" i="1"/>
  <c r="QOR43" i="1" s="1"/>
  <c r="QOQ42" i="1"/>
  <c r="QOQ43" i="1" s="1"/>
  <c r="QOP42" i="1"/>
  <c r="QOP43" i="1" s="1"/>
  <c r="QOO42" i="1"/>
  <c r="QOO43" i="1" s="1"/>
  <c r="QON42" i="1"/>
  <c r="QON43" i="1" s="1"/>
  <c r="QOM42" i="1"/>
  <c r="QOM43" i="1" s="1"/>
  <c r="QOL42" i="1"/>
  <c r="QOL43" i="1" s="1"/>
  <c r="QOK42" i="1"/>
  <c r="QOK43" i="1" s="1"/>
  <c r="QOJ42" i="1"/>
  <c r="QOJ43" i="1" s="1"/>
  <c r="QOI42" i="1"/>
  <c r="QOI43" i="1" s="1"/>
  <c r="QOH42" i="1"/>
  <c r="QOH43" i="1" s="1"/>
  <c r="QOG42" i="1"/>
  <c r="QOG43" i="1" s="1"/>
  <c r="QOF42" i="1"/>
  <c r="QOF43" i="1" s="1"/>
  <c r="QOE42" i="1"/>
  <c r="QOE43" i="1" s="1"/>
  <c r="QOD42" i="1"/>
  <c r="QOD43" i="1" s="1"/>
  <c r="QOC42" i="1"/>
  <c r="QOC43" i="1" s="1"/>
  <c r="QOB42" i="1"/>
  <c r="QOB43" i="1" s="1"/>
  <c r="QOA42" i="1"/>
  <c r="QOA43" i="1" s="1"/>
  <c r="QNZ42" i="1"/>
  <c r="QNZ43" i="1" s="1"/>
  <c r="QNY42" i="1"/>
  <c r="QNY43" i="1" s="1"/>
  <c r="QNX42" i="1"/>
  <c r="QNX43" i="1" s="1"/>
  <c r="QNW42" i="1"/>
  <c r="QNW43" i="1" s="1"/>
  <c r="QNV42" i="1"/>
  <c r="QNV43" i="1" s="1"/>
  <c r="QNU42" i="1"/>
  <c r="QNU43" i="1" s="1"/>
  <c r="QNT42" i="1"/>
  <c r="QNT43" i="1" s="1"/>
  <c r="QNS42" i="1"/>
  <c r="QNS43" i="1" s="1"/>
  <c r="QNR42" i="1"/>
  <c r="QNR43" i="1" s="1"/>
  <c r="QNQ42" i="1"/>
  <c r="QNQ43" i="1" s="1"/>
  <c r="QNP42" i="1"/>
  <c r="QNP43" i="1" s="1"/>
  <c r="QNO42" i="1"/>
  <c r="QNO43" i="1" s="1"/>
  <c r="QNN42" i="1"/>
  <c r="QNN43" i="1" s="1"/>
  <c r="QNM42" i="1"/>
  <c r="QNM43" i="1" s="1"/>
  <c r="QNL42" i="1"/>
  <c r="QNL43" i="1" s="1"/>
  <c r="QNK42" i="1"/>
  <c r="QNK43" i="1" s="1"/>
  <c r="QNJ42" i="1"/>
  <c r="QNJ43" i="1" s="1"/>
  <c r="QNI42" i="1"/>
  <c r="QNI43" i="1" s="1"/>
  <c r="QNH42" i="1"/>
  <c r="QNH43" i="1" s="1"/>
  <c r="QNG42" i="1"/>
  <c r="QNG43" i="1" s="1"/>
  <c r="QNF42" i="1"/>
  <c r="QNF43" i="1" s="1"/>
  <c r="QNE42" i="1"/>
  <c r="QNE43" i="1" s="1"/>
  <c r="QND42" i="1"/>
  <c r="QND43" i="1" s="1"/>
  <c r="QNC42" i="1"/>
  <c r="QNC43" i="1" s="1"/>
  <c r="QNB42" i="1"/>
  <c r="QNB43" i="1" s="1"/>
  <c r="QNA42" i="1"/>
  <c r="QNA43" i="1" s="1"/>
  <c r="QMZ42" i="1"/>
  <c r="QMZ43" i="1" s="1"/>
  <c r="QMY42" i="1"/>
  <c r="QMY43" i="1" s="1"/>
  <c r="QMX42" i="1"/>
  <c r="QMX43" i="1" s="1"/>
  <c r="QMW42" i="1"/>
  <c r="QMW43" i="1" s="1"/>
  <c r="QMV42" i="1"/>
  <c r="QMV43" i="1" s="1"/>
  <c r="QMU42" i="1"/>
  <c r="QMU43" i="1" s="1"/>
  <c r="QMT42" i="1"/>
  <c r="QMT43" i="1" s="1"/>
  <c r="QMS42" i="1"/>
  <c r="QMS43" i="1" s="1"/>
  <c r="QMR42" i="1"/>
  <c r="QMR43" i="1" s="1"/>
  <c r="QMQ42" i="1"/>
  <c r="QMQ43" i="1" s="1"/>
  <c r="QMP42" i="1"/>
  <c r="QMP43" i="1" s="1"/>
  <c r="QMO42" i="1"/>
  <c r="QMO43" i="1" s="1"/>
  <c r="QMN42" i="1"/>
  <c r="QMN43" i="1" s="1"/>
  <c r="QMM42" i="1"/>
  <c r="QMM43" i="1" s="1"/>
  <c r="QML42" i="1"/>
  <c r="QML43" i="1" s="1"/>
  <c r="QMK42" i="1"/>
  <c r="QMK43" i="1" s="1"/>
  <c r="QMJ42" i="1"/>
  <c r="QMJ43" i="1" s="1"/>
  <c r="QMI42" i="1"/>
  <c r="QMI43" i="1" s="1"/>
  <c r="QMH42" i="1"/>
  <c r="QMH43" i="1" s="1"/>
  <c r="QMG42" i="1"/>
  <c r="QMG43" i="1" s="1"/>
  <c r="QMF42" i="1"/>
  <c r="QMF43" i="1" s="1"/>
  <c r="QME42" i="1"/>
  <c r="QME43" i="1" s="1"/>
  <c r="QMD42" i="1"/>
  <c r="QMD43" i="1" s="1"/>
  <c r="QMC42" i="1"/>
  <c r="QMC43" i="1" s="1"/>
  <c r="QMB42" i="1"/>
  <c r="QMB43" i="1" s="1"/>
  <c r="QMA42" i="1"/>
  <c r="QMA43" i="1" s="1"/>
  <c r="QLZ42" i="1"/>
  <c r="QLZ43" i="1" s="1"/>
  <c r="QLY42" i="1"/>
  <c r="QLY43" i="1" s="1"/>
  <c r="QLX42" i="1"/>
  <c r="QLX43" i="1" s="1"/>
  <c r="QLW42" i="1"/>
  <c r="QLW43" i="1" s="1"/>
  <c r="QLV42" i="1"/>
  <c r="QLV43" i="1" s="1"/>
  <c r="QLU42" i="1"/>
  <c r="QLU43" i="1" s="1"/>
  <c r="QLT42" i="1"/>
  <c r="QLT43" i="1" s="1"/>
  <c r="QLS42" i="1"/>
  <c r="QLS43" i="1" s="1"/>
  <c r="QLR42" i="1"/>
  <c r="QLR43" i="1" s="1"/>
  <c r="QLQ42" i="1"/>
  <c r="QLQ43" i="1" s="1"/>
  <c r="QLP42" i="1"/>
  <c r="QLP43" i="1" s="1"/>
  <c r="QLO42" i="1"/>
  <c r="QLO43" i="1" s="1"/>
  <c r="QLN42" i="1"/>
  <c r="QLN43" i="1" s="1"/>
  <c r="QLM42" i="1"/>
  <c r="QLM43" i="1" s="1"/>
  <c r="QLL42" i="1"/>
  <c r="QLL43" i="1" s="1"/>
  <c r="QLK42" i="1"/>
  <c r="QLK43" i="1" s="1"/>
  <c r="QLJ42" i="1"/>
  <c r="QLJ43" i="1" s="1"/>
  <c r="QLI42" i="1"/>
  <c r="QLI43" i="1" s="1"/>
  <c r="QLH42" i="1"/>
  <c r="QLH43" i="1" s="1"/>
  <c r="QLG42" i="1"/>
  <c r="QLG43" i="1" s="1"/>
  <c r="QLF42" i="1"/>
  <c r="QLF43" i="1" s="1"/>
  <c r="QLE42" i="1"/>
  <c r="QLE43" i="1" s="1"/>
  <c r="QLD42" i="1"/>
  <c r="QLD43" i="1" s="1"/>
  <c r="QLC42" i="1"/>
  <c r="QLC43" i="1" s="1"/>
  <c r="QLB42" i="1"/>
  <c r="QLB43" i="1" s="1"/>
  <c r="QLA42" i="1"/>
  <c r="QLA43" i="1" s="1"/>
  <c r="QKZ42" i="1"/>
  <c r="QKZ43" i="1" s="1"/>
  <c r="QKY42" i="1"/>
  <c r="QKY43" i="1" s="1"/>
  <c r="QKX42" i="1"/>
  <c r="QKX43" i="1" s="1"/>
  <c r="QKW42" i="1"/>
  <c r="QKW43" i="1" s="1"/>
  <c r="QKV42" i="1"/>
  <c r="QKV43" i="1" s="1"/>
  <c r="QKU42" i="1"/>
  <c r="QKU43" i="1" s="1"/>
  <c r="QKT42" i="1"/>
  <c r="QKT43" i="1" s="1"/>
  <c r="QKS42" i="1"/>
  <c r="QKS43" i="1" s="1"/>
  <c r="QKR42" i="1"/>
  <c r="QKR43" i="1" s="1"/>
  <c r="QKQ42" i="1"/>
  <c r="QKQ43" i="1" s="1"/>
  <c r="QKP42" i="1"/>
  <c r="QKP43" i="1" s="1"/>
  <c r="QKO42" i="1"/>
  <c r="QKO43" i="1" s="1"/>
  <c r="QKN42" i="1"/>
  <c r="QKN43" i="1" s="1"/>
  <c r="QKM42" i="1"/>
  <c r="QKM43" i="1" s="1"/>
  <c r="QKL42" i="1"/>
  <c r="QKL43" i="1" s="1"/>
  <c r="QKK42" i="1"/>
  <c r="QKK43" i="1" s="1"/>
  <c r="QKJ42" i="1"/>
  <c r="QKJ43" i="1" s="1"/>
  <c r="QKI42" i="1"/>
  <c r="QKI43" i="1" s="1"/>
  <c r="QKH42" i="1"/>
  <c r="QKH43" i="1" s="1"/>
  <c r="QKG42" i="1"/>
  <c r="QKG43" i="1" s="1"/>
  <c r="QKF42" i="1"/>
  <c r="QKF43" i="1" s="1"/>
  <c r="QKE42" i="1"/>
  <c r="QKE43" i="1" s="1"/>
  <c r="QKD42" i="1"/>
  <c r="QKD43" i="1" s="1"/>
  <c r="QKC42" i="1"/>
  <c r="QKC43" i="1" s="1"/>
  <c r="QKB42" i="1"/>
  <c r="QKB43" i="1" s="1"/>
  <c r="QKA42" i="1"/>
  <c r="QKA43" i="1" s="1"/>
  <c r="QJZ42" i="1"/>
  <c r="QJZ43" i="1" s="1"/>
  <c r="QJY42" i="1"/>
  <c r="QJY43" i="1" s="1"/>
  <c r="QJX42" i="1"/>
  <c r="QJX43" i="1" s="1"/>
  <c r="QJW42" i="1"/>
  <c r="QJW43" i="1" s="1"/>
  <c r="QJV42" i="1"/>
  <c r="QJV43" i="1" s="1"/>
  <c r="QJU42" i="1"/>
  <c r="QJU43" i="1" s="1"/>
  <c r="QJT42" i="1"/>
  <c r="QJT43" i="1" s="1"/>
  <c r="QJS42" i="1"/>
  <c r="QJS43" i="1" s="1"/>
  <c r="QJR42" i="1"/>
  <c r="QJR43" i="1" s="1"/>
  <c r="QJQ42" i="1"/>
  <c r="QJQ43" i="1" s="1"/>
  <c r="QJP42" i="1"/>
  <c r="QJP43" i="1" s="1"/>
  <c r="QJO42" i="1"/>
  <c r="QJO43" i="1" s="1"/>
  <c r="QJN42" i="1"/>
  <c r="QJN43" i="1" s="1"/>
  <c r="QJM42" i="1"/>
  <c r="QJM43" i="1" s="1"/>
  <c r="QJL42" i="1"/>
  <c r="QJL43" i="1" s="1"/>
  <c r="QJK42" i="1"/>
  <c r="QJK43" i="1" s="1"/>
  <c r="QJJ42" i="1"/>
  <c r="QJJ43" i="1" s="1"/>
  <c r="QJI42" i="1"/>
  <c r="QJI43" i="1" s="1"/>
  <c r="QJH42" i="1"/>
  <c r="QJH43" i="1" s="1"/>
  <c r="QJG42" i="1"/>
  <c r="QJG43" i="1" s="1"/>
  <c r="QJF42" i="1"/>
  <c r="QJF43" i="1" s="1"/>
  <c r="QJE42" i="1"/>
  <c r="QJE43" i="1" s="1"/>
  <c r="QJD42" i="1"/>
  <c r="QJD43" i="1" s="1"/>
  <c r="QJC42" i="1"/>
  <c r="QJC43" i="1" s="1"/>
  <c r="QJB42" i="1"/>
  <c r="QJB43" i="1" s="1"/>
  <c r="QJA42" i="1"/>
  <c r="QJA43" i="1" s="1"/>
  <c r="QIZ42" i="1"/>
  <c r="QIZ43" i="1" s="1"/>
  <c r="QIY42" i="1"/>
  <c r="QIY43" i="1" s="1"/>
  <c r="QIX42" i="1"/>
  <c r="QIX43" i="1" s="1"/>
  <c r="QIW42" i="1"/>
  <c r="QIW43" i="1" s="1"/>
  <c r="QIV42" i="1"/>
  <c r="QIV43" i="1" s="1"/>
  <c r="QIU42" i="1"/>
  <c r="QIU43" i="1" s="1"/>
  <c r="QIT42" i="1"/>
  <c r="QIT43" i="1" s="1"/>
  <c r="QIS42" i="1"/>
  <c r="QIS43" i="1" s="1"/>
  <c r="QIR42" i="1"/>
  <c r="QIR43" i="1" s="1"/>
  <c r="QIQ42" i="1"/>
  <c r="QIQ43" i="1" s="1"/>
  <c r="QIP42" i="1"/>
  <c r="QIP43" i="1" s="1"/>
  <c r="QIO42" i="1"/>
  <c r="QIO43" i="1" s="1"/>
  <c r="QIN42" i="1"/>
  <c r="QIN43" i="1" s="1"/>
  <c r="QIM42" i="1"/>
  <c r="QIM43" i="1" s="1"/>
  <c r="QIL42" i="1"/>
  <c r="QIL43" i="1" s="1"/>
  <c r="QIK42" i="1"/>
  <c r="QIK43" i="1" s="1"/>
  <c r="QIJ42" i="1"/>
  <c r="QIJ43" i="1" s="1"/>
  <c r="QII42" i="1"/>
  <c r="QII43" i="1" s="1"/>
  <c r="QIH42" i="1"/>
  <c r="QIH43" i="1" s="1"/>
  <c r="QIG42" i="1"/>
  <c r="QIG43" i="1" s="1"/>
  <c r="QIF42" i="1"/>
  <c r="QIF43" i="1" s="1"/>
  <c r="QIE42" i="1"/>
  <c r="QIE43" i="1" s="1"/>
  <c r="QID42" i="1"/>
  <c r="QID43" i="1" s="1"/>
  <c r="QIC42" i="1"/>
  <c r="QIC43" i="1" s="1"/>
  <c r="QIB42" i="1"/>
  <c r="QIB43" i="1" s="1"/>
  <c r="QIA42" i="1"/>
  <c r="QIA43" i="1" s="1"/>
  <c r="QHZ42" i="1"/>
  <c r="QHZ43" i="1" s="1"/>
  <c r="QHY42" i="1"/>
  <c r="QHY43" i="1" s="1"/>
  <c r="QHX42" i="1"/>
  <c r="QHX43" i="1" s="1"/>
  <c r="QHW42" i="1"/>
  <c r="QHW43" i="1" s="1"/>
  <c r="QHV42" i="1"/>
  <c r="QHV43" i="1" s="1"/>
  <c r="QHU42" i="1"/>
  <c r="QHU43" i="1" s="1"/>
  <c r="QHT42" i="1"/>
  <c r="QHT43" i="1" s="1"/>
  <c r="QHS42" i="1"/>
  <c r="QHS43" i="1" s="1"/>
  <c r="QHR42" i="1"/>
  <c r="QHR43" i="1" s="1"/>
  <c r="QHQ42" i="1"/>
  <c r="QHQ43" i="1" s="1"/>
  <c r="QHP42" i="1"/>
  <c r="QHP43" i="1" s="1"/>
  <c r="QHO42" i="1"/>
  <c r="QHO43" i="1" s="1"/>
  <c r="QHN42" i="1"/>
  <c r="QHN43" i="1" s="1"/>
  <c r="QHM42" i="1"/>
  <c r="QHM43" i="1" s="1"/>
  <c r="QHL42" i="1"/>
  <c r="QHL43" i="1" s="1"/>
  <c r="QHK42" i="1"/>
  <c r="QHK43" i="1" s="1"/>
  <c r="QHJ42" i="1"/>
  <c r="QHJ43" i="1" s="1"/>
  <c r="QHI42" i="1"/>
  <c r="QHI43" i="1" s="1"/>
  <c r="QHH42" i="1"/>
  <c r="QHH43" i="1" s="1"/>
  <c r="QHG42" i="1"/>
  <c r="QHG43" i="1" s="1"/>
  <c r="QHF42" i="1"/>
  <c r="QHF43" i="1" s="1"/>
  <c r="QHE42" i="1"/>
  <c r="QHE43" i="1" s="1"/>
  <c r="QHD42" i="1"/>
  <c r="QHD43" i="1" s="1"/>
  <c r="QHC42" i="1"/>
  <c r="QHC43" i="1" s="1"/>
  <c r="QHB42" i="1"/>
  <c r="QHB43" i="1" s="1"/>
  <c r="QHA42" i="1"/>
  <c r="QHA43" i="1" s="1"/>
  <c r="QGZ42" i="1"/>
  <c r="QGZ43" i="1" s="1"/>
  <c r="QGY42" i="1"/>
  <c r="QGY43" i="1" s="1"/>
  <c r="QGX42" i="1"/>
  <c r="QGX43" i="1" s="1"/>
  <c r="QGW42" i="1"/>
  <c r="QGW43" i="1" s="1"/>
  <c r="QGV42" i="1"/>
  <c r="QGV43" i="1" s="1"/>
  <c r="QGU42" i="1"/>
  <c r="QGU43" i="1" s="1"/>
  <c r="QGT42" i="1"/>
  <c r="QGT43" i="1" s="1"/>
  <c r="QGS42" i="1"/>
  <c r="QGS43" i="1" s="1"/>
  <c r="QGR42" i="1"/>
  <c r="QGR43" i="1" s="1"/>
  <c r="QGQ42" i="1"/>
  <c r="QGQ43" i="1" s="1"/>
  <c r="QGP42" i="1"/>
  <c r="QGP43" i="1" s="1"/>
  <c r="QGO42" i="1"/>
  <c r="QGO43" i="1" s="1"/>
  <c r="QGN42" i="1"/>
  <c r="QGN43" i="1" s="1"/>
  <c r="QGM42" i="1"/>
  <c r="QGM43" i="1" s="1"/>
  <c r="QGL42" i="1"/>
  <c r="QGL43" i="1" s="1"/>
  <c r="QGK42" i="1"/>
  <c r="QGK43" i="1" s="1"/>
  <c r="QGJ42" i="1"/>
  <c r="QGJ43" i="1" s="1"/>
  <c r="QGI42" i="1"/>
  <c r="QGI43" i="1" s="1"/>
  <c r="QGH42" i="1"/>
  <c r="QGH43" i="1" s="1"/>
  <c r="QGG42" i="1"/>
  <c r="QGG43" i="1" s="1"/>
  <c r="QGF42" i="1"/>
  <c r="QGF43" i="1" s="1"/>
  <c r="QGE42" i="1"/>
  <c r="QGE43" i="1" s="1"/>
  <c r="QGD42" i="1"/>
  <c r="QGD43" i="1" s="1"/>
  <c r="QGC42" i="1"/>
  <c r="QGC43" i="1" s="1"/>
  <c r="QGB42" i="1"/>
  <c r="QGB43" i="1" s="1"/>
  <c r="QGA42" i="1"/>
  <c r="QGA43" i="1" s="1"/>
  <c r="QFZ42" i="1"/>
  <c r="QFZ43" i="1" s="1"/>
  <c r="QFY42" i="1"/>
  <c r="QFY43" i="1" s="1"/>
  <c r="QFX42" i="1"/>
  <c r="QFX43" i="1" s="1"/>
  <c r="QFW42" i="1"/>
  <c r="QFW43" i="1" s="1"/>
  <c r="QFV42" i="1"/>
  <c r="QFV43" i="1" s="1"/>
  <c r="QFU42" i="1"/>
  <c r="QFU43" i="1" s="1"/>
  <c r="QFT42" i="1"/>
  <c r="QFT43" i="1" s="1"/>
  <c r="QFS42" i="1"/>
  <c r="QFS43" i="1" s="1"/>
  <c r="QFR42" i="1"/>
  <c r="QFR43" i="1" s="1"/>
  <c r="QFQ42" i="1"/>
  <c r="QFQ43" i="1" s="1"/>
  <c r="QFP42" i="1"/>
  <c r="QFP43" i="1" s="1"/>
  <c r="QFO42" i="1"/>
  <c r="QFO43" i="1" s="1"/>
  <c r="QFN42" i="1"/>
  <c r="QFN43" i="1" s="1"/>
  <c r="QFM42" i="1"/>
  <c r="QFM43" i="1" s="1"/>
  <c r="QFL42" i="1"/>
  <c r="QFL43" i="1" s="1"/>
  <c r="QFK42" i="1"/>
  <c r="QFK43" i="1" s="1"/>
  <c r="QFJ42" i="1"/>
  <c r="QFJ43" i="1" s="1"/>
  <c r="QFI42" i="1"/>
  <c r="QFI43" i="1" s="1"/>
  <c r="QFH42" i="1"/>
  <c r="QFH43" i="1" s="1"/>
  <c r="QFG42" i="1"/>
  <c r="QFG43" i="1" s="1"/>
  <c r="QFF42" i="1"/>
  <c r="QFF43" i="1" s="1"/>
  <c r="QFE42" i="1"/>
  <c r="QFE43" i="1" s="1"/>
  <c r="QFD42" i="1"/>
  <c r="QFD43" i="1" s="1"/>
  <c r="QFC42" i="1"/>
  <c r="QFC43" i="1" s="1"/>
  <c r="QFB42" i="1"/>
  <c r="QFB43" i="1" s="1"/>
  <c r="QFA42" i="1"/>
  <c r="QFA43" i="1" s="1"/>
  <c r="QEZ42" i="1"/>
  <c r="QEZ43" i="1" s="1"/>
  <c r="QEY42" i="1"/>
  <c r="QEY43" i="1" s="1"/>
  <c r="QEX42" i="1"/>
  <c r="QEX43" i="1" s="1"/>
  <c r="QEW42" i="1"/>
  <c r="QEW43" i="1" s="1"/>
  <c r="QEV42" i="1"/>
  <c r="QEV43" i="1" s="1"/>
  <c r="QEU42" i="1"/>
  <c r="QEU43" i="1" s="1"/>
  <c r="QET42" i="1"/>
  <c r="QET43" i="1" s="1"/>
  <c r="QES42" i="1"/>
  <c r="QES43" i="1" s="1"/>
  <c r="QER42" i="1"/>
  <c r="QER43" i="1" s="1"/>
  <c r="QEQ42" i="1"/>
  <c r="QEQ43" i="1" s="1"/>
  <c r="QEP42" i="1"/>
  <c r="QEP43" i="1" s="1"/>
  <c r="QEO42" i="1"/>
  <c r="QEO43" i="1" s="1"/>
  <c r="QEN42" i="1"/>
  <c r="QEN43" i="1" s="1"/>
  <c r="QEM42" i="1"/>
  <c r="QEM43" i="1" s="1"/>
  <c r="QEL42" i="1"/>
  <c r="QEL43" i="1" s="1"/>
  <c r="QEK42" i="1"/>
  <c r="QEK43" i="1" s="1"/>
  <c r="QEJ42" i="1"/>
  <c r="QEJ43" i="1" s="1"/>
  <c r="QEI42" i="1"/>
  <c r="QEI43" i="1" s="1"/>
  <c r="QEH42" i="1"/>
  <c r="QEH43" i="1" s="1"/>
  <c r="QEG42" i="1"/>
  <c r="QEG43" i="1" s="1"/>
  <c r="QEF42" i="1"/>
  <c r="QEF43" i="1" s="1"/>
  <c r="QEE42" i="1"/>
  <c r="QEE43" i="1" s="1"/>
  <c r="QED42" i="1"/>
  <c r="QED43" i="1" s="1"/>
  <c r="QEC42" i="1"/>
  <c r="QEC43" i="1" s="1"/>
  <c r="QEB42" i="1"/>
  <c r="QEB43" i="1" s="1"/>
  <c r="QEA42" i="1"/>
  <c r="QEA43" i="1" s="1"/>
  <c r="QDZ42" i="1"/>
  <c r="QDZ43" i="1" s="1"/>
  <c r="QDY42" i="1"/>
  <c r="QDY43" i="1" s="1"/>
  <c r="QDX42" i="1"/>
  <c r="QDX43" i="1" s="1"/>
  <c r="QDW42" i="1"/>
  <c r="QDW43" i="1" s="1"/>
  <c r="QDV42" i="1"/>
  <c r="QDV43" i="1" s="1"/>
  <c r="QDU42" i="1"/>
  <c r="QDU43" i="1" s="1"/>
  <c r="QDT42" i="1"/>
  <c r="QDT43" i="1" s="1"/>
  <c r="QDS42" i="1"/>
  <c r="QDS43" i="1" s="1"/>
  <c r="QDR42" i="1"/>
  <c r="QDR43" i="1" s="1"/>
  <c r="QDQ42" i="1"/>
  <c r="QDQ43" i="1" s="1"/>
  <c r="QDP42" i="1"/>
  <c r="QDP43" i="1" s="1"/>
  <c r="QDO42" i="1"/>
  <c r="QDO43" i="1" s="1"/>
  <c r="QDN42" i="1"/>
  <c r="QDN43" i="1" s="1"/>
  <c r="QDM42" i="1"/>
  <c r="QDM43" i="1" s="1"/>
  <c r="QDL42" i="1"/>
  <c r="QDL43" i="1" s="1"/>
  <c r="QDK42" i="1"/>
  <c r="QDK43" i="1" s="1"/>
  <c r="QDJ42" i="1"/>
  <c r="QDJ43" i="1" s="1"/>
  <c r="QDI42" i="1"/>
  <c r="QDI43" i="1" s="1"/>
  <c r="QDH42" i="1"/>
  <c r="QDH43" i="1" s="1"/>
  <c r="QDG42" i="1"/>
  <c r="QDG43" i="1" s="1"/>
  <c r="QDF42" i="1"/>
  <c r="QDF43" i="1" s="1"/>
  <c r="QDE42" i="1"/>
  <c r="QDE43" i="1" s="1"/>
  <c r="QDD42" i="1"/>
  <c r="QDD43" i="1" s="1"/>
  <c r="QDC42" i="1"/>
  <c r="QDC43" i="1" s="1"/>
  <c r="QDB42" i="1"/>
  <c r="QDB43" i="1" s="1"/>
  <c r="QDA42" i="1"/>
  <c r="QDA43" i="1" s="1"/>
  <c r="QCZ42" i="1"/>
  <c r="QCZ43" i="1" s="1"/>
  <c r="QCY42" i="1"/>
  <c r="QCY43" i="1" s="1"/>
  <c r="QCX42" i="1"/>
  <c r="QCX43" i="1" s="1"/>
  <c r="QCW42" i="1"/>
  <c r="QCW43" i="1" s="1"/>
  <c r="QCV42" i="1"/>
  <c r="QCV43" i="1" s="1"/>
  <c r="QCU42" i="1"/>
  <c r="QCU43" i="1" s="1"/>
  <c r="QCT42" i="1"/>
  <c r="QCT43" i="1" s="1"/>
  <c r="QCS42" i="1"/>
  <c r="QCS43" i="1" s="1"/>
  <c r="QCR42" i="1"/>
  <c r="QCR43" i="1" s="1"/>
  <c r="QCQ42" i="1"/>
  <c r="QCQ43" i="1" s="1"/>
  <c r="QCP42" i="1"/>
  <c r="QCP43" i="1" s="1"/>
  <c r="QCO42" i="1"/>
  <c r="QCO43" i="1" s="1"/>
  <c r="QCN42" i="1"/>
  <c r="QCN43" i="1" s="1"/>
  <c r="QCM42" i="1"/>
  <c r="QCM43" i="1" s="1"/>
  <c r="QCL42" i="1"/>
  <c r="QCL43" i="1" s="1"/>
  <c r="QCK42" i="1"/>
  <c r="QCK43" i="1" s="1"/>
  <c r="QCJ42" i="1"/>
  <c r="QCJ43" i="1" s="1"/>
  <c r="QCI42" i="1"/>
  <c r="QCI43" i="1" s="1"/>
  <c r="QCH42" i="1"/>
  <c r="QCH43" i="1" s="1"/>
  <c r="QCG42" i="1"/>
  <c r="QCG43" i="1" s="1"/>
  <c r="QCF42" i="1"/>
  <c r="QCF43" i="1" s="1"/>
  <c r="QCE42" i="1"/>
  <c r="QCE43" i="1" s="1"/>
  <c r="QCD42" i="1"/>
  <c r="QCD43" i="1" s="1"/>
  <c r="QCC42" i="1"/>
  <c r="QCC43" i="1" s="1"/>
  <c r="QCB42" i="1"/>
  <c r="QCB43" i="1" s="1"/>
  <c r="QCA42" i="1"/>
  <c r="QCA43" i="1" s="1"/>
  <c r="QBZ42" i="1"/>
  <c r="QBZ43" i="1" s="1"/>
  <c r="QBY42" i="1"/>
  <c r="QBY43" i="1" s="1"/>
  <c r="QBX42" i="1"/>
  <c r="QBX43" i="1" s="1"/>
  <c r="QBW42" i="1"/>
  <c r="QBW43" i="1" s="1"/>
  <c r="QBV42" i="1"/>
  <c r="QBV43" i="1" s="1"/>
  <c r="QBU42" i="1"/>
  <c r="QBU43" i="1" s="1"/>
  <c r="QBT42" i="1"/>
  <c r="QBT43" i="1" s="1"/>
  <c r="QBS42" i="1"/>
  <c r="QBS43" i="1" s="1"/>
  <c r="QBR42" i="1"/>
  <c r="QBR43" i="1" s="1"/>
  <c r="QBQ42" i="1"/>
  <c r="QBQ43" i="1" s="1"/>
  <c r="QBP42" i="1"/>
  <c r="QBP43" i="1" s="1"/>
  <c r="QBO42" i="1"/>
  <c r="QBO43" i="1" s="1"/>
  <c r="QBN42" i="1"/>
  <c r="QBN43" i="1" s="1"/>
  <c r="QBM42" i="1"/>
  <c r="QBM43" i="1" s="1"/>
  <c r="QBL42" i="1"/>
  <c r="QBL43" i="1" s="1"/>
  <c r="QBK42" i="1"/>
  <c r="QBK43" i="1" s="1"/>
  <c r="QBJ42" i="1"/>
  <c r="QBJ43" i="1" s="1"/>
  <c r="QBI42" i="1"/>
  <c r="QBI43" i="1" s="1"/>
  <c r="QBH42" i="1"/>
  <c r="QBH43" i="1" s="1"/>
  <c r="QBG42" i="1"/>
  <c r="QBG43" i="1" s="1"/>
  <c r="QBF42" i="1"/>
  <c r="QBF43" i="1" s="1"/>
  <c r="QBE42" i="1"/>
  <c r="QBE43" i="1" s="1"/>
  <c r="QBD42" i="1"/>
  <c r="QBD43" i="1" s="1"/>
  <c r="QBC42" i="1"/>
  <c r="QBC43" i="1" s="1"/>
  <c r="QBB42" i="1"/>
  <c r="QBB43" i="1" s="1"/>
  <c r="QBA42" i="1"/>
  <c r="QBA43" i="1" s="1"/>
  <c r="QAZ42" i="1"/>
  <c r="QAZ43" i="1" s="1"/>
  <c r="QAY42" i="1"/>
  <c r="QAY43" i="1" s="1"/>
  <c r="QAX42" i="1"/>
  <c r="QAX43" i="1" s="1"/>
  <c r="QAW42" i="1"/>
  <c r="QAW43" i="1" s="1"/>
  <c r="QAV42" i="1"/>
  <c r="QAV43" i="1" s="1"/>
  <c r="QAU42" i="1"/>
  <c r="QAU43" i="1" s="1"/>
  <c r="QAT42" i="1"/>
  <c r="QAT43" i="1" s="1"/>
  <c r="QAS42" i="1"/>
  <c r="QAS43" i="1" s="1"/>
  <c r="QAR42" i="1"/>
  <c r="QAR43" i="1" s="1"/>
  <c r="QAQ42" i="1"/>
  <c r="QAQ43" i="1" s="1"/>
  <c r="QAP42" i="1"/>
  <c r="QAP43" i="1" s="1"/>
  <c r="QAO42" i="1"/>
  <c r="QAO43" i="1" s="1"/>
  <c r="QAN42" i="1"/>
  <c r="QAN43" i="1" s="1"/>
  <c r="QAM42" i="1"/>
  <c r="QAM43" i="1" s="1"/>
  <c r="QAL42" i="1"/>
  <c r="QAL43" i="1" s="1"/>
  <c r="QAK42" i="1"/>
  <c r="QAK43" i="1" s="1"/>
  <c r="QAJ42" i="1"/>
  <c r="QAJ43" i="1" s="1"/>
  <c r="QAI42" i="1"/>
  <c r="QAI43" i="1" s="1"/>
  <c r="QAH42" i="1"/>
  <c r="QAH43" i="1" s="1"/>
  <c r="QAG42" i="1"/>
  <c r="QAG43" i="1" s="1"/>
  <c r="QAF42" i="1"/>
  <c r="QAF43" i="1" s="1"/>
  <c r="QAE42" i="1"/>
  <c r="QAE43" i="1" s="1"/>
  <c r="QAD42" i="1"/>
  <c r="QAD43" i="1" s="1"/>
  <c r="QAC42" i="1"/>
  <c r="QAC43" i="1" s="1"/>
  <c r="QAB42" i="1"/>
  <c r="QAB43" i="1" s="1"/>
  <c r="QAA42" i="1"/>
  <c r="QAA43" i="1" s="1"/>
  <c r="PZZ42" i="1"/>
  <c r="PZZ43" i="1" s="1"/>
  <c r="PZY42" i="1"/>
  <c r="PZY43" i="1" s="1"/>
  <c r="PZX42" i="1"/>
  <c r="PZX43" i="1" s="1"/>
  <c r="PZW42" i="1"/>
  <c r="PZW43" i="1" s="1"/>
  <c r="PZV42" i="1"/>
  <c r="PZV43" i="1" s="1"/>
  <c r="PZU42" i="1"/>
  <c r="PZU43" i="1" s="1"/>
  <c r="PZT42" i="1"/>
  <c r="PZT43" i="1" s="1"/>
  <c r="PZS42" i="1"/>
  <c r="PZS43" i="1" s="1"/>
  <c r="PZR42" i="1"/>
  <c r="PZR43" i="1" s="1"/>
  <c r="PZQ42" i="1"/>
  <c r="PZQ43" i="1" s="1"/>
  <c r="PZP42" i="1"/>
  <c r="PZP43" i="1" s="1"/>
  <c r="PZO42" i="1"/>
  <c r="PZO43" i="1" s="1"/>
  <c r="PZN42" i="1"/>
  <c r="PZN43" i="1" s="1"/>
  <c r="PZM42" i="1"/>
  <c r="PZM43" i="1" s="1"/>
  <c r="PZL42" i="1"/>
  <c r="PZL43" i="1" s="1"/>
  <c r="PZK42" i="1"/>
  <c r="PZK43" i="1" s="1"/>
  <c r="PZJ42" i="1"/>
  <c r="PZJ43" i="1" s="1"/>
  <c r="PZI42" i="1"/>
  <c r="PZI43" i="1" s="1"/>
  <c r="PZH42" i="1"/>
  <c r="PZH43" i="1" s="1"/>
  <c r="PZG42" i="1"/>
  <c r="PZG43" i="1" s="1"/>
  <c r="PZF42" i="1"/>
  <c r="PZF43" i="1" s="1"/>
  <c r="PZE42" i="1"/>
  <c r="PZE43" i="1" s="1"/>
  <c r="PZD42" i="1"/>
  <c r="PZD43" i="1" s="1"/>
  <c r="PZC42" i="1"/>
  <c r="PZC43" i="1" s="1"/>
  <c r="PZB42" i="1"/>
  <c r="PZB43" i="1" s="1"/>
  <c r="PZA42" i="1"/>
  <c r="PZA43" i="1" s="1"/>
  <c r="PYZ42" i="1"/>
  <c r="PYZ43" i="1" s="1"/>
  <c r="PYY42" i="1"/>
  <c r="PYY43" i="1" s="1"/>
  <c r="PYX42" i="1"/>
  <c r="PYX43" i="1" s="1"/>
  <c r="PYW42" i="1"/>
  <c r="PYW43" i="1" s="1"/>
  <c r="PYV42" i="1"/>
  <c r="PYV43" i="1" s="1"/>
  <c r="PYU42" i="1"/>
  <c r="PYU43" i="1" s="1"/>
  <c r="PYT42" i="1"/>
  <c r="PYT43" i="1" s="1"/>
  <c r="PYS42" i="1"/>
  <c r="PYS43" i="1" s="1"/>
  <c r="PYR42" i="1"/>
  <c r="PYR43" i="1" s="1"/>
  <c r="PYQ42" i="1"/>
  <c r="PYQ43" i="1" s="1"/>
  <c r="PYP42" i="1"/>
  <c r="PYP43" i="1" s="1"/>
  <c r="PYO42" i="1"/>
  <c r="PYO43" i="1" s="1"/>
  <c r="PYN42" i="1"/>
  <c r="PYN43" i="1" s="1"/>
  <c r="PYM42" i="1"/>
  <c r="PYM43" i="1" s="1"/>
  <c r="PYL42" i="1"/>
  <c r="PYL43" i="1" s="1"/>
  <c r="PYK42" i="1"/>
  <c r="PYK43" i="1" s="1"/>
  <c r="PYJ42" i="1"/>
  <c r="PYJ43" i="1" s="1"/>
  <c r="PYI42" i="1"/>
  <c r="PYI43" i="1" s="1"/>
  <c r="PYH42" i="1"/>
  <c r="PYH43" i="1" s="1"/>
  <c r="PYG42" i="1"/>
  <c r="PYG43" i="1" s="1"/>
  <c r="PYF42" i="1"/>
  <c r="PYF43" i="1" s="1"/>
  <c r="PYE42" i="1"/>
  <c r="PYE43" i="1" s="1"/>
  <c r="PYD42" i="1"/>
  <c r="PYD43" i="1" s="1"/>
  <c r="PYC42" i="1"/>
  <c r="PYC43" i="1" s="1"/>
  <c r="PYB42" i="1"/>
  <c r="PYB43" i="1" s="1"/>
  <c r="PYA42" i="1"/>
  <c r="PYA43" i="1" s="1"/>
  <c r="PXZ42" i="1"/>
  <c r="PXZ43" i="1" s="1"/>
  <c r="PXY42" i="1"/>
  <c r="PXY43" i="1" s="1"/>
  <c r="PXX42" i="1"/>
  <c r="PXX43" i="1" s="1"/>
  <c r="PXW42" i="1"/>
  <c r="PXW43" i="1" s="1"/>
  <c r="PXV42" i="1"/>
  <c r="PXV43" i="1" s="1"/>
  <c r="PXU42" i="1"/>
  <c r="PXU43" i="1" s="1"/>
  <c r="PXT42" i="1"/>
  <c r="PXT43" i="1" s="1"/>
  <c r="PXS42" i="1"/>
  <c r="PXS43" i="1" s="1"/>
  <c r="PXR42" i="1"/>
  <c r="PXR43" i="1" s="1"/>
  <c r="PXQ42" i="1"/>
  <c r="PXQ43" i="1" s="1"/>
  <c r="PXP42" i="1"/>
  <c r="PXP43" i="1" s="1"/>
  <c r="PXO42" i="1"/>
  <c r="PXO43" i="1" s="1"/>
  <c r="PXN42" i="1"/>
  <c r="PXN43" i="1" s="1"/>
  <c r="PXM42" i="1"/>
  <c r="PXM43" i="1" s="1"/>
  <c r="PXL42" i="1"/>
  <c r="PXL43" i="1" s="1"/>
  <c r="PXK42" i="1"/>
  <c r="PXK43" i="1" s="1"/>
  <c r="PXJ42" i="1"/>
  <c r="PXJ43" i="1" s="1"/>
  <c r="PXI42" i="1"/>
  <c r="PXI43" i="1" s="1"/>
  <c r="PXH42" i="1"/>
  <c r="PXH43" i="1" s="1"/>
  <c r="PXG42" i="1"/>
  <c r="PXG43" i="1" s="1"/>
  <c r="PXF42" i="1"/>
  <c r="PXF43" i="1" s="1"/>
  <c r="PXE42" i="1"/>
  <c r="PXE43" i="1" s="1"/>
  <c r="PXD42" i="1"/>
  <c r="PXD43" i="1" s="1"/>
  <c r="PXC42" i="1"/>
  <c r="PXC43" i="1" s="1"/>
  <c r="PXB42" i="1"/>
  <c r="PXB43" i="1" s="1"/>
  <c r="PXA42" i="1"/>
  <c r="PXA43" i="1" s="1"/>
  <c r="PWZ42" i="1"/>
  <c r="PWZ43" i="1" s="1"/>
  <c r="PWY42" i="1"/>
  <c r="PWY43" i="1" s="1"/>
  <c r="PWX42" i="1"/>
  <c r="PWX43" i="1" s="1"/>
  <c r="PWW42" i="1"/>
  <c r="PWW43" i="1" s="1"/>
  <c r="PWV42" i="1"/>
  <c r="PWV43" i="1" s="1"/>
  <c r="PWU42" i="1"/>
  <c r="PWU43" i="1" s="1"/>
  <c r="PWT42" i="1"/>
  <c r="PWT43" i="1" s="1"/>
  <c r="PWS42" i="1"/>
  <c r="PWS43" i="1" s="1"/>
  <c r="PWR42" i="1"/>
  <c r="PWR43" i="1" s="1"/>
  <c r="PWQ42" i="1"/>
  <c r="PWQ43" i="1" s="1"/>
  <c r="PWP42" i="1"/>
  <c r="PWP43" i="1" s="1"/>
  <c r="PWO42" i="1"/>
  <c r="PWO43" i="1" s="1"/>
  <c r="PWN42" i="1"/>
  <c r="PWN43" i="1" s="1"/>
  <c r="PWM42" i="1"/>
  <c r="PWM43" i="1" s="1"/>
  <c r="PWL42" i="1"/>
  <c r="PWL43" i="1" s="1"/>
  <c r="PWK42" i="1"/>
  <c r="PWK43" i="1" s="1"/>
  <c r="PWJ42" i="1"/>
  <c r="PWJ43" i="1" s="1"/>
  <c r="PWI42" i="1"/>
  <c r="PWI43" i="1" s="1"/>
  <c r="PWH42" i="1"/>
  <c r="PWH43" i="1" s="1"/>
  <c r="PWG42" i="1"/>
  <c r="PWG43" i="1" s="1"/>
  <c r="PWF42" i="1"/>
  <c r="PWF43" i="1" s="1"/>
  <c r="PWE42" i="1"/>
  <c r="PWE43" i="1" s="1"/>
  <c r="PWD42" i="1"/>
  <c r="PWD43" i="1" s="1"/>
  <c r="PWC42" i="1"/>
  <c r="PWC43" i="1" s="1"/>
  <c r="PWB42" i="1"/>
  <c r="PWB43" i="1" s="1"/>
  <c r="PWA42" i="1"/>
  <c r="PWA43" i="1" s="1"/>
  <c r="PVZ42" i="1"/>
  <c r="PVZ43" i="1" s="1"/>
  <c r="PVY42" i="1"/>
  <c r="PVY43" i="1" s="1"/>
  <c r="PVX42" i="1"/>
  <c r="PVX43" i="1" s="1"/>
  <c r="PVW42" i="1"/>
  <c r="PVW43" i="1" s="1"/>
  <c r="PVV42" i="1"/>
  <c r="PVV43" i="1" s="1"/>
  <c r="PVU42" i="1"/>
  <c r="PVU43" i="1" s="1"/>
  <c r="PVT42" i="1"/>
  <c r="PVT43" i="1" s="1"/>
  <c r="PVS42" i="1"/>
  <c r="PVS43" i="1" s="1"/>
  <c r="PVR42" i="1"/>
  <c r="PVR43" i="1" s="1"/>
  <c r="PVQ42" i="1"/>
  <c r="PVQ43" i="1" s="1"/>
  <c r="PVP42" i="1"/>
  <c r="PVP43" i="1" s="1"/>
  <c r="PVO42" i="1"/>
  <c r="PVO43" i="1" s="1"/>
  <c r="PVN42" i="1"/>
  <c r="PVN43" i="1" s="1"/>
  <c r="PVM42" i="1"/>
  <c r="PVM43" i="1" s="1"/>
  <c r="PVL42" i="1"/>
  <c r="PVL43" i="1" s="1"/>
  <c r="PVK42" i="1"/>
  <c r="PVK43" i="1" s="1"/>
  <c r="PVJ42" i="1"/>
  <c r="PVJ43" i="1" s="1"/>
  <c r="PVI42" i="1"/>
  <c r="PVI43" i="1" s="1"/>
  <c r="PVH42" i="1"/>
  <c r="PVH43" i="1" s="1"/>
  <c r="PVG42" i="1"/>
  <c r="PVG43" i="1" s="1"/>
  <c r="PVF42" i="1"/>
  <c r="PVF43" i="1" s="1"/>
  <c r="PVE42" i="1"/>
  <c r="PVE43" i="1" s="1"/>
  <c r="PVD42" i="1"/>
  <c r="PVD43" i="1" s="1"/>
  <c r="PVC42" i="1"/>
  <c r="PVC43" i="1" s="1"/>
  <c r="PVB42" i="1"/>
  <c r="PVB43" i="1" s="1"/>
  <c r="PVA42" i="1"/>
  <c r="PVA43" i="1" s="1"/>
  <c r="PUZ42" i="1"/>
  <c r="PUZ43" i="1" s="1"/>
  <c r="PUY42" i="1"/>
  <c r="PUY43" i="1" s="1"/>
  <c r="PUX42" i="1"/>
  <c r="PUX43" i="1" s="1"/>
  <c r="PUW42" i="1"/>
  <c r="PUW43" i="1" s="1"/>
  <c r="PUV42" i="1"/>
  <c r="PUV43" i="1" s="1"/>
  <c r="PUU42" i="1"/>
  <c r="PUU43" i="1" s="1"/>
  <c r="PUT42" i="1"/>
  <c r="PUT43" i="1" s="1"/>
  <c r="PUS42" i="1"/>
  <c r="PUS43" i="1" s="1"/>
  <c r="PUR42" i="1"/>
  <c r="PUR43" i="1" s="1"/>
  <c r="PUQ42" i="1"/>
  <c r="PUQ43" i="1" s="1"/>
  <c r="PUP42" i="1"/>
  <c r="PUP43" i="1" s="1"/>
  <c r="PUO42" i="1"/>
  <c r="PUO43" i="1" s="1"/>
  <c r="PUN42" i="1"/>
  <c r="PUN43" i="1" s="1"/>
  <c r="PUM42" i="1"/>
  <c r="PUM43" i="1" s="1"/>
  <c r="PUL42" i="1"/>
  <c r="PUL43" i="1" s="1"/>
  <c r="PUK42" i="1"/>
  <c r="PUK43" i="1" s="1"/>
  <c r="PUJ42" i="1"/>
  <c r="PUJ43" i="1" s="1"/>
  <c r="PUI42" i="1"/>
  <c r="PUI43" i="1" s="1"/>
  <c r="PUH42" i="1"/>
  <c r="PUH43" i="1" s="1"/>
  <c r="PUG42" i="1"/>
  <c r="PUG43" i="1" s="1"/>
  <c r="PUF42" i="1"/>
  <c r="PUF43" i="1" s="1"/>
  <c r="PUE42" i="1"/>
  <c r="PUE43" i="1" s="1"/>
  <c r="PUD42" i="1"/>
  <c r="PUD43" i="1" s="1"/>
  <c r="PUC42" i="1"/>
  <c r="PUC43" i="1" s="1"/>
  <c r="PUB42" i="1"/>
  <c r="PUB43" i="1" s="1"/>
  <c r="PUA42" i="1"/>
  <c r="PUA43" i="1" s="1"/>
  <c r="PTZ42" i="1"/>
  <c r="PTZ43" i="1" s="1"/>
  <c r="PTY42" i="1"/>
  <c r="PTY43" i="1" s="1"/>
  <c r="PTX42" i="1"/>
  <c r="PTX43" i="1" s="1"/>
  <c r="PTW42" i="1"/>
  <c r="PTW43" i="1" s="1"/>
  <c r="PTV42" i="1"/>
  <c r="PTV43" i="1" s="1"/>
  <c r="PTU42" i="1"/>
  <c r="PTU43" i="1" s="1"/>
  <c r="PTT42" i="1"/>
  <c r="PTT43" i="1" s="1"/>
  <c r="PTS42" i="1"/>
  <c r="PTS43" i="1" s="1"/>
  <c r="PTR42" i="1"/>
  <c r="PTR43" i="1" s="1"/>
  <c r="PTQ42" i="1"/>
  <c r="PTQ43" i="1" s="1"/>
  <c r="PTP42" i="1"/>
  <c r="PTP43" i="1" s="1"/>
  <c r="PTO42" i="1"/>
  <c r="PTO43" i="1" s="1"/>
  <c r="PTN42" i="1"/>
  <c r="PTN43" i="1" s="1"/>
  <c r="PTM42" i="1"/>
  <c r="PTM43" i="1" s="1"/>
  <c r="PTL42" i="1"/>
  <c r="PTL43" i="1" s="1"/>
  <c r="PTK42" i="1"/>
  <c r="PTK43" i="1" s="1"/>
  <c r="PTJ42" i="1"/>
  <c r="PTJ43" i="1" s="1"/>
  <c r="PTI42" i="1"/>
  <c r="PTI43" i="1" s="1"/>
  <c r="PTH42" i="1"/>
  <c r="PTH43" i="1" s="1"/>
  <c r="PTG42" i="1"/>
  <c r="PTG43" i="1" s="1"/>
  <c r="PTF42" i="1"/>
  <c r="PTF43" i="1" s="1"/>
  <c r="PTE42" i="1"/>
  <c r="PTE43" i="1" s="1"/>
  <c r="PTD42" i="1"/>
  <c r="PTD43" i="1" s="1"/>
  <c r="PTC42" i="1"/>
  <c r="PTC43" i="1" s="1"/>
  <c r="PTB42" i="1"/>
  <c r="PTB43" i="1" s="1"/>
  <c r="PTA42" i="1"/>
  <c r="PTA43" i="1" s="1"/>
  <c r="PSZ42" i="1"/>
  <c r="PSZ43" i="1" s="1"/>
  <c r="PSY42" i="1"/>
  <c r="PSY43" i="1" s="1"/>
  <c r="PSX42" i="1"/>
  <c r="PSX43" i="1" s="1"/>
  <c r="PSW42" i="1"/>
  <c r="PSW43" i="1" s="1"/>
  <c r="PSV42" i="1"/>
  <c r="PSV43" i="1" s="1"/>
  <c r="PSU42" i="1"/>
  <c r="PSU43" i="1" s="1"/>
  <c r="PST42" i="1"/>
  <c r="PST43" i="1" s="1"/>
  <c r="PSS42" i="1"/>
  <c r="PSS43" i="1" s="1"/>
  <c r="PSR42" i="1"/>
  <c r="PSR43" i="1" s="1"/>
  <c r="PSQ42" i="1"/>
  <c r="PSQ43" i="1" s="1"/>
  <c r="PSP42" i="1"/>
  <c r="PSP43" i="1" s="1"/>
  <c r="PSO42" i="1"/>
  <c r="PSO43" i="1" s="1"/>
  <c r="PSN42" i="1"/>
  <c r="PSN43" i="1" s="1"/>
  <c r="PSM42" i="1"/>
  <c r="PSM43" i="1" s="1"/>
  <c r="PSL42" i="1"/>
  <c r="PSL43" i="1" s="1"/>
  <c r="PSK42" i="1"/>
  <c r="PSK43" i="1" s="1"/>
  <c r="PSJ42" i="1"/>
  <c r="PSJ43" i="1" s="1"/>
  <c r="PSI42" i="1"/>
  <c r="PSI43" i="1" s="1"/>
  <c r="PSH42" i="1"/>
  <c r="PSH43" i="1" s="1"/>
  <c r="PSG42" i="1"/>
  <c r="PSG43" i="1" s="1"/>
  <c r="PSF42" i="1"/>
  <c r="PSF43" i="1" s="1"/>
  <c r="PSE42" i="1"/>
  <c r="PSE43" i="1" s="1"/>
  <c r="PSD42" i="1"/>
  <c r="PSD43" i="1" s="1"/>
  <c r="PSC42" i="1"/>
  <c r="PSC43" i="1" s="1"/>
  <c r="PSB42" i="1"/>
  <c r="PSB43" i="1" s="1"/>
  <c r="PSA42" i="1"/>
  <c r="PSA43" i="1" s="1"/>
  <c r="PRZ42" i="1"/>
  <c r="PRZ43" i="1" s="1"/>
  <c r="PRY42" i="1"/>
  <c r="PRY43" i="1" s="1"/>
  <c r="PRX42" i="1"/>
  <c r="PRX43" i="1" s="1"/>
  <c r="PRW42" i="1"/>
  <c r="PRW43" i="1" s="1"/>
  <c r="PRV42" i="1"/>
  <c r="PRV43" i="1" s="1"/>
  <c r="PRU42" i="1"/>
  <c r="PRU43" i="1" s="1"/>
  <c r="PRT42" i="1"/>
  <c r="PRT43" i="1" s="1"/>
  <c r="PRS42" i="1"/>
  <c r="PRS43" i="1" s="1"/>
  <c r="PRR42" i="1"/>
  <c r="PRR43" i="1" s="1"/>
  <c r="PRQ42" i="1"/>
  <c r="PRQ43" i="1" s="1"/>
  <c r="PRP42" i="1"/>
  <c r="PRP43" i="1" s="1"/>
  <c r="PRO42" i="1"/>
  <c r="PRO43" i="1" s="1"/>
  <c r="PRN42" i="1"/>
  <c r="PRN43" i="1" s="1"/>
  <c r="PRM42" i="1"/>
  <c r="PRM43" i="1" s="1"/>
  <c r="PRL42" i="1"/>
  <c r="PRL43" i="1" s="1"/>
  <c r="PRK42" i="1"/>
  <c r="PRK43" i="1" s="1"/>
  <c r="PRJ42" i="1"/>
  <c r="PRJ43" i="1" s="1"/>
  <c r="PRI42" i="1"/>
  <c r="PRI43" i="1" s="1"/>
  <c r="PRH42" i="1"/>
  <c r="PRH43" i="1" s="1"/>
  <c r="PRG42" i="1"/>
  <c r="PRG43" i="1" s="1"/>
  <c r="PRF42" i="1"/>
  <c r="PRF43" i="1" s="1"/>
  <c r="PRE42" i="1"/>
  <c r="PRE43" i="1" s="1"/>
  <c r="PRD42" i="1"/>
  <c r="PRD43" i="1" s="1"/>
  <c r="PRC42" i="1"/>
  <c r="PRC43" i="1" s="1"/>
  <c r="PRB42" i="1"/>
  <c r="PRB43" i="1" s="1"/>
  <c r="PRA42" i="1"/>
  <c r="PRA43" i="1" s="1"/>
  <c r="PQZ42" i="1"/>
  <c r="PQZ43" i="1" s="1"/>
  <c r="PQY42" i="1"/>
  <c r="PQY43" i="1" s="1"/>
  <c r="PQX42" i="1"/>
  <c r="PQX43" i="1" s="1"/>
  <c r="PQW42" i="1"/>
  <c r="PQW43" i="1" s="1"/>
  <c r="PQV42" i="1"/>
  <c r="PQV43" i="1" s="1"/>
  <c r="PQU42" i="1"/>
  <c r="PQU43" i="1" s="1"/>
  <c r="PQT42" i="1"/>
  <c r="PQT43" i="1" s="1"/>
  <c r="PQS42" i="1"/>
  <c r="PQS43" i="1" s="1"/>
  <c r="PQR42" i="1"/>
  <c r="PQR43" i="1" s="1"/>
  <c r="PQQ42" i="1"/>
  <c r="PQQ43" i="1" s="1"/>
  <c r="PQP42" i="1"/>
  <c r="PQP43" i="1" s="1"/>
  <c r="PQO42" i="1"/>
  <c r="PQO43" i="1" s="1"/>
  <c r="PQN42" i="1"/>
  <c r="PQN43" i="1" s="1"/>
  <c r="PQM42" i="1"/>
  <c r="PQM43" i="1" s="1"/>
  <c r="PQL42" i="1"/>
  <c r="PQL43" i="1" s="1"/>
  <c r="PQK42" i="1"/>
  <c r="PQK43" i="1" s="1"/>
  <c r="PQJ42" i="1"/>
  <c r="PQJ43" i="1" s="1"/>
  <c r="PQI42" i="1"/>
  <c r="PQI43" i="1" s="1"/>
  <c r="PQH42" i="1"/>
  <c r="PQH43" i="1" s="1"/>
  <c r="PQG42" i="1"/>
  <c r="PQG43" i="1" s="1"/>
  <c r="PQF42" i="1"/>
  <c r="PQF43" i="1" s="1"/>
  <c r="PQE42" i="1"/>
  <c r="PQE43" i="1" s="1"/>
  <c r="PQD42" i="1"/>
  <c r="PQD43" i="1" s="1"/>
  <c r="PQC42" i="1"/>
  <c r="PQC43" i="1" s="1"/>
  <c r="PQB42" i="1"/>
  <c r="PQB43" i="1" s="1"/>
  <c r="PQA42" i="1"/>
  <c r="PQA43" i="1" s="1"/>
  <c r="PPZ42" i="1"/>
  <c r="PPZ43" i="1" s="1"/>
  <c r="PPY42" i="1"/>
  <c r="PPY43" i="1" s="1"/>
  <c r="PPX42" i="1"/>
  <c r="PPX43" i="1" s="1"/>
  <c r="PPW42" i="1"/>
  <c r="PPW43" i="1" s="1"/>
  <c r="PPV42" i="1"/>
  <c r="PPV43" i="1" s="1"/>
  <c r="PPU42" i="1"/>
  <c r="PPU43" i="1" s="1"/>
  <c r="PPT42" i="1"/>
  <c r="PPT43" i="1" s="1"/>
  <c r="PPS42" i="1"/>
  <c r="PPS43" i="1" s="1"/>
  <c r="PPR42" i="1"/>
  <c r="PPR43" i="1" s="1"/>
  <c r="PPQ42" i="1"/>
  <c r="PPQ43" i="1" s="1"/>
  <c r="PPP42" i="1"/>
  <c r="PPP43" i="1" s="1"/>
  <c r="PPO42" i="1"/>
  <c r="PPO43" i="1" s="1"/>
  <c r="PPN42" i="1"/>
  <c r="PPN43" i="1" s="1"/>
  <c r="PPM42" i="1"/>
  <c r="PPM43" i="1" s="1"/>
  <c r="PPL42" i="1"/>
  <c r="PPL43" i="1" s="1"/>
  <c r="PPK42" i="1"/>
  <c r="PPK43" i="1" s="1"/>
  <c r="PPJ42" i="1"/>
  <c r="PPJ43" i="1" s="1"/>
  <c r="PPI42" i="1"/>
  <c r="PPI43" i="1" s="1"/>
  <c r="PPH42" i="1"/>
  <c r="PPH43" i="1" s="1"/>
  <c r="PPG42" i="1"/>
  <c r="PPG43" i="1" s="1"/>
  <c r="PPF42" i="1"/>
  <c r="PPF43" i="1" s="1"/>
  <c r="PPE42" i="1"/>
  <c r="PPE43" i="1" s="1"/>
  <c r="PPD42" i="1"/>
  <c r="PPD43" i="1" s="1"/>
  <c r="PPC42" i="1"/>
  <c r="PPC43" i="1" s="1"/>
  <c r="PPB42" i="1"/>
  <c r="PPB43" i="1" s="1"/>
  <c r="PPA42" i="1"/>
  <c r="PPA43" i="1" s="1"/>
  <c r="POZ42" i="1"/>
  <c r="POZ43" i="1" s="1"/>
  <c r="POY42" i="1"/>
  <c r="POY43" i="1" s="1"/>
  <c r="POX42" i="1"/>
  <c r="POX43" i="1" s="1"/>
  <c r="POW42" i="1"/>
  <c r="POW43" i="1" s="1"/>
  <c r="POV42" i="1"/>
  <c r="POV43" i="1" s="1"/>
  <c r="POU42" i="1"/>
  <c r="POU43" i="1" s="1"/>
  <c r="POT42" i="1"/>
  <c r="POT43" i="1" s="1"/>
  <c r="POS42" i="1"/>
  <c r="POS43" i="1" s="1"/>
  <c r="POR42" i="1"/>
  <c r="POR43" i="1" s="1"/>
  <c r="POQ42" i="1"/>
  <c r="POQ43" i="1" s="1"/>
  <c r="POP42" i="1"/>
  <c r="POP43" i="1" s="1"/>
  <c r="POO42" i="1"/>
  <c r="POO43" i="1" s="1"/>
  <c r="PON42" i="1"/>
  <c r="PON43" i="1" s="1"/>
  <c r="POM42" i="1"/>
  <c r="POM43" i="1" s="1"/>
  <c r="POL42" i="1"/>
  <c r="POL43" i="1" s="1"/>
  <c r="POK42" i="1"/>
  <c r="POK43" i="1" s="1"/>
  <c r="POJ42" i="1"/>
  <c r="POJ43" i="1" s="1"/>
  <c r="POI42" i="1"/>
  <c r="POI43" i="1" s="1"/>
  <c r="POH42" i="1"/>
  <c r="POH43" i="1" s="1"/>
  <c r="POG42" i="1"/>
  <c r="POG43" i="1" s="1"/>
  <c r="POF42" i="1"/>
  <c r="POF43" i="1" s="1"/>
  <c r="POE42" i="1"/>
  <c r="POE43" i="1" s="1"/>
  <c r="POD42" i="1"/>
  <c r="POD43" i="1" s="1"/>
  <c r="POC42" i="1"/>
  <c r="POC43" i="1" s="1"/>
  <c r="POB42" i="1"/>
  <c r="POB43" i="1" s="1"/>
  <c r="POA42" i="1"/>
  <c r="POA43" i="1" s="1"/>
  <c r="PNZ42" i="1"/>
  <c r="PNZ43" i="1" s="1"/>
  <c r="PNY42" i="1"/>
  <c r="PNY43" i="1" s="1"/>
  <c r="PNX42" i="1"/>
  <c r="PNX43" i="1" s="1"/>
  <c r="PNW42" i="1"/>
  <c r="PNW43" i="1" s="1"/>
  <c r="PNV42" i="1"/>
  <c r="PNV43" i="1" s="1"/>
  <c r="PNU42" i="1"/>
  <c r="PNU43" i="1" s="1"/>
  <c r="PNT42" i="1"/>
  <c r="PNT43" i="1" s="1"/>
  <c r="PNS42" i="1"/>
  <c r="PNS43" i="1" s="1"/>
  <c r="PNR42" i="1"/>
  <c r="PNR43" i="1" s="1"/>
  <c r="PNQ42" i="1"/>
  <c r="PNQ43" i="1" s="1"/>
  <c r="PNP42" i="1"/>
  <c r="PNP43" i="1" s="1"/>
  <c r="PNO42" i="1"/>
  <c r="PNO43" i="1" s="1"/>
  <c r="PNN42" i="1"/>
  <c r="PNN43" i="1" s="1"/>
  <c r="PNM42" i="1"/>
  <c r="PNM43" i="1" s="1"/>
  <c r="PNL42" i="1"/>
  <c r="PNL43" i="1" s="1"/>
  <c r="PNK42" i="1"/>
  <c r="PNK43" i="1" s="1"/>
  <c r="PNJ42" i="1"/>
  <c r="PNJ43" i="1" s="1"/>
  <c r="PNI42" i="1"/>
  <c r="PNI43" i="1" s="1"/>
  <c r="PNH42" i="1"/>
  <c r="PNH43" i="1" s="1"/>
  <c r="PNG42" i="1"/>
  <c r="PNG43" i="1" s="1"/>
  <c r="PNF42" i="1"/>
  <c r="PNF43" i="1" s="1"/>
  <c r="PNE42" i="1"/>
  <c r="PNE43" i="1" s="1"/>
  <c r="PND42" i="1"/>
  <c r="PND43" i="1" s="1"/>
  <c r="PNC42" i="1"/>
  <c r="PNC43" i="1" s="1"/>
  <c r="PNB42" i="1"/>
  <c r="PNB43" i="1" s="1"/>
  <c r="PNA42" i="1"/>
  <c r="PNA43" i="1" s="1"/>
  <c r="PMZ42" i="1"/>
  <c r="PMZ43" i="1" s="1"/>
  <c r="PMY42" i="1"/>
  <c r="PMY43" i="1" s="1"/>
  <c r="PMX42" i="1"/>
  <c r="PMX43" i="1" s="1"/>
  <c r="PMW42" i="1"/>
  <c r="PMW43" i="1" s="1"/>
  <c r="PMV42" i="1"/>
  <c r="PMV43" i="1" s="1"/>
  <c r="PMU42" i="1"/>
  <c r="PMU43" i="1" s="1"/>
  <c r="PMT42" i="1"/>
  <c r="PMT43" i="1" s="1"/>
  <c r="PMS42" i="1"/>
  <c r="PMS43" i="1" s="1"/>
  <c r="PMR42" i="1"/>
  <c r="PMR43" i="1" s="1"/>
  <c r="PMQ42" i="1"/>
  <c r="PMQ43" i="1" s="1"/>
  <c r="PMP42" i="1"/>
  <c r="PMP43" i="1" s="1"/>
  <c r="PMO42" i="1"/>
  <c r="PMO43" i="1" s="1"/>
  <c r="PMN42" i="1"/>
  <c r="PMN43" i="1" s="1"/>
  <c r="PMM42" i="1"/>
  <c r="PMM43" i="1" s="1"/>
  <c r="PML42" i="1"/>
  <c r="PML43" i="1" s="1"/>
  <c r="PMK42" i="1"/>
  <c r="PMK43" i="1" s="1"/>
  <c r="PMJ42" i="1"/>
  <c r="PMJ43" i="1" s="1"/>
  <c r="PMI42" i="1"/>
  <c r="PMI43" i="1" s="1"/>
  <c r="PMH42" i="1"/>
  <c r="PMH43" i="1" s="1"/>
  <c r="PMG42" i="1"/>
  <c r="PMG43" i="1" s="1"/>
  <c r="PMF42" i="1"/>
  <c r="PMF43" i="1" s="1"/>
  <c r="PME42" i="1"/>
  <c r="PME43" i="1" s="1"/>
  <c r="PMD42" i="1"/>
  <c r="PMD43" i="1" s="1"/>
  <c r="PMC42" i="1"/>
  <c r="PMC43" i="1" s="1"/>
  <c r="PMB42" i="1"/>
  <c r="PMB43" i="1" s="1"/>
  <c r="PMA42" i="1"/>
  <c r="PMA43" i="1" s="1"/>
  <c r="PLZ42" i="1"/>
  <c r="PLZ43" i="1" s="1"/>
  <c r="PLY42" i="1"/>
  <c r="PLY43" i="1" s="1"/>
  <c r="PLX42" i="1"/>
  <c r="PLX43" i="1" s="1"/>
  <c r="PLW42" i="1"/>
  <c r="PLW43" i="1" s="1"/>
  <c r="PLV42" i="1"/>
  <c r="PLV43" i="1" s="1"/>
  <c r="PLU42" i="1"/>
  <c r="PLU43" i="1" s="1"/>
  <c r="PLT42" i="1"/>
  <c r="PLT43" i="1" s="1"/>
  <c r="PLS42" i="1"/>
  <c r="PLS43" i="1" s="1"/>
  <c r="PLR42" i="1"/>
  <c r="PLR43" i="1" s="1"/>
  <c r="PLQ42" i="1"/>
  <c r="PLQ43" i="1" s="1"/>
  <c r="PLP42" i="1"/>
  <c r="PLP43" i="1" s="1"/>
  <c r="PLO42" i="1"/>
  <c r="PLO43" i="1" s="1"/>
  <c r="PLN42" i="1"/>
  <c r="PLN43" i="1" s="1"/>
  <c r="PLM42" i="1"/>
  <c r="PLM43" i="1" s="1"/>
  <c r="PLL42" i="1"/>
  <c r="PLL43" i="1" s="1"/>
  <c r="PLK42" i="1"/>
  <c r="PLK43" i="1" s="1"/>
  <c r="PLJ42" i="1"/>
  <c r="PLJ43" i="1" s="1"/>
  <c r="PLI42" i="1"/>
  <c r="PLI43" i="1" s="1"/>
  <c r="PLH42" i="1"/>
  <c r="PLH43" i="1" s="1"/>
  <c r="PLG42" i="1"/>
  <c r="PLG43" i="1" s="1"/>
  <c r="PLF42" i="1"/>
  <c r="PLF43" i="1" s="1"/>
  <c r="PLE42" i="1"/>
  <c r="PLE43" i="1" s="1"/>
  <c r="PLD42" i="1"/>
  <c r="PLD43" i="1" s="1"/>
  <c r="PLC42" i="1"/>
  <c r="PLC43" i="1" s="1"/>
  <c r="PLB42" i="1"/>
  <c r="PLB43" i="1" s="1"/>
  <c r="PLA42" i="1"/>
  <c r="PLA43" i="1" s="1"/>
  <c r="PKZ42" i="1"/>
  <c r="PKZ43" i="1" s="1"/>
  <c r="PKY42" i="1"/>
  <c r="PKY43" i="1" s="1"/>
  <c r="PKX42" i="1"/>
  <c r="PKX43" i="1" s="1"/>
  <c r="PKW42" i="1"/>
  <c r="PKW43" i="1" s="1"/>
  <c r="PKV42" i="1"/>
  <c r="PKV43" i="1" s="1"/>
  <c r="PKU42" i="1"/>
  <c r="PKU43" i="1" s="1"/>
  <c r="PKT42" i="1"/>
  <c r="PKT43" i="1" s="1"/>
  <c r="PKS42" i="1"/>
  <c r="PKS43" i="1" s="1"/>
  <c r="PKR42" i="1"/>
  <c r="PKR43" i="1" s="1"/>
  <c r="PKQ42" i="1"/>
  <c r="PKQ43" i="1" s="1"/>
  <c r="PKP42" i="1"/>
  <c r="PKP43" i="1" s="1"/>
  <c r="PKO42" i="1"/>
  <c r="PKO43" i="1" s="1"/>
  <c r="PKN42" i="1"/>
  <c r="PKN43" i="1" s="1"/>
  <c r="PKM42" i="1"/>
  <c r="PKM43" i="1" s="1"/>
  <c r="PKL42" i="1"/>
  <c r="PKL43" i="1" s="1"/>
  <c r="PKK42" i="1"/>
  <c r="PKK43" i="1" s="1"/>
  <c r="PKJ42" i="1"/>
  <c r="PKJ43" i="1" s="1"/>
  <c r="PKI42" i="1"/>
  <c r="PKI43" i="1" s="1"/>
  <c r="PKH42" i="1"/>
  <c r="PKH43" i="1" s="1"/>
  <c r="PKG42" i="1"/>
  <c r="PKG43" i="1" s="1"/>
  <c r="PKF42" i="1"/>
  <c r="PKF43" i="1" s="1"/>
  <c r="PKE42" i="1"/>
  <c r="PKE43" i="1" s="1"/>
  <c r="PKD42" i="1"/>
  <c r="PKD43" i="1" s="1"/>
  <c r="PKC42" i="1"/>
  <c r="PKC43" i="1" s="1"/>
  <c r="PKB42" i="1"/>
  <c r="PKB43" i="1" s="1"/>
  <c r="PKA42" i="1"/>
  <c r="PKA43" i="1" s="1"/>
  <c r="PJZ42" i="1"/>
  <c r="PJZ43" i="1" s="1"/>
  <c r="PJY42" i="1"/>
  <c r="PJY43" i="1" s="1"/>
  <c r="PJX42" i="1"/>
  <c r="PJX43" i="1" s="1"/>
  <c r="PJW42" i="1"/>
  <c r="PJW43" i="1" s="1"/>
  <c r="PJV42" i="1"/>
  <c r="PJV43" i="1" s="1"/>
  <c r="PJU42" i="1"/>
  <c r="PJU43" i="1" s="1"/>
  <c r="PJT42" i="1"/>
  <c r="PJT43" i="1" s="1"/>
  <c r="PJS42" i="1"/>
  <c r="PJS43" i="1" s="1"/>
  <c r="PJR42" i="1"/>
  <c r="PJR43" i="1" s="1"/>
  <c r="PJQ42" i="1"/>
  <c r="PJQ43" i="1" s="1"/>
  <c r="PJP42" i="1"/>
  <c r="PJP43" i="1" s="1"/>
  <c r="PJO42" i="1"/>
  <c r="PJO43" i="1" s="1"/>
  <c r="PJN42" i="1"/>
  <c r="PJN43" i="1" s="1"/>
  <c r="PJM42" i="1"/>
  <c r="PJM43" i="1" s="1"/>
  <c r="PJL42" i="1"/>
  <c r="PJL43" i="1" s="1"/>
  <c r="PJK42" i="1"/>
  <c r="PJK43" i="1" s="1"/>
  <c r="PJJ42" i="1"/>
  <c r="PJJ43" i="1" s="1"/>
  <c r="PJI42" i="1"/>
  <c r="PJI43" i="1" s="1"/>
  <c r="PJH42" i="1"/>
  <c r="PJH43" i="1" s="1"/>
  <c r="PJG42" i="1"/>
  <c r="PJG43" i="1" s="1"/>
  <c r="PJF42" i="1"/>
  <c r="PJF43" i="1" s="1"/>
  <c r="PJE42" i="1"/>
  <c r="PJE43" i="1" s="1"/>
  <c r="PJD42" i="1"/>
  <c r="PJD43" i="1" s="1"/>
  <c r="PJC42" i="1"/>
  <c r="PJC43" i="1" s="1"/>
  <c r="PJB42" i="1"/>
  <c r="PJB43" i="1" s="1"/>
  <c r="PJA42" i="1"/>
  <c r="PJA43" i="1" s="1"/>
  <c r="PIZ42" i="1"/>
  <c r="PIZ43" i="1" s="1"/>
  <c r="PIY42" i="1"/>
  <c r="PIY43" i="1" s="1"/>
  <c r="PIX42" i="1"/>
  <c r="PIX43" i="1" s="1"/>
  <c r="PIW42" i="1"/>
  <c r="PIW43" i="1" s="1"/>
  <c r="PIV42" i="1"/>
  <c r="PIV43" i="1" s="1"/>
  <c r="PIU42" i="1"/>
  <c r="PIU43" i="1" s="1"/>
  <c r="PIT42" i="1"/>
  <c r="PIT43" i="1" s="1"/>
  <c r="PIS42" i="1"/>
  <c r="PIS43" i="1" s="1"/>
  <c r="PIR42" i="1"/>
  <c r="PIR43" i="1" s="1"/>
  <c r="PIQ42" i="1"/>
  <c r="PIQ43" i="1" s="1"/>
  <c r="PIP42" i="1"/>
  <c r="PIP43" i="1" s="1"/>
  <c r="PIO42" i="1"/>
  <c r="PIO43" i="1" s="1"/>
  <c r="PIN42" i="1"/>
  <c r="PIN43" i="1" s="1"/>
  <c r="PIM42" i="1"/>
  <c r="PIM43" i="1" s="1"/>
  <c r="PIL42" i="1"/>
  <c r="PIL43" i="1" s="1"/>
  <c r="PIK42" i="1"/>
  <c r="PIK43" i="1" s="1"/>
  <c r="PIJ42" i="1"/>
  <c r="PIJ43" i="1" s="1"/>
  <c r="PII42" i="1"/>
  <c r="PII43" i="1" s="1"/>
  <c r="PIH42" i="1"/>
  <c r="PIH43" i="1" s="1"/>
  <c r="PIG42" i="1"/>
  <c r="PIG43" i="1" s="1"/>
  <c r="PIF42" i="1"/>
  <c r="PIF43" i="1" s="1"/>
  <c r="PIE42" i="1"/>
  <c r="PIE43" i="1" s="1"/>
  <c r="PID42" i="1"/>
  <c r="PID43" i="1" s="1"/>
  <c r="PIC42" i="1"/>
  <c r="PIC43" i="1" s="1"/>
  <c r="PIB42" i="1"/>
  <c r="PIB43" i="1" s="1"/>
  <c r="PIA42" i="1"/>
  <c r="PIA43" i="1" s="1"/>
  <c r="PHZ42" i="1"/>
  <c r="PHZ43" i="1" s="1"/>
  <c r="PHY42" i="1"/>
  <c r="PHY43" i="1" s="1"/>
  <c r="PHX42" i="1"/>
  <c r="PHX43" i="1" s="1"/>
  <c r="PHW42" i="1"/>
  <c r="PHW43" i="1" s="1"/>
  <c r="PHV42" i="1"/>
  <c r="PHV43" i="1" s="1"/>
  <c r="PHU42" i="1"/>
  <c r="PHU43" i="1" s="1"/>
  <c r="PHT42" i="1"/>
  <c r="PHT43" i="1" s="1"/>
  <c r="PHS42" i="1"/>
  <c r="PHS43" i="1" s="1"/>
  <c r="PHR42" i="1"/>
  <c r="PHR43" i="1" s="1"/>
  <c r="PHQ42" i="1"/>
  <c r="PHQ43" i="1" s="1"/>
  <c r="PHP42" i="1"/>
  <c r="PHP43" i="1" s="1"/>
  <c r="PHO42" i="1"/>
  <c r="PHO43" i="1" s="1"/>
  <c r="PHN42" i="1"/>
  <c r="PHN43" i="1" s="1"/>
  <c r="PHM42" i="1"/>
  <c r="PHM43" i="1" s="1"/>
  <c r="PHL42" i="1"/>
  <c r="PHL43" i="1" s="1"/>
  <c r="PHK42" i="1"/>
  <c r="PHK43" i="1" s="1"/>
  <c r="PHJ42" i="1"/>
  <c r="PHJ43" i="1" s="1"/>
  <c r="PHI42" i="1"/>
  <c r="PHI43" i="1" s="1"/>
  <c r="PHH42" i="1"/>
  <c r="PHH43" i="1" s="1"/>
  <c r="PHG42" i="1"/>
  <c r="PHG43" i="1" s="1"/>
  <c r="PHF42" i="1"/>
  <c r="PHF43" i="1" s="1"/>
  <c r="PHE42" i="1"/>
  <c r="PHE43" i="1" s="1"/>
  <c r="PHD42" i="1"/>
  <c r="PHD43" i="1" s="1"/>
  <c r="PHC42" i="1"/>
  <c r="PHC43" i="1" s="1"/>
  <c r="PHB42" i="1"/>
  <c r="PHB43" i="1" s="1"/>
  <c r="PHA42" i="1"/>
  <c r="PHA43" i="1" s="1"/>
  <c r="PGZ42" i="1"/>
  <c r="PGZ43" i="1" s="1"/>
  <c r="PGY42" i="1"/>
  <c r="PGY43" i="1" s="1"/>
  <c r="PGX42" i="1"/>
  <c r="PGX43" i="1" s="1"/>
  <c r="PGW42" i="1"/>
  <c r="PGW43" i="1" s="1"/>
  <c r="PGV42" i="1"/>
  <c r="PGV43" i="1" s="1"/>
  <c r="PGU42" i="1"/>
  <c r="PGU43" i="1" s="1"/>
  <c r="PGT42" i="1"/>
  <c r="PGT43" i="1" s="1"/>
  <c r="PGS42" i="1"/>
  <c r="PGS43" i="1" s="1"/>
  <c r="PGR42" i="1"/>
  <c r="PGR43" i="1" s="1"/>
  <c r="PGQ42" i="1"/>
  <c r="PGQ43" i="1" s="1"/>
  <c r="PGP42" i="1"/>
  <c r="PGP43" i="1" s="1"/>
  <c r="PGO42" i="1"/>
  <c r="PGO43" i="1" s="1"/>
  <c r="PGN42" i="1"/>
  <c r="PGN43" i="1" s="1"/>
  <c r="PGM42" i="1"/>
  <c r="PGM43" i="1" s="1"/>
  <c r="PGL42" i="1"/>
  <c r="PGL43" i="1" s="1"/>
  <c r="PGK42" i="1"/>
  <c r="PGK43" i="1" s="1"/>
  <c r="PGJ42" i="1"/>
  <c r="PGJ43" i="1" s="1"/>
  <c r="PGI42" i="1"/>
  <c r="PGI43" i="1" s="1"/>
  <c r="PGH42" i="1"/>
  <c r="PGH43" i="1" s="1"/>
  <c r="PGG42" i="1"/>
  <c r="PGG43" i="1" s="1"/>
  <c r="PGF42" i="1"/>
  <c r="PGF43" i="1" s="1"/>
  <c r="PGE42" i="1"/>
  <c r="PGE43" i="1" s="1"/>
  <c r="PGD42" i="1"/>
  <c r="PGD43" i="1" s="1"/>
  <c r="PGC42" i="1"/>
  <c r="PGC43" i="1" s="1"/>
  <c r="PGB42" i="1"/>
  <c r="PGB43" i="1" s="1"/>
  <c r="PGA42" i="1"/>
  <c r="PGA43" i="1" s="1"/>
  <c r="PFZ42" i="1"/>
  <c r="PFZ43" i="1" s="1"/>
  <c r="PFY42" i="1"/>
  <c r="PFY43" i="1" s="1"/>
  <c r="PFX42" i="1"/>
  <c r="PFX43" i="1" s="1"/>
  <c r="PFW42" i="1"/>
  <c r="PFW43" i="1" s="1"/>
  <c r="PFV42" i="1"/>
  <c r="PFV43" i="1" s="1"/>
  <c r="PFU42" i="1"/>
  <c r="PFU43" i="1" s="1"/>
  <c r="PFT42" i="1"/>
  <c r="PFT43" i="1" s="1"/>
  <c r="PFS42" i="1"/>
  <c r="PFS43" i="1" s="1"/>
  <c r="PFR42" i="1"/>
  <c r="PFR43" i="1" s="1"/>
  <c r="PFQ42" i="1"/>
  <c r="PFQ43" i="1" s="1"/>
  <c r="PFP42" i="1"/>
  <c r="PFP43" i="1" s="1"/>
  <c r="PFO42" i="1"/>
  <c r="PFO43" i="1" s="1"/>
  <c r="PFN42" i="1"/>
  <c r="PFN43" i="1" s="1"/>
  <c r="PFM42" i="1"/>
  <c r="PFM43" i="1" s="1"/>
  <c r="PFL42" i="1"/>
  <c r="PFL43" i="1" s="1"/>
  <c r="PFK42" i="1"/>
  <c r="PFK43" i="1" s="1"/>
  <c r="PFJ42" i="1"/>
  <c r="PFJ43" i="1" s="1"/>
  <c r="PFI42" i="1"/>
  <c r="PFI43" i="1" s="1"/>
  <c r="PFH42" i="1"/>
  <c r="PFH43" i="1" s="1"/>
  <c r="PFG42" i="1"/>
  <c r="PFG43" i="1" s="1"/>
  <c r="PFF42" i="1"/>
  <c r="PFF43" i="1" s="1"/>
  <c r="PFE42" i="1"/>
  <c r="PFE43" i="1" s="1"/>
  <c r="PFD42" i="1"/>
  <c r="PFD43" i="1" s="1"/>
  <c r="PFC42" i="1"/>
  <c r="PFC43" i="1" s="1"/>
  <c r="PFB42" i="1"/>
  <c r="PFB43" i="1" s="1"/>
  <c r="PFA42" i="1"/>
  <c r="PFA43" i="1" s="1"/>
  <c r="PEZ42" i="1"/>
  <c r="PEZ43" i="1" s="1"/>
  <c r="PEY42" i="1"/>
  <c r="PEY43" i="1" s="1"/>
  <c r="PEX42" i="1"/>
  <c r="PEX43" i="1" s="1"/>
  <c r="PEW42" i="1"/>
  <c r="PEW43" i="1" s="1"/>
  <c r="PEV42" i="1"/>
  <c r="PEV43" i="1" s="1"/>
  <c r="PEU42" i="1"/>
  <c r="PEU43" i="1" s="1"/>
  <c r="PET42" i="1"/>
  <c r="PET43" i="1" s="1"/>
  <c r="PES42" i="1"/>
  <c r="PES43" i="1" s="1"/>
  <c r="PER42" i="1"/>
  <c r="PER43" i="1" s="1"/>
  <c r="PEQ42" i="1"/>
  <c r="PEQ43" i="1" s="1"/>
  <c r="PEP42" i="1"/>
  <c r="PEP43" i="1" s="1"/>
  <c r="PEO42" i="1"/>
  <c r="PEO43" i="1" s="1"/>
  <c r="PEN42" i="1"/>
  <c r="PEN43" i="1" s="1"/>
  <c r="PEM42" i="1"/>
  <c r="PEM43" i="1" s="1"/>
  <c r="PEL42" i="1"/>
  <c r="PEL43" i="1" s="1"/>
  <c r="PEK42" i="1"/>
  <c r="PEK43" i="1" s="1"/>
  <c r="PEJ42" i="1"/>
  <c r="PEJ43" i="1" s="1"/>
  <c r="PEI42" i="1"/>
  <c r="PEI43" i="1" s="1"/>
  <c r="PEH42" i="1"/>
  <c r="PEH43" i="1" s="1"/>
  <c r="PEG42" i="1"/>
  <c r="PEG43" i="1" s="1"/>
  <c r="PEF42" i="1"/>
  <c r="PEF43" i="1" s="1"/>
  <c r="PEE42" i="1"/>
  <c r="PEE43" i="1" s="1"/>
  <c r="PED42" i="1"/>
  <c r="PED43" i="1" s="1"/>
  <c r="PEC42" i="1"/>
  <c r="PEC43" i="1" s="1"/>
  <c r="PEB42" i="1"/>
  <c r="PEB43" i="1" s="1"/>
  <c r="PEA42" i="1"/>
  <c r="PEA43" i="1" s="1"/>
  <c r="PDZ42" i="1"/>
  <c r="PDZ43" i="1" s="1"/>
  <c r="PDY42" i="1"/>
  <c r="PDY43" i="1" s="1"/>
  <c r="PDX42" i="1"/>
  <c r="PDX43" i="1" s="1"/>
  <c r="PDW42" i="1"/>
  <c r="PDW43" i="1" s="1"/>
  <c r="PDV42" i="1"/>
  <c r="PDV43" i="1" s="1"/>
  <c r="PDU42" i="1"/>
  <c r="PDU43" i="1" s="1"/>
  <c r="PDT42" i="1"/>
  <c r="PDT43" i="1" s="1"/>
  <c r="PDS42" i="1"/>
  <c r="PDS43" i="1" s="1"/>
  <c r="PDR42" i="1"/>
  <c r="PDR43" i="1" s="1"/>
  <c r="PDQ42" i="1"/>
  <c r="PDQ43" i="1" s="1"/>
  <c r="PDP42" i="1"/>
  <c r="PDP43" i="1" s="1"/>
  <c r="PDO42" i="1"/>
  <c r="PDO43" i="1" s="1"/>
  <c r="PDN42" i="1"/>
  <c r="PDN43" i="1" s="1"/>
  <c r="PDM42" i="1"/>
  <c r="PDM43" i="1" s="1"/>
  <c r="PDL42" i="1"/>
  <c r="PDL43" i="1" s="1"/>
  <c r="PDK42" i="1"/>
  <c r="PDK43" i="1" s="1"/>
  <c r="PDJ42" i="1"/>
  <c r="PDJ43" i="1" s="1"/>
  <c r="PDI42" i="1"/>
  <c r="PDI43" i="1" s="1"/>
  <c r="PDH42" i="1"/>
  <c r="PDH43" i="1" s="1"/>
  <c r="PDG42" i="1"/>
  <c r="PDG43" i="1" s="1"/>
  <c r="PDF42" i="1"/>
  <c r="PDF43" i="1" s="1"/>
  <c r="PDE42" i="1"/>
  <c r="PDE43" i="1" s="1"/>
  <c r="PDD42" i="1"/>
  <c r="PDD43" i="1" s="1"/>
  <c r="PDC42" i="1"/>
  <c r="PDC43" i="1" s="1"/>
  <c r="PDB42" i="1"/>
  <c r="PDB43" i="1" s="1"/>
  <c r="PDA42" i="1"/>
  <c r="PDA43" i="1" s="1"/>
  <c r="PCZ42" i="1"/>
  <c r="PCZ43" i="1" s="1"/>
  <c r="PCY42" i="1"/>
  <c r="PCY43" i="1" s="1"/>
  <c r="PCX42" i="1"/>
  <c r="PCX43" i="1" s="1"/>
  <c r="PCW42" i="1"/>
  <c r="PCW43" i="1" s="1"/>
  <c r="PCV42" i="1"/>
  <c r="PCV43" i="1" s="1"/>
  <c r="PCU42" i="1"/>
  <c r="PCU43" i="1" s="1"/>
  <c r="PCT42" i="1"/>
  <c r="PCT43" i="1" s="1"/>
  <c r="PCS42" i="1"/>
  <c r="PCS43" i="1" s="1"/>
  <c r="PCR42" i="1"/>
  <c r="PCR43" i="1" s="1"/>
  <c r="PCQ42" i="1"/>
  <c r="PCQ43" i="1" s="1"/>
  <c r="PCP42" i="1"/>
  <c r="PCP43" i="1" s="1"/>
  <c r="PCO42" i="1"/>
  <c r="PCO43" i="1" s="1"/>
  <c r="PCN42" i="1"/>
  <c r="PCN43" i="1" s="1"/>
  <c r="PCM42" i="1"/>
  <c r="PCM43" i="1" s="1"/>
  <c r="PCL42" i="1"/>
  <c r="PCL43" i="1" s="1"/>
  <c r="PCK42" i="1"/>
  <c r="PCK43" i="1" s="1"/>
  <c r="PCJ42" i="1"/>
  <c r="PCJ43" i="1" s="1"/>
  <c r="PCI42" i="1"/>
  <c r="PCI43" i="1" s="1"/>
  <c r="PCH42" i="1"/>
  <c r="PCH43" i="1" s="1"/>
  <c r="PCG42" i="1"/>
  <c r="PCG43" i="1" s="1"/>
  <c r="PCF42" i="1"/>
  <c r="PCF43" i="1" s="1"/>
  <c r="PCE42" i="1"/>
  <c r="PCE43" i="1" s="1"/>
  <c r="PCD42" i="1"/>
  <c r="PCD43" i="1" s="1"/>
  <c r="PCC42" i="1"/>
  <c r="PCC43" i="1" s="1"/>
  <c r="PCB42" i="1"/>
  <c r="PCB43" i="1" s="1"/>
  <c r="PCA42" i="1"/>
  <c r="PCA43" i="1" s="1"/>
  <c r="PBZ42" i="1"/>
  <c r="PBZ43" i="1" s="1"/>
  <c r="PBY42" i="1"/>
  <c r="PBY43" i="1" s="1"/>
  <c r="PBX42" i="1"/>
  <c r="PBX43" i="1" s="1"/>
  <c r="PBW42" i="1"/>
  <c r="PBW43" i="1" s="1"/>
  <c r="PBV42" i="1"/>
  <c r="PBV43" i="1" s="1"/>
  <c r="PBU42" i="1"/>
  <c r="PBU43" i="1" s="1"/>
  <c r="PBT42" i="1"/>
  <c r="PBT43" i="1" s="1"/>
  <c r="PBS42" i="1"/>
  <c r="PBS43" i="1" s="1"/>
  <c r="PBR42" i="1"/>
  <c r="PBR43" i="1" s="1"/>
  <c r="PBQ42" i="1"/>
  <c r="PBQ43" i="1" s="1"/>
  <c r="PBP42" i="1"/>
  <c r="PBP43" i="1" s="1"/>
  <c r="PBO42" i="1"/>
  <c r="PBO43" i="1" s="1"/>
  <c r="PBN42" i="1"/>
  <c r="PBN43" i="1" s="1"/>
  <c r="PBM42" i="1"/>
  <c r="PBM43" i="1" s="1"/>
  <c r="PBL42" i="1"/>
  <c r="PBL43" i="1" s="1"/>
  <c r="PBK42" i="1"/>
  <c r="PBK43" i="1" s="1"/>
  <c r="PBJ42" i="1"/>
  <c r="PBJ43" i="1" s="1"/>
  <c r="PBI42" i="1"/>
  <c r="PBI43" i="1" s="1"/>
  <c r="PBH42" i="1"/>
  <c r="PBH43" i="1" s="1"/>
  <c r="PBG42" i="1"/>
  <c r="PBG43" i="1" s="1"/>
  <c r="PBF42" i="1"/>
  <c r="PBF43" i="1" s="1"/>
  <c r="PBE42" i="1"/>
  <c r="PBE43" i="1" s="1"/>
  <c r="PBD42" i="1"/>
  <c r="PBD43" i="1" s="1"/>
  <c r="PBC42" i="1"/>
  <c r="PBC43" i="1" s="1"/>
  <c r="PBB42" i="1"/>
  <c r="PBB43" i="1" s="1"/>
  <c r="PBA42" i="1"/>
  <c r="PBA43" i="1" s="1"/>
  <c r="PAZ42" i="1"/>
  <c r="PAZ43" i="1" s="1"/>
  <c r="PAY42" i="1"/>
  <c r="PAY43" i="1" s="1"/>
  <c r="PAX42" i="1"/>
  <c r="PAX43" i="1" s="1"/>
  <c r="PAW42" i="1"/>
  <c r="PAW43" i="1" s="1"/>
  <c r="PAV42" i="1"/>
  <c r="PAV43" i="1" s="1"/>
  <c r="PAU42" i="1"/>
  <c r="PAU43" i="1" s="1"/>
  <c r="PAT42" i="1"/>
  <c r="PAT43" i="1" s="1"/>
  <c r="PAS42" i="1"/>
  <c r="PAS43" i="1" s="1"/>
  <c r="PAR42" i="1"/>
  <c r="PAR43" i="1" s="1"/>
  <c r="PAQ42" i="1"/>
  <c r="PAQ43" i="1" s="1"/>
  <c r="PAP42" i="1"/>
  <c r="PAP43" i="1" s="1"/>
  <c r="PAO42" i="1"/>
  <c r="PAO43" i="1" s="1"/>
  <c r="PAN42" i="1"/>
  <c r="PAN43" i="1" s="1"/>
  <c r="PAM42" i="1"/>
  <c r="PAM43" i="1" s="1"/>
  <c r="PAL42" i="1"/>
  <c r="PAL43" i="1" s="1"/>
  <c r="PAK42" i="1"/>
  <c r="PAK43" i="1" s="1"/>
  <c r="PAJ42" i="1"/>
  <c r="PAJ43" i="1" s="1"/>
  <c r="PAI42" i="1"/>
  <c r="PAI43" i="1" s="1"/>
  <c r="PAH42" i="1"/>
  <c r="PAH43" i="1" s="1"/>
  <c r="PAG42" i="1"/>
  <c r="PAG43" i="1" s="1"/>
  <c r="PAF42" i="1"/>
  <c r="PAF43" i="1" s="1"/>
  <c r="PAE42" i="1"/>
  <c r="PAE43" i="1" s="1"/>
  <c r="PAD42" i="1"/>
  <c r="PAD43" i="1" s="1"/>
  <c r="PAC42" i="1"/>
  <c r="PAC43" i="1" s="1"/>
  <c r="PAB42" i="1"/>
  <c r="PAB43" i="1" s="1"/>
  <c r="PAA42" i="1"/>
  <c r="PAA43" i="1" s="1"/>
  <c r="OZZ42" i="1"/>
  <c r="OZZ43" i="1" s="1"/>
  <c r="OZY42" i="1"/>
  <c r="OZY43" i="1" s="1"/>
  <c r="OZX42" i="1"/>
  <c r="OZX43" i="1" s="1"/>
  <c r="OZW42" i="1"/>
  <c r="OZW43" i="1" s="1"/>
  <c r="OZV42" i="1"/>
  <c r="OZV43" i="1" s="1"/>
  <c r="OZU42" i="1"/>
  <c r="OZU43" i="1" s="1"/>
  <c r="OZT42" i="1"/>
  <c r="OZT43" i="1" s="1"/>
  <c r="OZS42" i="1"/>
  <c r="OZS43" i="1" s="1"/>
  <c r="OZR42" i="1"/>
  <c r="OZR43" i="1" s="1"/>
  <c r="OZQ42" i="1"/>
  <c r="OZQ43" i="1" s="1"/>
  <c r="OZP42" i="1"/>
  <c r="OZP43" i="1" s="1"/>
  <c r="OZO42" i="1"/>
  <c r="OZO43" i="1" s="1"/>
  <c r="OZN42" i="1"/>
  <c r="OZN43" i="1" s="1"/>
  <c r="OZM42" i="1"/>
  <c r="OZM43" i="1" s="1"/>
  <c r="OZL42" i="1"/>
  <c r="OZL43" i="1" s="1"/>
  <c r="OZK42" i="1"/>
  <c r="OZK43" i="1" s="1"/>
  <c r="OZJ42" i="1"/>
  <c r="OZJ43" i="1" s="1"/>
  <c r="OZI42" i="1"/>
  <c r="OZI43" i="1" s="1"/>
  <c r="OZH42" i="1"/>
  <c r="OZH43" i="1" s="1"/>
  <c r="OZG42" i="1"/>
  <c r="OZG43" i="1" s="1"/>
  <c r="OZF42" i="1"/>
  <c r="OZF43" i="1" s="1"/>
  <c r="OZE42" i="1"/>
  <c r="OZE43" i="1" s="1"/>
  <c r="OZD42" i="1"/>
  <c r="OZD43" i="1" s="1"/>
  <c r="OZC42" i="1"/>
  <c r="OZC43" i="1" s="1"/>
  <c r="OZB42" i="1"/>
  <c r="OZB43" i="1" s="1"/>
  <c r="OZA42" i="1"/>
  <c r="OZA43" i="1" s="1"/>
  <c r="OYZ42" i="1"/>
  <c r="OYZ43" i="1" s="1"/>
  <c r="OYY42" i="1"/>
  <c r="OYY43" i="1" s="1"/>
  <c r="OYX42" i="1"/>
  <c r="OYX43" i="1" s="1"/>
  <c r="OYW42" i="1"/>
  <c r="OYW43" i="1" s="1"/>
  <c r="OYV42" i="1"/>
  <c r="OYV43" i="1" s="1"/>
  <c r="OYU42" i="1"/>
  <c r="OYU43" i="1" s="1"/>
  <c r="OYT42" i="1"/>
  <c r="OYT43" i="1" s="1"/>
  <c r="OYS42" i="1"/>
  <c r="OYS43" i="1" s="1"/>
  <c r="OYR42" i="1"/>
  <c r="OYR43" i="1" s="1"/>
  <c r="OYQ42" i="1"/>
  <c r="OYQ43" i="1" s="1"/>
  <c r="OYP42" i="1"/>
  <c r="OYP43" i="1" s="1"/>
  <c r="OYO42" i="1"/>
  <c r="OYO43" i="1" s="1"/>
  <c r="OYN42" i="1"/>
  <c r="OYN43" i="1" s="1"/>
  <c r="OYM42" i="1"/>
  <c r="OYM43" i="1" s="1"/>
  <c r="OYL42" i="1"/>
  <c r="OYL43" i="1" s="1"/>
  <c r="OYK42" i="1"/>
  <c r="OYK43" i="1" s="1"/>
  <c r="OYJ42" i="1"/>
  <c r="OYJ43" i="1" s="1"/>
  <c r="OYI42" i="1"/>
  <c r="OYI43" i="1" s="1"/>
  <c r="OYH42" i="1"/>
  <c r="OYH43" i="1" s="1"/>
  <c r="OYG42" i="1"/>
  <c r="OYG43" i="1" s="1"/>
  <c r="OYF42" i="1"/>
  <c r="OYF43" i="1" s="1"/>
  <c r="OYE42" i="1"/>
  <c r="OYE43" i="1" s="1"/>
  <c r="OYD42" i="1"/>
  <c r="OYD43" i="1" s="1"/>
  <c r="OYC42" i="1"/>
  <c r="OYC43" i="1" s="1"/>
  <c r="OYB42" i="1"/>
  <c r="OYB43" i="1" s="1"/>
  <c r="OYA42" i="1"/>
  <c r="OYA43" i="1" s="1"/>
  <c r="OXZ42" i="1"/>
  <c r="OXZ43" i="1" s="1"/>
  <c r="OXY42" i="1"/>
  <c r="OXY43" i="1" s="1"/>
  <c r="OXX42" i="1"/>
  <c r="OXX43" i="1" s="1"/>
  <c r="OXW42" i="1"/>
  <c r="OXW43" i="1" s="1"/>
  <c r="OXV42" i="1"/>
  <c r="OXV43" i="1" s="1"/>
  <c r="OXU42" i="1"/>
  <c r="OXU43" i="1" s="1"/>
  <c r="OXT42" i="1"/>
  <c r="OXT43" i="1" s="1"/>
  <c r="OXS42" i="1"/>
  <c r="OXS43" i="1" s="1"/>
  <c r="OXR42" i="1"/>
  <c r="OXR43" i="1" s="1"/>
  <c r="OXQ42" i="1"/>
  <c r="OXQ43" i="1" s="1"/>
  <c r="OXP42" i="1"/>
  <c r="OXP43" i="1" s="1"/>
  <c r="OXO42" i="1"/>
  <c r="OXO43" i="1" s="1"/>
  <c r="OXN42" i="1"/>
  <c r="OXN43" i="1" s="1"/>
  <c r="OXM42" i="1"/>
  <c r="OXM43" i="1" s="1"/>
  <c r="OXL42" i="1"/>
  <c r="OXL43" i="1" s="1"/>
  <c r="OXK42" i="1"/>
  <c r="OXK43" i="1" s="1"/>
  <c r="OXJ42" i="1"/>
  <c r="OXJ43" i="1" s="1"/>
  <c r="OXI42" i="1"/>
  <c r="OXI43" i="1" s="1"/>
  <c r="OXH42" i="1"/>
  <c r="OXH43" i="1" s="1"/>
  <c r="OXG42" i="1"/>
  <c r="OXG43" i="1" s="1"/>
  <c r="OXF42" i="1"/>
  <c r="OXF43" i="1" s="1"/>
  <c r="OXE42" i="1"/>
  <c r="OXE43" i="1" s="1"/>
  <c r="OXD42" i="1"/>
  <c r="OXD43" i="1" s="1"/>
  <c r="OXC42" i="1"/>
  <c r="OXC43" i="1" s="1"/>
  <c r="OXB42" i="1"/>
  <c r="OXB43" i="1" s="1"/>
  <c r="OXA42" i="1"/>
  <c r="OXA43" i="1" s="1"/>
  <c r="OWZ42" i="1"/>
  <c r="OWZ43" i="1" s="1"/>
  <c r="OWY42" i="1"/>
  <c r="OWY43" i="1" s="1"/>
  <c r="OWX42" i="1"/>
  <c r="OWX43" i="1" s="1"/>
  <c r="OWW42" i="1"/>
  <c r="OWW43" i="1" s="1"/>
  <c r="OWV42" i="1"/>
  <c r="OWV43" i="1" s="1"/>
  <c r="OWU42" i="1"/>
  <c r="OWU43" i="1" s="1"/>
  <c r="OWT42" i="1"/>
  <c r="OWT43" i="1" s="1"/>
  <c r="OWS42" i="1"/>
  <c r="OWS43" i="1" s="1"/>
  <c r="OWR42" i="1"/>
  <c r="OWR43" i="1" s="1"/>
  <c r="OWQ42" i="1"/>
  <c r="OWQ43" i="1" s="1"/>
  <c r="OWP42" i="1"/>
  <c r="OWP43" i="1" s="1"/>
  <c r="OWO42" i="1"/>
  <c r="OWO43" i="1" s="1"/>
  <c r="OWN42" i="1"/>
  <c r="OWN43" i="1" s="1"/>
  <c r="OWM42" i="1"/>
  <c r="OWM43" i="1" s="1"/>
  <c r="OWL42" i="1"/>
  <c r="OWL43" i="1" s="1"/>
  <c r="OWK42" i="1"/>
  <c r="OWK43" i="1" s="1"/>
  <c r="OWJ42" i="1"/>
  <c r="OWJ43" i="1" s="1"/>
  <c r="OWI42" i="1"/>
  <c r="OWI43" i="1" s="1"/>
  <c r="OWH42" i="1"/>
  <c r="OWH43" i="1" s="1"/>
  <c r="OWG42" i="1"/>
  <c r="OWG43" i="1" s="1"/>
  <c r="OWF42" i="1"/>
  <c r="OWF43" i="1" s="1"/>
  <c r="OWE42" i="1"/>
  <c r="OWE43" i="1" s="1"/>
  <c r="OWD42" i="1"/>
  <c r="OWD43" i="1" s="1"/>
  <c r="OWC42" i="1"/>
  <c r="OWC43" i="1" s="1"/>
  <c r="OWB42" i="1"/>
  <c r="OWB43" i="1" s="1"/>
  <c r="OWA42" i="1"/>
  <c r="OWA43" i="1" s="1"/>
  <c r="OVZ42" i="1"/>
  <c r="OVZ43" i="1" s="1"/>
  <c r="OVY42" i="1"/>
  <c r="OVY43" i="1" s="1"/>
  <c r="OVX42" i="1"/>
  <c r="OVX43" i="1" s="1"/>
  <c r="OVW42" i="1"/>
  <c r="OVW43" i="1" s="1"/>
  <c r="OVV42" i="1"/>
  <c r="OVV43" i="1" s="1"/>
  <c r="OVU42" i="1"/>
  <c r="OVU43" i="1" s="1"/>
  <c r="OVT42" i="1"/>
  <c r="OVT43" i="1" s="1"/>
  <c r="OVS42" i="1"/>
  <c r="OVS43" i="1" s="1"/>
  <c r="OVR42" i="1"/>
  <c r="OVR43" i="1" s="1"/>
  <c r="OVQ42" i="1"/>
  <c r="OVQ43" i="1" s="1"/>
  <c r="OVP42" i="1"/>
  <c r="OVP43" i="1" s="1"/>
  <c r="OVO42" i="1"/>
  <c r="OVO43" i="1" s="1"/>
  <c r="OVN42" i="1"/>
  <c r="OVN43" i="1" s="1"/>
  <c r="OVM42" i="1"/>
  <c r="OVM43" i="1" s="1"/>
  <c r="OVL42" i="1"/>
  <c r="OVL43" i="1" s="1"/>
  <c r="OVK42" i="1"/>
  <c r="OVK43" i="1" s="1"/>
  <c r="OVJ42" i="1"/>
  <c r="OVJ43" i="1" s="1"/>
  <c r="OVI42" i="1"/>
  <c r="OVI43" i="1" s="1"/>
  <c r="OVH42" i="1"/>
  <c r="OVH43" i="1" s="1"/>
  <c r="OVG42" i="1"/>
  <c r="OVG43" i="1" s="1"/>
  <c r="OVF42" i="1"/>
  <c r="OVF43" i="1" s="1"/>
  <c r="OVE42" i="1"/>
  <c r="OVE43" i="1" s="1"/>
  <c r="OVD42" i="1"/>
  <c r="OVD43" i="1" s="1"/>
  <c r="OVC42" i="1"/>
  <c r="OVC43" i="1" s="1"/>
  <c r="OVB42" i="1"/>
  <c r="OVB43" i="1" s="1"/>
  <c r="OVA42" i="1"/>
  <c r="OVA43" i="1" s="1"/>
  <c r="OUZ42" i="1"/>
  <c r="OUZ43" i="1" s="1"/>
  <c r="OUY42" i="1"/>
  <c r="OUY43" i="1" s="1"/>
  <c r="OUX42" i="1"/>
  <c r="OUX43" i="1" s="1"/>
  <c r="OUW42" i="1"/>
  <c r="OUW43" i="1" s="1"/>
  <c r="OUV42" i="1"/>
  <c r="OUV43" i="1" s="1"/>
  <c r="OUU42" i="1"/>
  <c r="OUU43" i="1" s="1"/>
  <c r="OUT42" i="1"/>
  <c r="OUT43" i="1" s="1"/>
  <c r="OUS42" i="1"/>
  <c r="OUS43" i="1" s="1"/>
  <c r="OUR42" i="1"/>
  <c r="OUR43" i="1" s="1"/>
  <c r="OUQ42" i="1"/>
  <c r="OUQ43" i="1" s="1"/>
  <c r="OUP42" i="1"/>
  <c r="OUP43" i="1" s="1"/>
  <c r="OUO42" i="1"/>
  <c r="OUO43" i="1" s="1"/>
  <c r="OUN42" i="1"/>
  <c r="OUN43" i="1" s="1"/>
  <c r="OUM42" i="1"/>
  <c r="OUM43" i="1" s="1"/>
  <c r="OUL42" i="1"/>
  <c r="OUL43" i="1" s="1"/>
  <c r="OUK42" i="1"/>
  <c r="OUK43" i="1" s="1"/>
  <c r="OUJ42" i="1"/>
  <c r="OUJ43" i="1" s="1"/>
  <c r="OUI42" i="1"/>
  <c r="OUI43" i="1" s="1"/>
  <c r="OUH42" i="1"/>
  <c r="OUH43" i="1" s="1"/>
  <c r="OUG42" i="1"/>
  <c r="OUG43" i="1" s="1"/>
  <c r="OUF42" i="1"/>
  <c r="OUF43" i="1" s="1"/>
  <c r="OUE42" i="1"/>
  <c r="OUE43" i="1" s="1"/>
  <c r="OUD42" i="1"/>
  <c r="OUD43" i="1" s="1"/>
  <c r="OUC42" i="1"/>
  <c r="OUC43" i="1" s="1"/>
  <c r="OUB42" i="1"/>
  <c r="OUB43" i="1" s="1"/>
  <c r="OUA42" i="1"/>
  <c r="OUA43" i="1" s="1"/>
  <c r="OTZ42" i="1"/>
  <c r="OTZ43" i="1" s="1"/>
  <c r="OTY42" i="1"/>
  <c r="OTY43" i="1" s="1"/>
  <c r="OTX42" i="1"/>
  <c r="OTX43" i="1" s="1"/>
  <c r="OTW42" i="1"/>
  <c r="OTW43" i="1" s="1"/>
  <c r="OTV42" i="1"/>
  <c r="OTV43" i="1" s="1"/>
  <c r="OTU42" i="1"/>
  <c r="OTU43" i="1" s="1"/>
  <c r="OTT42" i="1"/>
  <c r="OTT43" i="1" s="1"/>
  <c r="OTS42" i="1"/>
  <c r="OTS43" i="1" s="1"/>
  <c r="OTR42" i="1"/>
  <c r="OTR43" i="1" s="1"/>
  <c r="OTQ42" i="1"/>
  <c r="OTQ43" i="1" s="1"/>
  <c r="OTP42" i="1"/>
  <c r="OTP43" i="1" s="1"/>
  <c r="OTO42" i="1"/>
  <c r="OTO43" i="1" s="1"/>
  <c r="OTN42" i="1"/>
  <c r="OTN43" i="1" s="1"/>
  <c r="OTM42" i="1"/>
  <c r="OTM43" i="1" s="1"/>
  <c r="OTL42" i="1"/>
  <c r="OTL43" i="1" s="1"/>
  <c r="OTK42" i="1"/>
  <c r="OTK43" i="1" s="1"/>
  <c r="OTJ42" i="1"/>
  <c r="OTJ43" i="1" s="1"/>
  <c r="OTI42" i="1"/>
  <c r="OTI43" i="1" s="1"/>
  <c r="OTH42" i="1"/>
  <c r="OTH43" i="1" s="1"/>
  <c r="OTG42" i="1"/>
  <c r="OTG43" i="1" s="1"/>
  <c r="OTF42" i="1"/>
  <c r="OTF43" i="1" s="1"/>
  <c r="OTE42" i="1"/>
  <c r="OTE43" i="1" s="1"/>
  <c r="OTD42" i="1"/>
  <c r="OTD43" i="1" s="1"/>
  <c r="OTC42" i="1"/>
  <c r="OTC43" i="1" s="1"/>
  <c r="OTB42" i="1"/>
  <c r="OTB43" i="1" s="1"/>
  <c r="OTA42" i="1"/>
  <c r="OTA43" i="1" s="1"/>
  <c r="OSZ42" i="1"/>
  <c r="OSZ43" i="1" s="1"/>
  <c r="OSY42" i="1"/>
  <c r="OSY43" i="1" s="1"/>
  <c r="OSX42" i="1"/>
  <c r="OSX43" i="1" s="1"/>
  <c r="OSW42" i="1"/>
  <c r="OSW43" i="1" s="1"/>
  <c r="OSV42" i="1"/>
  <c r="OSV43" i="1" s="1"/>
  <c r="OSU42" i="1"/>
  <c r="OSU43" i="1" s="1"/>
  <c r="OST42" i="1"/>
  <c r="OST43" i="1" s="1"/>
  <c r="OSS42" i="1"/>
  <c r="OSS43" i="1" s="1"/>
  <c r="OSR42" i="1"/>
  <c r="OSR43" i="1" s="1"/>
  <c r="OSQ42" i="1"/>
  <c r="OSQ43" i="1" s="1"/>
  <c r="OSP42" i="1"/>
  <c r="OSP43" i="1" s="1"/>
  <c r="OSO42" i="1"/>
  <c r="OSO43" i="1" s="1"/>
  <c r="OSN42" i="1"/>
  <c r="OSN43" i="1" s="1"/>
  <c r="OSM42" i="1"/>
  <c r="OSM43" i="1" s="1"/>
  <c r="OSL42" i="1"/>
  <c r="OSL43" i="1" s="1"/>
  <c r="OSK42" i="1"/>
  <c r="OSK43" i="1" s="1"/>
  <c r="OSJ42" i="1"/>
  <c r="OSJ43" i="1" s="1"/>
  <c r="OSI42" i="1"/>
  <c r="OSI43" i="1" s="1"/>
  <c r="OSH42" i="1"/>
  <c r="OSH43" i="1" s="1"/>
  <c r="OSG42" i="1"/>
  <c r="OSG43" i="1" s="1"/>
  <c r="OSF42" i="1"/>
  <c r="OSF43" i="1" s="1"/>
  <c r="OSE42" i="1"/>
  <c r="OSE43" i="1" s="1"/>
  <c r="OSD42" i="1"/>
  <c r="OSD43" i="1" s="1"/>
  <c r="OSC42" i="1"/>
  <c r="OSC43" i="1" s="1"/>
  <c r="OSB42" i="1"/>
  <c r="OSB43" i="1" s="1"/>
  <c r="OSA42" i="1"/>
  <c r="OSA43" i="1" s="1"/>
  <c r="ORZ42" i="1"/>
  <c r="ORZ43" i="1" s="1"/>
  <c r="ORY42" i="1"/>
  <c r="ORY43" i="1" s="1"/>
  <c r="ORX42" i="1"/>
  <c r="ORX43" i="1" s="1"/>
  <c r="ORW42" i="1"/>
  <c r="ORW43" i="1" s="1"/>
  <c r="ORV42" i="1"/>
  <c r="ORV43" i="1" s="1"/>
  <c r="ORU42" i="1"/>
  <c r="ORU43" i="1" s="1"/>
  <c r="ORT42" i="1"/>
  <c r="ORT43" i="1" s="1"/>
  <c r="ORS42" i="1"/>
  <c r="ORS43" i="1" s="1"/>
  <c r="ORR42" i="1"/>
  <c r="ORR43" i="1" s="1"/>
  <c r="ORQ42" i="1"/>
  <c r="ORQ43" i="1" s="1"/>
  <c r="ORP42" i="1"/>
  <c r="ORP43" i="1" s="1"/>
  <c r="ORO42" i="1"/>
  <c r="ORO43" i="1" s="1"/>
  <c r="ORN42" i="1"/>
  <c r="ORN43" i="1" s="1"/>
  <c r="ORM42" i="1"/>
  <c r="ORM43" i="1" s="1"/>
  <c r="ORL42" i="1"/>
  <c r="ORL43" i="1" s="1"/>
  <c r="ORK42" i="1"/>
  <c r="ORK43" i="1" s="1"/>
  <c r="ORJ42" i="1"/>
  <c r="ORJ43" i="1" s="1"/>
  <c r="ORI42" i="1"/>
  <c r="ORI43" i="1" s="1"/>
  <c r="ORH42" i="1"/>
  <c r="ORH43" i="1" s="1"/>
  <c r="ORG42" i="1"/>
  <c r="ORG43" i="1" s="1"/>
  <c r="ORF42" i="1"/>
  <c r="ORF43" i="1" s="1"/>
  <c r="ORE42" i="1"/>
  <c r="ORE43" i="1" s="1"/>
  <c r="ORD42" i="1"/>
  <c r="ORD43" i="1" s="1"/>
  <c r="ORC42" i="1"/>
  <c r="ORC43" i="1" s="1"/>
  <c r="ORB42" i="1"/>
  <c r="ORB43" i="1" s="1"/>
  <c r="ORA42" i="1"/>
  <c r="ORA43" i="1" s="1"/>
  <c r="OQZ42" i="1"/>
  <c r="OQZ43" i="1" s="1"/>
  <c r="OQY42" i="1"/>
  <c r="OQY43" i="1" s="1"/>
  <c r="OQX42" i="1"/>
  <c r="OQX43" i="1" s="1"/>
  <c r="OQW42" i="1"/>
  <c r="OQW43" i="1" s="1"/>
  <c r="OQV42" i="1"/>
  <c r="OQV43" i="1" s="1"/>
  <c r="OQU42" i="1"/>
  <c r="OQU43" i="1" s="1"/>
  <c r="OQT42" i="1"/>
  <c r="OQT43" i="1" s="1"/>
  <c r="OQS42" i="1"/>
  <c r="OQS43" i="1" s="1"/>
  <c r="OQR42" i="1"/>
  <c r="OQR43" i="1" s="1"/>
  <c r="OQQ42" i="1"/>
  <c r="OQQ43" i="1" s="1"/>
  <c r="OQP42" i="1"/>
  <c r="OQP43" i="1" s="1"/>
  <c r="OQO42" i="1"/>
  <c r="OQO43" i="1" s="1"/>
  <c r="OQN42" i="1"/>
  <c r="OQN43" i="1" s="1"/>
  <c r="OQM42" i="1"/>
  <c r="OQM43" i="1" s="1"/>
  <c r="OQL42" i="1"/>
  <c r="OQL43" i="1" s="1"/>
  <c r="OQK42" i="1"/>
  <c r="OQK43" i="1" s="1"/>
  <c r="OQJ42" i="1"/>
  <c r="OQJ43" i="1" s="1"/>
  <c r="OQI42" i="1"/>
  <c r="OQI43" i="1" s="1"/>
  <c r="OQH42" i="1"/>
  <c r="OQH43" i="1" s="1"/>
  <c r="OQG42" i="1"/>
  <c r="OQG43" i="1" s="1"/>
  <c r="OQF42" i="1"/>
  <c r="OQF43" i="1" s="1"/>
  <c r="OQE42" i="1"/>
  <c r="OQE43" i="1" s="1"/>
  <c r="OQD42" i="1"/>
  <c r="OQD43" i="1" s="1"/>
  <c r="OQC42" i="1"/>
  <c r="OQC43" i="1" s="1"/>
  <c r="OQB42" i="1"/>
  <c r="OQB43" i="1" s="1"/>
  <c r="OQA42" i="1"/>
  <c r="OQA43" i="1" s="1"/>
  <c r="OPZ42" i="1"/>
  <c r="OPZ43" i="1" s="1"/>
  <c r="OPY42" i="1"/>
  <c r="OPY43" i="1" s="1"/>
  <c r="OPX42" i="1"/>
  <c r="OPX43" i="1" s="1"/>
  <c r="OPW42" i="1"/>
  <c r="OPW43" i="1" s="1"/>
  <c r="OPV42" i="1"/>
  <c r="OPV43" i="1" s="1"/>
  <c r="OPU42" i="1"/>
  <c r="OPU43" i="1" s="1"/>
  <c r="OPT42" i="1"/>
  <c r="OPT43" i="1" s="1"/>
  <c r="OPS42" i="1"/>
  <c r="OPS43" i="1" s="1"/>
  <c r="OPR42" i="1"/>
  <c r="OPR43" i="1" s="1"/>
  <c r="OPQ42" i="1"/>
  <c r="OPQ43" i="1" s="1"/>
  <c r="OPP42" i="1"/>
  <c r="OPP43" i="1" s="1"/>
  <c r="OPO42" i="1"/>
  <c r="OPO43" i="1" s="1"/>
  <c r="OPN42" i="1"/>
  <c r="OPN43" i="1" s="1"/>
  <c r="OPM42" i="1"/>
  <c r="OPM43" i="1" s="1"/>
  <c r="OPL42" i="1"/>
  <c r="OPL43" i="1" s="1"/>
  <c r="OPK42" i="1"/>
  <c r="OPK43" i="1" s="1"/>
  <c r="OPJ42" i="1"/>
  <c r="OPJ43" i="1" s="1"/>
  <c r="OPI42" i="1"/>
  <c r="OPI43" i="1" s="1"/>
  <c r="OPH42" i="1"/>
  <c r="OPH43" i="1" s="1"/>
  <c r="OPG42" i="1"/>
  <c r="OPG43" i="1" s="1"/>
  <c r="OPF42" i="1"/>
  <c r="OPF43" i="1" s="1"/>
  <c r="OPE42" i="1"/>
  <c r="OPE43" i="1" s="1"/>
  <c r="OPD42" i="1"/>
  <c r="OPD43" i="1" s="1"/>
  <c r="OPC42" i="1"/>
  <c r="OPC43" i="1" s="1"/>
  <c r="OPB42" i="1"/>
  <c r="OPB43" i="1" s="1"/>
  <c r="OPA42" i="1"/>
  <c r="OPA43" i="1" s="1"/>
  <c r="OOZ42" i="1"/>
  <c r="OOZ43" i="1" s="1"/>
  <c r="OOY42" i="1"/>
  <c r="OOY43" i="1" s="1"/>
  <c r="OOX42" i="1"/>
  <c r="OOX43" i="1" s="1"/>
  <c r="OOW42" i="1"/>
  <c r="OOW43" i="1" s="1"/>
  <c r="OOV42" i="1"/>
  <c r="OOV43" i="1" s="1"/>
  <c r="OOU42" i="1"/>
  <c r="OOU43" i="1" s="1"/>
  <c r="OOT42" i="1"/>
  <c r="OOT43" i="1" s="1"/>
  <c r="OOS42" i="1"/>
  <c r="OOS43" i="1" s="1"/>
  <c r="OOR42" i="1"/>
  <c r="OOR43" i="1" s="1"/>
  <c r="OOQ42" i="1"/>
  <c r="OOQ43" i="1" s="1"/>
  <c r="OOP42" i="1"/>
  <c r="OOP43" i="1" s="1"/>
  <c r="OOO42" i="1"/>
  <c r="OOO43" i="1" s="1"/>
  <c r="OON42" i="1"/>
  <c r="OON43" i="1" s="1"/>
  <c r="OOM42" i="1"/>
  <c r="OOM43" i="1" s="1"/>
  <c r="OOL42" i="1"/>
  <c r="OOL43" i="1" s="1"/>
  <c r="OOK42" i="1"/>
  <c r="OOK43" i="1" s="1"/>
  <c r="OOJ42" i="1"/>
  <c r="OOJ43" i="1" s="1"/>
  <c r="OOI42" i="1"/>
  <c r="OOI43" i="1" s="1"/>
  <c r="OOH42" i="1"/>
  <c r="OOH43" i="1" s="1"/>
  <c r="OOG42" i="1"/>
  <c r="OOG43" i="1" s="1"/>
  <c r="OOF42" i="1"/>
  <c r="OOF43" i="1" s="1"/>
  <c r="OOE42" i="1"/>
  <c r="OOE43" i="1" s="1"/>
  <c r="OOD42" i="1"/>
  <c r="OOD43" i="1" s="1"/>
  <c r="OOC42" i="1"/>
  <c r="OOC43" i="1" s="1"/>
  <c r="OOB42" i="1"/>
  <c r="OOB43" i="1" s="1"/>
  <c r="OOA42" i="1"/>
  <c r="OOA43" i="1" s="1"/>
  <c r="ONZ42" i="1"/>
  <c r="ONZ43" i="1" s="1"/>
  <c r="ONY42" i="1"/>
  <c r="ONY43" i="1" s="1"/>
  <c r="ONX42" i="1"/>
  <c r="ONX43" i="1" s="1"/>
  <c r="ONW42" i="1"/>
  <c r="ONW43" i="1" s="1"/>
  <c r="ONV42" i="1"/>
  <c r="ONV43" i="1" s="1"/>
  <c r="ONU42" i="1"/>
  <c r="ONU43" i="1" s="1"/>
  <c r="ONT42" i="1"/>
  <c r="ONT43" i="1" s="1"/>
  <c r="ONS42" i="1"/>
  <c r="ONS43" i="1" s="1"/>
  <c r="ONR42" i="1"/>
  <c r="ONR43" i="1" s="1"/>
  <c r="ONQ42" i="1"/>
  <c r="ONQ43" i="1" s="1"/>
  <c r="ONP42" i="1"/>
  <c r="ONP43" i="1" s="1"/>
  <c r="ONO42" i="1"/>
  <c r="ONO43" i="1" s="1"/>
  <c r="ONN42" i="1"/>
  <c r="ONN43" i="1" s="1"/>
  <c r="ONM42" i="1"/>
  <c r="ONM43" i="1" s="1"/>
  <c r="ONL42" i="1"/>
  <c r="ONL43" i="1" s="1"/>
  <c r="ONK42" i="1"/>
  <c r="ONK43" i="1" s="1"/>
  <c r="ONJ42" i="1"/>
  <c r="ONJ43" i="1" s="1"/>
  <c r="ONI42" i="1"/>
  <c r="ONI43" i="1" s="1"/>
  <c r="ONH42" i="1"/>
  <c r="ONH43" i="1" s="1"/>
  <c r="ONG42" i="1"/>
  <c r="ONG43" i="1" s="1"/>
  <c r="ONF42" i="1"/>
  <c r="ONF43" i="1" s="1"/>
  <c r="ONE42" i="1"/>
  <c r="ONE43" i="1" s="1"/>
  <c r="OND42" i="1"/>
  <c r="OND43" i="1" s="1"/>
  <c r="ONC42" i="1"/>
  <c r="ONC43" i="1" s="1"/>
  <c r="ONB42" i="1"/>
  <c r="ONB43" i="1" s="1"/>
  <c r="ONA42" i="1"/>
  <c r="ONA43" i="1" s="1"/>
  <c r="OMZ42" i="1"/>
  <c r="OMZ43" i="1" s="1"/>
  <c r="OMY42" i="1"/>
  <c r="OMY43" i="1" s="1"/>
  <c r="OMX42" i="1"/>
  <c r="OMX43" i="1" s="1"/>
  <c r="OMW42" i="1"/>
  <c r="OMW43" i="1" s="1"/>
  <c r="OMV42" i="1"/>
  <c r="OMV43" i="1" s="1"/>
  <c r="OMU42" i="1"/>
  <c r="OMU43" i="1" s="1"/>
  <c r="OMT42" i="1"/>
  <c r="OMT43" i="1" s="1"/>
  <c r="OMS42" i="1"/>
  <c r="OMS43" i="1" s="1"/>
  <c r="OMR42" i="1"/>
  <c r="OMR43" i="1" s="1"/>
  <c r="OMQ42" i="1"/>
  <c r="OMQ43" i="1" s="1"/>
  <c r="OMP42" i="1"/>
  <c r="OMP43" i="1" s="1"/>
  <c r="OMO42" i="1"/>
  <c r="OMO43" i="1" s="1"/>
  <c r="OMN42" i="1"/>
  <c r="OMN43" i="1" s="1"/>
  <c r="OMM42" i="1"/>
  <c r="OMM43" i="1" s="1"/>
  <c r="OML42" i="1"/>
  <c r="OML43" i="1" s="1"/>
  <c r="OMK42" i="1"/>
  <c r="OMK43" i="1" s="1"/>
  <c r="OMJ42" i="1"/>
  <c r="OMJ43" i="1" s="1"/>
  <c r="OMI42" i="1"/>
  <c r="OMI43" i="1" s="1"/>
  <c r="OMH42" i="1"/>
  <c r="OMH43" i="1" s="1"/>
  <c r="OMG42" i="1"/>
  <c r="OMG43" i="1" s="1"/>
  <c r="OMF42" i="1"/>
  <c r="OMF43" i="1" s="1"/>
  <c r="OME42" i="1"/>
  <c r="OME43" i="1" s="1"/>
  <c r="OMD42" i="1"/>
  <c r="OMD43" i="1" s="1"/>
  <c r="OMC42" i="1"/>
  <c r="OMC43" i="1" s="1"/>
  <c r="OMB42" i="1"/>
  <c r="OMB43" i="1" s="1"/>
  <c r="OMA42" i="1"/>
  <c r="OMA43" i="1" s="1"/>
  <c r="OLZ42" i="1"/>
  <c r="OLZ43" i="1" s="1"/>
  <c r="OLY42" i="1"/>
  <c r="OLY43" i="1" s="1"/>
  <c r="OLX42" i="1"/>
  <c r="OLX43" i="1" s="1"/>
  <c r="OLW42" i="1"/>
  <c r="OLW43" i="1" s="1"/>
  <c r="OLV42" i="1"/>
  <c r="OLV43" i="1" s="1"/>
  <c r="OLU42" i="1"/>
  <c r="OLU43" i="1" s="1"/>
  <c r="OLT42" i="1"/>
  <c r="OLT43" i="1" s="1"/>
  <c r="OLS42" i="1"/>
  <c r="OLS43" i="1" s="1"/>
  <c r="OLR42" i="1"/>
  <c r="OLR43" i="1" s="1"/>
  <c r="OLQ42" i="1"/>
  <c r="OLQ43" i="1" s="1"/>
  <c r="OLP42" i="1"/>
  <c r="OLP43" i="1" s="1"/>
  <c r="OLO42" i="1"/>
  <c r="OLO43" i="1" s="1"/>
  <c r="OLN42" i="1"/>
  <c r="OLN43" i="1" s="1"/>
  <c r="OLM42" i="1"/>
  <c r="OLM43" i="1" s="1"/>
  <c r="OLL42" i="1"/>
  <c r="OLL43" i="1" s="1"/>
  <c r="OLK42" i="1"/>
  <c r="OLK43" i="1" s="1"/>
  <c r="OLJ42" i="1"/>
  <c r="OLJ43" i="1" s="1"/>
  <c r="OLI42" i="1"/>
  <c r="OLI43" i="1" s="1"/>
  <c r="OLH42" i="1"/>
  <c r="OLH43" i="1" s="1"/>
  <c r="OLG42" i="1"/>
  <c r="OLG43" i="1" s="1"/>
  <c r="OLF42" i="1"/>
  <c r="OLF43" i="1" s="1"/>
  <c r="OLE42" i="1"/>
  <c r="OLE43" i="1" s="1"/>
  <c r="OLD42" i="1"/>
  <c r="OLD43" i="1" s="1"/>
  <c r="OLC42" i="1"/>
  <c r="OLC43" i="1" s="1"/>
  <c r="OLB42" i="1"/>
  <c r="OLB43" i="1" s="1"/>
  <c r="OLA42" i="1"/>
  <c r="OLA43" i="1" s="1"/>
  <c r="OKZ42" i="1"/>
  <c r="OKZ43" i="1" s="1"/>
  <c r="OKY42" i="1"/>
  <c r="OKY43" i="1" s="1"/>
  <c r="OKX42" i="1"/>
  <c r="OKX43" i="1" s="1"/>
  <c r="OKW42" i="1"/>
  <c r="OKW43" i="1" s="1"/>
  <c r="OKV42" i="1"/>
  <c r="OKV43" i="1" s="1"/>
  <c r="OKU42" i="1"/>
  <c r="OKU43" i="1" s="1"/>
  <c r="OKT42" i="1"/>
  <c r="OKT43" i="1" s="1"/>
  <c r="OKS42" i="1"/>
  <c r="OKS43" i="1" s="1"/>
  <c r="OKR42" i="1"/>
  <c r="OKR43" i="1" s="1"/>
  <c r="OKQ42" i="1"/>
  <c r="OKQ43" i="1" s="1"/>
  <c r="OKP42" i="1"/>
  <c r="OKP43" i="1" s="1"/>
  <c r="OKO42" i="1"/>
  <c r="OKO43" i="1" s="1"/>
  <c r="OKN42" i="1"/>
  <c r="OKN43" i="1" s="1"/>
  <c r="OKM42" i="1"/>
  <c r="OKM43" i="1" s="1"/>
  <c r="OKL42" i="1"/>
  <c r="OKL43" i="1" s="1"/>
  <c r="OKK42" i="1"/>
  <c r="OKK43" i="1" s="1"/>
  <c r="OKJ42" i="1"/>
  <c r="OKJ43" i="1" s="1"/>
  <c r="OKI42" i="1"/>
  <c r="OKI43" i="1" s="1"/>
  <c r="OKH42" i="1"/>
  <c r="OKH43" i="1" s="1"/>
  <c r="OKG42" i="1"/>
  <c r="OKG43" i="1" s="1"/>
  <c r="OKF42" i="1"/>
  <c r="OKF43" i="1" s="1"/>
  <c r="OKE42" i="1"/>
  <c r="OKE43" i="1" s="1"/>
  <c r="OKD42" i="1"/>
  <c r="OKD43" i="1" s="1"/>
  <c r="OKC42" i="1"/>
  <c r="OKC43" i="1" s="1"/>
  <c r="OKB42" i="1"/>
  <c r="OKB43" i="1" s="1"/>
  <c r="OKA42" i="1"/>
  <c r="OKA43" i="1" s="1"/>
  <c r="OJZ42" i="1"/>
  <c r="OJZ43" i="1" s="1"/>
  <c r="OJY42" i="1"/>
  <c r="OJY43" i="1" s="1"/>
  <c r="OJX42" i="1"/>
  <c r="OJX43" i="1" s="1"/>
  <c r="OJW42" i="1"/>
  <c r="OJW43" i="1" s="1"/>
  <c r="OJV42" i="1"/>
  <c r="OJV43" i="1" s="1"/>
  <c r="OJU42" i="1"/>
  <c r="OJU43" i="1" s="1"/>
  <c r="OJT42" i="1"/>
  <c r="OJT43" i="1" s="1"/>
  <c r="OJS42" i="1"/>
  <c r="OJS43" i="1" s="1"/>
  <c r="OJR42" i="1"/>
  <c r="OJR43" i="1" s="1"/>
  <c r="OJQ42" i="1"/>
  <c r="OJQ43" i="1" s="1"/>
  <c r="OJP42" i="1"/>
  <c r="OJP43" i="1" s="1"/>
  <c r="OJO42" i="1"/>
  <c r="OJO43" i="1" s="1"/>
  <c r="OJN42" i="1"/>
  <c r="OJN43" i="1" s="1"/>
  <c r="OJM42" i="1"/>
  <c r="OJM43" i="1" s="1"/>
  <c r="OJL42" i="1"/>
  <c r="OJL43" i="1" s="1"/>
  <c r="OJK42" i="1"/>
  <c r="OJK43" i="1" s="1"/>
  <c r="OJJ42" i="1"/>
  <c r="OJJ43" i="1" s="1"/>
  <c r="OJI42" i="1"/>
  <c r="OJI43" i="1" s="1"/>
  <c r="OJH42" i="1"/>
  <c r="OJH43" i="1" s="1"/>
  <c r="OJG42" i="1"/>
  <c r="OJG43" i="1" s="1"/>
  <c r="OJF42" i="1"/>
  <c r="OJF43" i="1" s="1"/>
  <c r="OJE42" i="1"/>
  <c r="OJE43" i="1" s="1"/>
  <c r="OJD42" i="1"/>
  <c r="OJD43" i="1" s="1"/>
  <c r="OJC42" i="1"/>
  <c r="OJC43" i="1" s="1"/>
  <c r="OJB42" i="1"/>
  <c r="OJB43" i="1" s="1"/>
  <c r="OJA42" i="1"/>
  <c r="OJA43" i="1" s="1"/>
  <c r="OIZ42" i="1"/>
  <c r="OIZ43" i="1" s="1"/>
  <c r="OIY42" i="1"/>
  <c r="OIY43" i="1" s="1"/>
  <c r="OIX42" i="1"/>
  <c r="OIX43" i="1" s="1"/>
  <c r="OIW42" i="1"/>
  <c r="OIW43" i="1" s="1"/>
  <c r="OIV42" i="1"/>
  <c r="OIV43" i="1" s="1"/>
  <c r="OIU42" i="1"/>
  <c r="OIU43" i="1" s="1"/>
  <c r="OIT42" i="1"/>
  <c r="OIT43" i="1" s="1"/>
  <c r="OIS42" i="1"/>
  <c r="OIS43" i="1" s="1"/>
  <c r="OIR42" i="1"/>
  <c r="OIR43" i="1" s="1"/>
  <c r="OIQ42" i="1"/>
  <c r="OIQ43" i="1" s="1"/>
  <c r="OIP42" i="1"/>
  <c r="OIP43" i="1" s="1"/>
  <c r="OIO42" i="1"/>
  <c r="OIO43" i="1" s="1"/>
  <c r="OIN42" i="1"/>
  <c r="OIN43" i="1" s="1"/>
  <c r="OIM42" i="1"/>
  <c r="OIM43" i="1" s="1"/>
  <c r="OIL42" i="1"/>
  <c r="OIL43" i="1" s="1"/>
  <c r="OIK42" i="1"/>
  <c r="OIK43" i="1" s="1"/>
  <c r="OIJ42" i="1"/>
  <c r="OIJ43" i="1" s="1"/>
  <c r="OII42" i="1"/>
  <c r="OII43" i="1" s="1"/>
  <c r="OIH42" i="1"/>
  <c r="OIH43" i="1" s="1"/>
  <c r="OIG42" i="1"/>
  <c r="OIG43" i="1" s="1"/>
  <c r="OIF42" i="1"/>
  <c r="OIF43" i="1" s="1"/>
  <c r="OIE42" i="1"/>
  <c r="OIE43" i="1" s="1"/>
  <c r="OID42" i="1"/>
  <c r="OID43" i="1" s="1"/>
  <c r="OIC42" i="1"/>
  <c r="OIC43" i="1" s="1"/>
  <c r="OIB42" i="1"/>
  <c r="OIB43" i="1" s="1"/>
  <c r="OIA42" i="1"/>
  <c r="OIA43" i="1" s="1"/>
  <c r="OHZ42" i="1"/>
  <c r="OHZ43" i="1" s="1"/>
  <c r="OHY42" i="1"/>
  <c r="OHY43" i="1" s="1"/>
  <c r="OHX42" i="1"/>
  <c r="OHX43" i="1" s="1"/>
  <c r="OHW42" i="1"/>
  <c r="OHW43" i="1" s="1"/>
  <c r="OHV42" i="1"/>
  <c r="OHV43" i="1" s="1"/>
  <c r="OHU42" i="1"/>
  <c r="OHU43" i="1" s="1"/>
  <c r="OHT42" i="1"/>
  <c r="OHT43" i="1" s="1"/>
  <c r="OHS42" i="1"/>
  <c r="OHS43" i="1" s="1"/>
  <c r="OHR42" i="1"/>
  <c r="OHR43" i="1" s="1"/>
  <c r="OHQ42" i="1"/>
  <c r="OHQ43" i="1" s="1"/>
  <c r="OHP42" i="1"/>
  <c r="OHP43" i="1" s="1"/>
  <c r="OHO42" i="1"/>
  <c r="OHO43" i="1" s="1"/>
  <c r="OHN42" i="1"/>
  <c r="OHN43" i="1" s="1"/>
  <c r="OHM42" i="1"/>
  <c r="OHM43" i="1" s="1"/>
  <c r="OHL42" i="1"/>
  <c r="OHL43" i="1" s="1"/>
  <c r="OHK42" i="1"/>
  <c r="OHK43" i="1" s="1"/>
  <c r="OHJ42" i="1"/>
  <c r="OHJ43" i="1" s="1"/>
  <c r="OHI42" i="1"/>
  <c r="OHI43" i="1" s="1"/>
  <c r="OHH42" i="1"/>
  <c r="OHH43" i="1" s="1"/>
  <c r="OHG42" i="1"/>
  <c r="OHG43" i="1" s="1"/>
  <c r="OHF42" i="1"/>
  <c r="OHF43" i="1" s="1"/>
  <c r="OHE42" i="1"/>
  <c r="OHE43" i="1" s="1"/>
  <c r="OHD42" i="1"/>
  <c r="OHD43" i="1" s="1"/>
  <c r="OHC42" i="1"/>
  <c r="OHC43" i="1" s="1"/>
  <c r="OHB42" i="1"/>
  <c r="OHB43" i="1" s="1"/>
  <c r="OHA42" i="1"/>
  <c r="OHA43" i="1" s="1"/>
  <c r="OGZ42" i="1"/>
  <c r="OGZ43" i="1" s="1"/>
  <c r="OGY42" i="1"/>
  <c r="OGY43" i="1" s="1"/>
  <c r="OGX42" i="1"/>
  <c r="OGX43" i="1" s="1"/>
  <c r="OGW42" i="1"/>
  <c r="OGW43" i="1" s="1"/>
  <c r="OGV42" i="1"/>
  <c r="OGV43" i="1" s="1"/>
  <c r="OGU42" i="1"/>
  <c r="OGU43" i="1" s="1"/>
  <c r="OGT42" i="1"/>
  <c r="OGT43" i="1" s="1"/>
  <c r="OGS42" i="1"/>
  <c r="OGS43" i="1" s="1"/>
  <c r="OGR42" i="1"/>
  <c r="OGR43" i="1" s="1"/>
  <c r="OGQ42" i="1"/>
  <c r="OGQ43" i="1" s="1"/>
  <c r="OGP42" i="1"/>
  <c r="OGP43" i="1" s="1"/>
  <c r="OGO42" i="1"/>
  <c r="OGO43" i="1" s="1"/>
  <c r="OGN42" i="1"/>
  <c r="OGN43" i="1" s="1"/>
  <c r="OGM42" i="1"/>
  <c r="OGM43" i="1" s="1"/>
  <c r="OGL42" i="1"/>
  <c r="OGL43" i="1" s="1"/>
  <c r="OGK42" i="1"/>
  <c r="OGK43" i="1" s="1"/>
  <c r="OGJ42" i="1"/>
  <c r="OGJ43" i="1" s="1"/>
  <c r="OGI42" i="1"/>
  <c r="OGI43" i="1" s="1"/>
  <c r="OGH42" i="1"/>
  <c r="OGH43" i="1" s="1"/>
  <c r="OGG42" i="1"/>
  <c r="OGG43" i="1" s="1"/>
  <c r="OGF42" i="1"/>
  <c r="OGF43" i="1" s="1"/>
  <c r="OGE42" i="1"/>
  <c r="OGE43" i="1" s="1"/>
  <c r="OGD42" i="1"/>
  <c r="OGD43" i="1" s="1"/>
  <c r="OGC42" i="1"/>
  <c r="OGC43" i="1" s="1"/>
  <c r="OGB42" i="1"/>
  <c r="OGB43" i="1" s="1"/>
  <c r="OGA42" i="1"/>
  <c r="OGA43" i="1" s="1"/>
  <c r="OFZ42" i="1"/>
  <c r="OFZ43" i="1" s="1"/>
  <c r="OFY42" i="1"/>
  <c r="OFY43" i="1" s="1"/>
  <c r="OFX42" i="1"/>
  <c r="OFX43" i="1" s="1"/>
  <c r="OFW42" i="1"/>
  <c r="OFW43" i="1" s="1"/>
  <c r="OFV42" i="1"/>
  <c r="OFV43" i="1" s="1"/>
  <c r="OFU42" i="1"/>
  <c r="OFU43" i="1" s="1"/>
  <c r="OFT42" i="1"/>
  <c r="OFT43" i="1" s="1"/>
  <c r="OFS42" i="1"/>
  <c r="OFS43" i="1" s="1"/>
  <c r="OFR42" i="1"/>
  <c r="OFR43" i="1" s="1"/>
  <c r="OFQ42" i="1"/>
  <c r="OFQ43" i="1" s="1"/>
  <c r="OFP42" i="1"/>
  <c r="OFP43" i="1" s="1"/>
  <c r="OFO42" i="1"/>
  <c r="OFO43" i="1" s="1"/>
  <c r="OFN42" i="1"/>
  <c r="OFN43" i="1" s="1"/>
  <c r="OFM42" i="1"/>
  <c r="OFM43" i="1" s="1"/>
  <c r="OFL42" i="1"/>
  <c r="OFL43" i="1" s="1"/>
  <c r="OFK42" i="1"/>
  <c r="OFK43" i="1" s="1"/>
  <c r="OFJ42" i="1"/>
  <c r="OFJ43" i="1" s="1"/>
  <c r="OFI42" i="1"/>
  <c r="OFI43" i="1" s="1"/>
  <c r="OFH42" i="1"/>
  <c r="OFH43" i="1" s="1"/>
  <c r="OFG42" i="1"/>
  <c r="OFG43" i="1" s="1"/>
  <c r="OFF42" i="1"/>
  <c r="OFF43" i="1" s="1"/>
  <c r="OFE42" i="1"/>
  <c r="OFE43" i="1" s="1"/>
  <c r="OFD42" i="1"/>
  <c r="OFD43" i="1" s="1"/>
  <c r="OFC42" i="1"/>
  <c r="OFC43" i="1" s="1"/>
  <c r="OFB42" i="1"/>
  <c r="OFB43" i="1" s="1"/>
  <c r="OFA42" i="1"/>
  <c r="OFA43" i="1" s="1"/>
  <c r="OEZ42" i="1"/>
  <c r="OEZ43" i="1" s="1"/>
  <c r="OEY42" i="1"/>
  <c r="OEY43" i="1" s="1"/>
  <c r="OEX42" i="1"/>
  <c r="OEX43" i="1" s="1"/>
  <c r="OEW42" i="1"/>
  <c r="OEW43" i="1" s="1"/>
  <c r="OEV42" i="1"/>
  <c r="OEV43" i="1" s="1"/>
  <c r="OEU42" i="1"/>
  <c r="OEU43" i="1" s="1"/>
  <c r="OET42" i="1"/>
  <c r="OET43" i="1" s="1"/>
  <c r="OES42" i="1"/>
  <c r="OES43" i="1" s="1"/>
  <c r="OER42" i="1"/>
  <c r="OER43" i="1" s="1"/>
  <c r="OEQ42" i="1"/>
  <c r="OEQ43" i="1" s="1"/>
  <c r="OEP42" i="1"/>
  <c r="OEP43" i="1" s="1"/>
  <c r="OEO42" i="1"/>
  <c r="OEO43" i="1" s="1"/>
  <c r="OEN42" i="1"/>
  <c r="OEN43" i="1" s="1"/>
  <c r="OEM42" i="1"/>
  <c r="OEM43" i="1" s="1"/>
  <c r="OEL42" i="1"/>
  <c r="OEL43" i="1" s="1"/>
  <c r="OEK42" i="1"/>
  <c r="OEK43" i="1" s="1"/>
  <c r="OEJ42" i="1"/>
  <c r="OEJ43" i="1" s="1"/>
  <c r="OEI42" i="1"/>
  <c r="OEI43" i="1" s="1"/>
  <c r="OEH42" i="1"/>
  <c r="OEH43" i="1" s="1"/>
  <c r="OEG42" i="1"/>
  <c r="OEG43" i="1" s="1"/>
  <c r="OEF42" i="1"/>
  <c r="OEF43" i="1" s="1"/>
  <c r="OEE42" i="1"/>
  <c r="OEE43" i="1" s="1"/>
  <c r="OED42" i="1"/>
  <c r="OED43" i="1" s="1"/>
  <c r="OEC42" i="1"/>
  <c r="OEC43" i="1" s="1"/>
  <c r="OEB42" i="1"/>
  <c r="OEB43" i="1" s="1"/>
  <c r="OEA42" i="1"/>
  <c r="OEA43" i="1" s="1"/>
  <c r="ODZ42" i="1"/>
  <c r="ODZ43" i="1" s="1"/>
  <c r="ODY42" i="1"/>
  <c r="ODY43" i="1" s="1"/>
  <c r="ODX42" i="1"/>
  <c r="ODX43" i="1" s="1"/>
  <c r="ODW42" i="1"/>
  <c r="ODW43" i="1" s="1"/>
  <c r="ODV42" i="1"/>
  <c r="ODV43" i="1" s="1"/>
  <c r="ODU42" i="1"/>
  <c r="ODU43" i="1" s="1"/>
  <c r="ODT42" i="1"/>
  <c r="ODT43" i="1" s="1"/>
  <c r="ODS42" i="1"/>
  <c r="ODS43" i="1" s="1"/>
  <c r="ODR42" i="1"/>
  <c r="ODR43" i="1" s="1"/>
  <c r="ODQ42" i="1"/>
  <c r="ODQ43" i="1" s="1"/>
  <c r="ODP42" i="1"/>
  <c r="ODP43" i="1" s="1"/>
  <c r="ODO42" i="1"/>
  <c r="ODO43" i="1" s="1"/>
  <c r="ODN42" i="1"/>
  <c r="ODN43" i="1" s="1"/>
  <c r="ODM42" i="1"/>
  <c r="ODM43" i="1" s="1"/>
  <c r="ODL42" i="1"/>
  <c r="ODL43" i="1" s="1"/>
  <c r="ODK42" i="1"/>
  <c r="ODK43" i="1" s="1"/>
  <c r="ODJ42" i="1"/>
  <c r="ODJ43" i="1" s="1"/>
  <c r="ODI42" i="1"/>
  <c r="ODI43" i="1" s="1"/>
  <c r="ODH42" i="1"/>
  <c r="ODH43" i="1" s="1"/>
  <c r="ODG42" i="1"/>
  <c r="ODG43" i="1" s="1"/>
  <c r="ODF42" i="1"/>
  <c r="ODF43" i="1" s="1"/>
  <c r="ODE42" i="1"/>
  <c r="ODE43" i="1" s="1"/>
  <c r="ODD42" i="1"/>
  <c r="ODD43" i="1" s="1"/>
  <c r="ODC42" i="1"/>
  <c r="ODC43" i="1" s="1"/>
  <c r="ODB42" i="1"/>
  <c r="ODB43" i="1" s="1"/>
  <c r="ODA42" i="1"/>
  <c r="ODA43" i="1" s="1"/>
  <c r="OCZ42" i="1"/>
  <c r="OCZ43" i="1" s="1"/>
  <c r="OCY42" i="1"/>
  <c r="OCY43" i="1" s="1"/>
  <c r="OCX42" i="1"/>
  <c r="OCX43" i="1" s="1"/>
  <c r="OCW42" i="1"/>
  <c r="OCW43" i="1" s="1"/>
  <c r="OCV42" i="1"/>
  <c r="OCV43" i="1" s="1"/>
  <c r="OCU42" i="1"/>
  <c r="OCU43" i="1" s="1"/>
  <c r="OCT42" i="1"/>
  <c r="OCT43" i="1" s="1"/>
  <c r="OCS42" i="1"/>
  <c r="OCS43" i="1" s="1"/>
  <c r="OCR42" i="1"/>
  <c r="OCR43" i="1" s="1"/>
  <c r="OCQ42" i="1"/>
  <c r="OCQ43" i="1" s="1"/>
  <c r="OCP42" i="1"/>
  <c r="OCP43" i="1" s="1"/>
  <c r="OCO42" i="1"/>
  <c r="OCO43" i="1" s="1"/>
  <c r="OCN42" i="1"/>
  <c r="OCN43" i="1" s="1"/>
  <c r="OCM42" i="1"/>
  <c r="OCM43" i="1" s="1"/>
  <c r="OCL42" i="1"/>
  <c r="OCL43" i="1" s="1"/>
  <c r="OCK42" i="1"/>
  <c r="OCK43" i="1" s="1"/>
  <c r="OCJ42" i="1"/>
  <c r="OCJ43" i="1" s="1"/>
  <c r="OCI42" i="1"/>
  <c r="OCI43" i="1" s="1"/>
  <c r="OCH42" i="1"/>
  <c r="OCH43" i="1" s="1"/>
  <c r="OCG42" i="1"/>
  <c r="OCG43" i="1" s="1"/>
  <c r="OCF42" i="1"/>
  <c r="OCF43" i="1" s="1"/>
  <c r="OCE42" i="1"/>
  <c r="OCE43" i="1" s="1"/>
  <c r="OCD42" i="1"/>
  <c r="OCD43" i="1" s="1"/>
  <c r="OCC42" i="1"/>
  <c r="OCC43" i="1" s="1"/>
  <c r="OCB42" i="1"/>
  <c r="OCB43" i="1" s="1"/>
  <c r="OCA42" i="1"/>
  <c r="OCA43" i="1" s="1"/>
  <c r="OBZ42" i="1"/>
  <c r="OBZ43" i="1" s="1"/>
  <c r="OBY42" i="1"/>
  <c r="OBY43" i="1" s="1"/>
  <c r="OBX42" i="1"/>
  <c r="OBX43" i="1" s="1"/>
  <c r="OBW42" i="1"/>
  <c r="OBW43" i="1" s="1"/>
  <c r="OBV42" i="1"/>
  <c r="OBV43" i="1" s="1"/>
  <c r="OBU42" i="1"/>
  <c r="OBU43" i="1" s="1"/>
  <c r="OBT42" i="1"/>
  <c r="OBT43" i="1" s="1"/>
  <c r="OBS42" i="1"/>
  <c r="OBS43" i="1" s="1"/>
  <c r="OBR42" i="1"/>
  <c r="OBR43" i="1" s="1"/>
  <c r="OBQ42" i="1"/>
  <c r="OBQ43" i="1" s="1"/>
  <c r="OBP42" i="1"/>
  <c r="OBP43" i="1" s="1"/>
  <c r="OBO42" i="1"/>
  <c r="OBO43" i="1" s="1"/>
  <c r="OBN42" i="1"/>
  <c r="OBN43" i="1" s="1"/>
  <c r="OBM42" i="1"/>
  <c r="OBM43" i="1" s="1"/>
  <c r="OBL42" i="1"/>
  <c r="OBL43" i="1" s="1"/>
  <c r="OBK42" i="1"/>
  <c r="OBK43" i="1" s="1"/>
  <c r="OBJ42" i="1"/>
  <c r="OBJ43" i="1" s="1"/>
  <c r="OBI42" i="1"/>
  <c r="OBI43" i="1" s="1"/>
  <c r="OBH42" i="1"/>
  <c r="OBH43" i="1" s="1"/>
  <c r="OBG42" i="1"/>
  <c r="OBG43" i="1" s="1"/>
  <c r="OBF42" i="1"/>
  <c r="OBF43" i="1" s="1"/>
  <c r="OBE42" i="1"/>
  <c r="OBE43" i="1" s="1"/>
  <c r="OBD42" i="1"/>
  <c r="OBD43" i="1" s="1"/>
  <c r="OBC42" i="1"/>
  <c r="OBC43" i="1" s="1"/>
  <c r="OBB42" i="1"/>
  <c r="OBB43" i="1" s="1"/>
  <c r="OBA42" i="1"/>
  <c r="OBA43" i="1" s="1"/>
  <c r="OAZ42" i="1"/>
  <c r="OAZ43" i="1" s="1"/>
  <c r="OAY42" i="1"/>
  <c r="OAY43" i="1" s="1"/>
  <c r="OAX42" i="1"/>
  <c r="OAX43" i="1" s="1"/>
  <c r="OAW42" i="1"/>
  <c r="OAW43" i="1" s="1"/>
  <c r="OAV42" i="1"/>
  <c r="OAV43" i="1" s="1"/>
  <c r="OAU42" i="1"/>
  <c r="OAU43" i="1" s="1"/>
  <c r="OAT42" i="1"/>
  <c r="OAT43" i="1" s="1"/>
  <c r="OAS42" i="1"/>
  <c r="OAS43" i="1" s="1"/>
  <c r="OAR42" i="1"/>
  <c r="OAR43" i="1" s="1"/>
  <c r="OAQ42" i="1"/>
  <c r="OAQ43" i="1" s="1"/>
  <c r="OAP42" i="1"/>
  <c r="OAP43" i="1" s="1"/>
  <c r="OAO42" i="1"/>
  <c r="OAO43" i="1" s="1"/>
  <c r="OAN42" i="1"/>
  <c r="OAN43" i="1" s="1"/>
  <c r="OAM42" i="1"/>
  <c r="OAM43" i="1" s="1"/>
  <c r="OAL42" i="1"/>
  <c r="OAL43" i="1" s="1"/>
  <c r="OAK42" i="1"/>
  <c r="OAK43" i="1" s="1"/>
  <c r="OAJ42" i="1"/>
  <c r="OAJ43" i="1" s="1"/>
  <c r="OAI42" i="1"/>
  <c r="OAI43" i="1" s="1"/>
  <c r="OAH42" i="1"/>
  <c r="OAH43" i="1" s="1"/>
  <c r="OAG42" i="1"/>
  <c r="OAG43" i="1" s="1"/>
  <c r="OAF42" i="1"/>
  <c r="OAF43" i="1" s="1"/>
  <c r="OAE42" i="1"/>
  <c r="OAE43" i="1" s="1"/>
  <c r="OAD42" i="1"/>
  <c r="OAD43" i="1" s="1"/>
  <c r="OAC42" i="1"/>
  <c r="OAC43" i="1" s="1"/>
  <c r="OAB42" i="1"/>
  <c r="OAB43" i="1" s="1"/>
  <c r="OAA42" i="1"/>
  <c r="OAA43" i="1" s="1"/>
  <c r="NZZ42" i="1"/>
  <c r="NZZ43" i="1" s="1"/>
  <c r="NZY42" i="1"/>
  <c r="NZY43" i="1" s="1"/>
  <c r="NZX42" i="1"/>
  <c r="NZX43" i="1" s="1"/>
  <c r="NZW42" i="1"/>
  <c r="NZW43" i="1" s="1"/>
  <c r="NZV42" i="1"/>
  <c r="NZV43" i="1" s="1"/>
  <c r="NZU42" i="1"/>
  <c r="NZU43" i="1" s="1"/>
  <c r="NZT42" i="1"/>
  <c r="NZT43" i="1" s="1"/>
  <c r="NZS42" i="1"/>
  <c r="NZS43" i="1" s="1"/>
  <c r="NZR42" i="1"/>
  <c r="NZR43" i="1" s="1"/>
  <c r="NZQ42" i="1"/>
  <c r="NZQ43" i="1" s="1"/>
  <c r="NZP42" i="1"/>
  <c r="NZP43" i="1" s="1"/>
  <c r="NZO42" i="1"/>
  <c r="NZO43" i="1" s="1"/>
  <c r="NZN42" i="1"/>
  <c r="NZN43" i="1" s="1"/>
  <c r="NZM42" i="1"/>
  <c r="NZM43" i="1" s="1"/>
  <c r="NZL42" i="1"/>
  <c r="NZL43" i="1" s="1"/>
  <c r="NZK42" i="1"/>
  <c r="NZK43" i="1" s="1"/>
  <c r="NZJ42" i="1"/>
  <c r="NZJ43" i="1" s="1"/>
  <c r="NZI42" i="1"/>
  <c r="NZI43" i="1" s="1"/>
  <c r="NZH42" i="1"/>
  <c r="NZH43" i="1" s="1"/>
  <c r="NZG42" i="1"/>
  <c r="NZG43" i="1" s="1"/>
  <c r="NZF42" i="1"/>
  <c r="NZF43" i="1" s="1"/>
  <c r="NZE42" i="1"/>
  <c r="NZE43" i="1" s="1"/>
  <c r="NZD42" i="1"/>
  <c r="NZD43" i="1" s="1"/>
  <c r="NZC42" i="1"/>
  <c r="NZC43" i="1" s="1"/>
  <c r="NZB42" i="1"/>
  <c r="NZB43" i="1" s="1"/>
  <c r="NZA42" i="1"/>
  <c r="NZA43" i="1" s="1"/>
  <c r="NYZ42" i="1"/>
  <c r="NYZ43" i="1" s="1"/>
  <c r="NYY42" i="1"/>
  <c r="NYY43" i="1" s="1"/>
  <c r="NYX42" i="1"/>
  <c r="NYX43" i="1" s="1"/>
  <c r="NYW42" i="1"/>
  <c r="NYW43" i="1" s="1"/>
  <c r="NYV42" i="1"/>
  <c r="NYV43" i="1" s="1"/>
  <c r="NYU42" i="1"/>
  <c r="NYU43" i="1" s="1"/>
  <c r="NYT42" i="1"/>
  <c r="NYT43" i="1" s="1"/>
  <c r="NYS42" i="1"/>
  <c r="NYS43" i="1" s="1"/>
  <c r="NYR42" i="1"/>
  <c r="NYR43" i="1" s="1"/>
  <c r="NYQ42" i="1"/>
  <c r="NYQ43" i="1" s="1"/>
  <c r="NYP42" i="1"/>
  <c r="NYP43" i="1" s="1"/>
  <c r="NYO42" i="1"/>
  <c r="NYO43" i="1" s="1"/>
  <c r="NYN42" i="1"/>
  <c r="NYN43" i="1" s="1"/>
  <c r="NYM42" i="1"/>
  <c r="NYM43" i="1" s="1"/>
  <c r="NYL42" i="1"/>
  <c r="NYL43" i="1" s="1"/>
  <c r="NYK42" i="1"/>
  <c r="NYK43" i="1" s="1"/>
  <c r="NYJ42" i="1"/>
  <c r="NYJ43" i="1" s="1"/>
  <c r="NYI42" i="1"/>
  <c r="NYI43" i="1" s="1"/>
  <c r="NYH42" i="1"/>
  <c r="NYH43" i="1" s="1"/>
  <c r="NYG42" i="1"/>
  <c r="NYG43" i="1" s="1"/>
  <c r="NYF42" i="1"/>
  <c r="NYF43" i="1" s="1"/>
  <c r="NYE42" i="1"/>
  <c r="NYE43" i="1" s="1"/>
  <c r="NYD42" i="1"/>
  <c r="NYD43" i="1" s="1"/>
  <c r="NYC42" i="1"/>
  <c r="NYC43" i="1" s="1"/>
  <c r="NYB42" i="1"/>
  <c r="NYB43" i="1" s="1"/>
  <c r="NYA42" i="1"/>
  <c r="NYA43" i="1" s="1"/>
  <c r="NXZ42" i="1"/>
  <c r="NXZ43" i="1" s="1"/>
  <c r="NXY42" i="1"/>
  <c r="NXY43" i="1" s="1"/>
  <c r="NXX42" i="1"/>
  <c r="NXX43" i="1" s="1"/>
  <c r="NXW42" i="1"/>
  <c r="NXW43" i="1" s="1"/>
  <c r="NXV42" i="1"/>
  <c r="NXV43" i="1" s="1"/>
  <c r="NXU42" i="1"/>
  <c r="NXU43" i="1" s="1"/>
  <c r="NXT42" i="1"/>
  <c r="NXT43" i="1" s="1"/>
  <c r="NXS42" i="1"/>
  <c r="NXS43" i="1" s="1"/>
  <c r="NXR42" i="1"/>
  <c r="NXR43" i="1" s="1"/>
  <c r="NXQ42" i="1"/>
  <c r="NXQ43" i="1" s="1"/>
  <c r="NXP42" i="1"/>
  <c r="NXP43" i="1" s="1"/>
  <c r="NXO42" i="1"/>
  <c r="NXO43" i="1" s="1"/>
  <c r="NXN42" i="1"/>
  <c r="NXN43" i="1" s="1"/>
  <c r="NXM42" i="1"/>
  <c r="NXM43" i="1" s="1"/>
  <c r="NXL42" i="1"/>
  <c r="NXL43" i="1" s="1"/>
  <c r="NXK42" i="1"/>
  <c r="NXK43" i="1" s="1"/>
  <c r="NXJ42" i="1"/>
  <c r="NXJ43" i="1" s="1"/>
  <c r="NXI42" i="1"/>
  <c r="NXI43" i="1" s="1"/>
  <c r="NXH42" i="1"/>
  <c r="NXH43" i="1" s="1"/>
  <c r="NXG42" i="1"/>
  <c r="NXG43" i="1" s="1"/>
  <c r="NXF42" i="1"/>
  <c r="NXF43" i="1" s="1"/>
  <c r="NXE42" i="1"/>
  <c r="NXE43" i="1" s="1"/>
  <c r="NXD42" i="1"/>
  <c r="NXD43" i="1" s="1"/>
  <c r="NXC42" i="1"/>
  <c r="NXC43" i="1" s="1"/>
  <c r="NXB42" i="1"/>
  <c r="NXB43" i="1" s="1"/>
  <c r="NXA42" i="1"/>
  <c r="NXA43" i="1" s="1"/>
  <c r="NWZ42" i="1"/>
  <c r="NWZ43" i="1" s="1"/>
  <c r="NWY42" i="1"/>
  <c r="NWY43" i="1" s="1"/>
  <c r="NWX42" i="1"/>
  <c r="NWX43" i="1" s="1"/>
  <c r="NWW42" i="1"/>
  <c r="NWW43" i="1" s="1"/>
  <c r="NWV42" i="1"/>
  <c r="NWV43" i="1" s="1"/>
  <c r="NWU42" i="1"/>
  <c r="NWU43" i="1" s="1"/>
  <c r="NWT42" i="1"/>
  <c r="NWT43" i="1" s="1"/>
  <c r="NWS42" i="1"/>
  <c r="NWS43" i="1" s="1"/>
  <c r="NWR42" i="1"/>
  <c r="NWR43" i="1" s="1"/>
  <c r="NWQ42" i="1"/>
  <c r="NWQ43" i="1" s="1"/>
  <c r="NWP42" i="1"/>
  <c r="NWP43" i="1" s="1"/>
  <c r="NWO42" i="1"/>
  <c r="NWO43" i="1" s="1"/>
  <c r="NWN42" i="1"/>
  <c r="NWN43" i="1" s="1"/>
  <c r="NWM42" i="1"/>
  <c r="NWM43" i="1" s="1"/>
  <c r="NWL42" i="1"/>
  <c r="NWL43" i="1" s="1"/>
  <c r="NWK42" i="1"/>
  <c r="NWK43" i="1" s="1"/>
  <c r="NWJ42" i="1"/>
  <c r="NWJ43" i="1" s="1"/>
  <c r="NWI42" i="1"/>
  <c r="NWI43" i="1" s="1"/>
  <c r="NWH42" i="1"/>
  <c r="NWH43" i="1" s="1"/>
  <c r="NWG42" i="1"/>
  <c r="NWG43" i="1" s="1"/>
  <c r="NWF42" i="1"/>
  <c r="NWF43" i="1" s="1"/>
  <c r="NWE42" i="1"/>
  <c r="NWE43" i="1" s="1"/>
  <c r="NWD42" i="1"/>
  <c r="NWD43" i="1" s="1"/>
  <c r="NWC42" i="1"/>
  <c r="NWC43" i="1" s="1"/>
  <c r="NWB42" i="1"/>
  <c r="NWB43" i="1" s="1"/>
  <c r="NWA42" i="1"/>
  <c r="NWA43" i="1" s="1"/>
  <c r="NVZ42" i="1"/>
  <c r="NVZ43" i="1" s="1"/>
  <c r="NVY42" i="1"/>
  <c r="NVY43" i="1" s="1"/>
  <c r="NVX42" i="1"/>
  <c r="NVX43" i="1" s="1"/>
  <c r="NVW42" i="1"/>
  <c r="NVW43" i="1" s="1"/>
  <c r="NVV42" i="1"/>
  <c r="NVV43" i="1" s="1"/>
  <c r="NVU42" i="1"/>
  <c r="NVU43" i="1" s="1"/>
  <c r="NVT42" i="1"/>
  <c r="NVT43" i="1" s="1"/>
  <c r="NVS42" i="1"/>
  <c r="NVS43" i="1" s="1"/>
  <c r="NVR42" i="1"/>
  <c r="NVR43" i="1" s="1"/>
  <c r="NVQ42" i="1"/>
  <c r="NVQ43" i="1" s="1"/>
  <c r="NVP42" i="1"/>
  <c r="NVP43" i="1" s="1"/>
  <c r="NVO42" i="1"/>
  <c r="NVO43" i="1" s="1"/>
  <c r="NVN42" i="1"/>
  <c r="NVN43" i="1" s="1"/>
  <c r="NVM42" i="1"/>
  <c r="NVM43" i="1" s="1"/>
  <c r="NVL42" i="1"/>
  <c r="NVL43" i="1" s="1"/>
  <c r="NVK42" i="1"/>
  <c r="NVK43" i="1" s="1"/>
  <c r="NVJ42" i="1"/>
  <c r="NVJ43" i="1" s="1"/>
  <c r="NVI42" i="1"/>
  <c r="NVI43" i="1" s="1"/>
  <c r="NVH42" i="1"/>
  <c r="NVH43" i="1" s="1"/>
  <c r="NVG42" i="1"/>
  <c r="NVG43" i="1" s="1"/>
  <c r="NVF42" i="1"/>
  <c r="NVF43" i="1" s="1"/>
  <c r="NVE42" i="1"/>
  <c r="NVE43" i="1" s="1"/>
  <c r="NVD42" i="1"/>
  <c r="NVD43" i="1" s="1"/>
  <c r="NVC42" i="1"/>
  <c r="NVC43" i="1" s="1"/>
  <c r="NVB42" i="1"/>
  <c r="NVB43" i="1" s="1"/>
  <c r="NVA42" i="1"/>
  <c r="NVA43" i="1" s="1"/>
  <c r="NUZ42" i="1"/>
  <c r="NUZ43" i="1" s="1"/>
  <c r="NUY42" i="1"/>
  <c r="NUY43" i="1" s="1"/>
  <c r="NUX42" i="1"/>
  <c r="NUX43" i="1" s="1"/>
  <c r="NUW42" i="1"/>
  <c r="NUW43" i="1" s="1"/>
  <c r="NUV42" i="1"/>
  <c r="NUV43" i="1" s="1"/>
  <c r="NUU42" i="1"/>
  <c r="NUU43" i="1" s="1"/>
  <c r="NUT42" i="1"/>
  <c r="NUT43" i="1" s="1"/>
  <c r="NUS42" i="1"/>
  <c r="NUS43" i="1" s="1"/>
  <c r="NUR42" i="1"/>
  <c r="NUR43" i="1" s="1"/>
  <c r="NUQ42" i="1"/>
  <c r="NUQ43" i="1" s="1"/>
  <c r="NUP42" i="1"/>
  <c r="NUP43" i="1" s="1"/>
  <c r="NUO42" i="1"/>
  <c r="NUO43" i="1" s="1"/>
  <c r="NUN42" i="1"/>
  <c r="NUN43" i="1" s="1"/>
  <c r="NUM42" i="1"/>
  <c r="NUM43" i="1" s="1"/>
  <c r="NUL42" i="1"/>
  <c r="NUL43" i="1" s="1"/>
  <c r="NUK42" i="1"/>
  <c r="NUK43" i="1" s="1"/>
  <c r="NUJ42" i="1"/>
  <c r="NUJ43" i="1" s="1"/>
  <c r="NUI42" i="1"/>
  <c r="NUI43" i="1" s="1"/>
  <c r="NUH42" i="1"/>
  <c r="NUH43" i="1" s="1"/>
  <c r="NUG42" i="1"/>
  <c r="NUG43" i="1" s="1"/>
  <c r="NUF42" i="1"/>
  <c r="NUF43" i="1" s="1"/>
  <c r="NUE42" i="1"/>
  <c r="NUE43" i="1" s="1"/>
  <c r="NUD42" i="1"/>
  <c r="NUD43" i="1" s="1"/>
  <c r="NUC42" i="1"/>
  <c r="NUC43" i="1" s="1"/>
  <c r="NUB42" i="1"/>
  <c r="NUB43" i="1" s="1"/>
  <c r="NUA42" i="1"/>
  <c r="NUA43" i="1" s="1"/>
  <c r="NTZ42" i="1"/>
  <c r="NTZ43" i="1" s="1"/>
  <c r="NTY42" i="1"/>
  <c r="NTY43" i="1" s="1"/>
  <c r="NTX42" i="1"/>
  <c r="NTX43" i="1" s="1"/>
  <c r="NTW42" i="1"/>
  <c r="NTW43" i="1" s="1"/>
  <c r="NTV42" i="1"/>
  <c r="NTV43" i="1" s="1"/>
  <c r="NTU42" i="1"/>
  <c r="NTU43" i="1" s="1"/>
  <c r="NTT42" i="1"/>
  <c r="NTT43" i="1" s="1"/>
  <c r="NTS42" i="1"/>
  <c r="NTS43" i="1" s="1"/>
  <c r="NTR42" i="1"/>
  <c r="NTR43" i="1" s="1"/>
  <c r="NTQ42" i="1"/>
  <c r="NTQ43" i="1" s="1"/>
  <c r="NTP42" i="1"/>
  <c r="NTP43" i="1" s="1"/>
  <c r="NTO42" i="1"/>
  <c r="NTO43" i="1" s="1"/>
  <c r="NTN42" i="1"/>
  <c r="NTN43" i="1" s="1"/>
  <c r="NTM42" i="1"/>
  <c r="NTM43" i="1" s="1"/>
  <c r="NTL42" i="1"/>
  <c r="NTL43" i="1" s="1"/>
  <c r="NTK42" i="1"/>
  <c r="NTK43" i="1" s="1"/>
  <c r="NTJ42" i="1"/>
  <c r="NTJ43" i="1" s="1"/>
  <c r="NTI42" i="1"/>
  <c r="NTI43" i="1" s="1"/>
  <c r="NTH42" i="1"/>
  <c r="NTH43" i="1" s="1"/>
  <c r="NTG42" i="1"/>
  <c r="NTG43" i="1" s="1"/>
  <c r="NTF42" i="1"/>
  <c r="NTF43" i="1" s="1"/>
  <c r="NTE42" i="1"/>
  <c r="NTE43" i="1" s="1"/>
  <c r="NTD42" i="1"/>
  <c r="NTD43" i="1" s="1"/>
  <c r="NTC42" i="1"/>
  <c r="NTC43" i="1" s="1"/>
  <c r="NTB42" i="1"/>
  <c r="NTB43" i="1" s="1"/>
  <c r="NTA42" i="1"/>
  <c r="NTA43" i="1" s="1"/>
  <c r="NSZ42" i="1"/>
  <c r="NSZ43" i="1" s="1"/>
  <c r="NSY42" i="1"/>
  <c r="NSY43" i="1" s="1"/>
  <c r="NSX42" i="1"/>
  <c r="NSX43" i="1" s="1"/>
  <c r="NSW42" i="1"/>
  <c r="NSW43" i="1" s="1"/>
  <c r="NSV42" i="1"/>
  <c r="NSV43" i="1" s="1"/>
  <c r="NSU42" i="1"/>
  <c r="NSU43" i="1" s="1"/>
  <c r="NST42" i="1"/>
  <c r="NST43" i="1" s="1"/>
  <c r="NSS42" i="1"/>
  <c r="NSS43" i="1" s="1"/>
  <c r="NSR42" i="1"/>
  <c r="NSR43" i="1" s="1"/>
  <c r="NSQ42" i="1"/>
  <c r="NSQ43" i="1" s="1"/>
  <c r="NSP42" i="1"/>
  <c r="NSP43" i="1" s="1"/>
  <c r="NSO42" i="1"/>
  <c r="NSO43" i="1" s="1"/>
  <c r="NSN42" i="1"/>
  <c r="NSN43" i="1" s="1"/>
  <c r="NSM42" i="1"/>
  <c r="NSM43" i="1" s="1"/>
  <c r="NSL42" i="1"/>
  <c r="NSL43" i="1" s="1"/>
  <c r="NSK42" i="1"/>
  <c r="NSK43" i="1" s="1"/>
  <c r="NSJ42" i="1"/>
  <c r="NSJ43" i="1" s="1"/>
  <c r="NSI42" i="1"/>
  <c r="NSI43" i="1" s="1"/>
  <c r="NSH42" i="1"/>
  <c r="NSH43" i="1" s="1"/>
  <c r="NSG42" i="1"/>
  <c r="NSG43" i="1" s="1"/>
  <c r="NSF42" i="1"/>
  <c r="NSF43" i="1" s="1"/>
  <c r="NSE42" i="1"/>
  <c r="NSE43" i="1" s="1"/>
  <c r="NSD42" i="1"/>
  <c r="NSD43" i="1" s="1"/>
  <c r="NSC42" i="1"/>
  <c r="NSC43" i="1" s="1"/>
  <c r="NSB42" i="1"/>
  <c r="NSB43" i="1" s="1"/>
  <c r="NSA42" i="1"/>
  <c r="NSA43" i="1" s="1"/>
  <c r="NRZ42" i="1"/>
  <c r="NRZ43" i="1" s="1"/>
  <c r="NRY42" i="1"/>
  <c r="NRY43" i="1" s="1"/>
  <c r="NRX42" i="1"/>
  <c r="NRX43" i="1" s="1"/>
  <c r="NRW42" i="1"/>
  <c r="NRW43" i="1" s="1"/>
  <c r="NRV42" i="1"/>
  <c r="NRV43" i="1" s="1"/>
  <c r="NRU42" i="1"/>
  <c r="NRU43" i="1" s="1"/>
  <c r="NRT42" i="1"/>
  <c r="NRT43" i="1" s="1"/>
  <c r="NRS42" i="1"/>
  <c r="NRS43" i="1" s="1"/>
  <c r="NRR42" i="1"/>
  <c r="NRR43" i="1" s="1"/>
  <c r="NRQ42" i="1"/>
  <c r="NRQ43" i="1" s="1"/>
  <c r="NRP42" i="1"/>
  <c r="NRP43" i="1" s="1"/>
  <c r="NRO42" i="1"/>
  <c r="NRO43" i="1" s="1"/>
  <c r="NRN42" i="1"/>
  <c r="NRN43" i="1" s="1"/>
  <c r="NRM42" i="1"/>
  <c r="NRM43" i="1" s="1"/>
  <c r="NRL42" i="1"/>
  <c r="NRL43" i="1" s="1"/>
  <c r="NRK42" i="1"/>
  <c r="NRK43" i="1" s="1"/>
  <c r="NRJ42" i="1"/>
  <c r="NRJ43" i="1" s="1"/>
  <c r="NRI42" i="1"/>
  <c r="NRI43" i="1" s="1"/>
  <c r="NRH42" i="1"/>
  <c r="NRH43" i="1" s="1"/>
  <c r="NRG42" i="1"/>
  <c r="NRG43" i="1" s="1"/>
  <c r="NRF42" i="1"/>
  <c r="NRF43" i="1" s="1"/>
  <c r="NRE42" i="1"/>
  <c r="NRE43" i="1" s="1"/>
  <c r="NRD42" i="1"/>
  <c r="NRD43" i="1" s="1"/>
  <c r="NRC42" i="1"/>
  <c r="NRC43" i="1" s="1"/>
  <c r="NRB42" i="1"/>
  <c r="NRB43" i="1" s="1"/>
  <c r="NRA42" i="1"/>
  <c r="NRA43" i="1" s="1"/>
  <c r="NQZ42" i="1"/>
  <c r="NQZ43" i="1" s="1"/>
  <c r="NQY42" i="1"/>
  <c r="NQY43" i="1" s="1"/>
  <c r="NQX42" i="1"/>
  <c r="NQX43" i="1" s="1"/>
  <c r="NQW42" i="1"/>
  <c r="NQW43" i="1" s="1"/>
  <c r="NQV42" i="1"/>
  <c r="NQV43" i="1" s="1"/>
  <c r="NQU42" i="1"/>
  <c r="NQU43" i="1" s="1"/>
  <c r="NQT42" i="1"/>
  <c r="NQT43" i="1" s="1"/>
  <c r="NQS42" i="1"/>
  <c r="NQS43" i="1" s="1"/>
  <c r="NQR42" i="1"/>
  <c r="NQR43" i="1" s="1"/>
  <c r="NQQ42" i="1"/>
  <c r="NQQ43" i="1" s="1"/>
  <c r="NQP42" i="1"/>
  <c r="NQP43" i="1" s="1"/>
  <c r="NQO42" i="1"/>
  <c r="NQO43" i="1" s="1"/>
  <c r="NQN42" i="1"/>
  <c r="NQN43" i="1" s="1"/>
  <c r="NQM42" i="1"/>
  <c r="NQM43" i="1" s="1"/>
  <c r="NQL42" i="1"/>
  <c r="NQL43" i="1" s="1"/>
  <c r="NQK42" i="1"/>
  <c r="NQK43" i="1" s="1"/>
  <c r="NQJ42" i="1"/>
  <c r="NQJ43" i="1" s="1"/>
  <c r="NQI42" i="1"/>
  <c r="NQI43" i="1" s="1"/>
  <c r="NQH42" i="1"/>
  <c r="NQH43" i="1" s="1"/>
  <c r="NQG42" i="1"/>
  <c r="NQG43" i="1" s="1"/>
  <c r="NQF42" i="1"/>
  <c r="NQF43" i="1" s="1"/>
  <c r="NQE42" i="1"/>
  <c r="NQE43" i="1" s="1"/>
  <c r="NQD42" i="1"/>
  <c r="NQD43" i="1" s="1"/>
  <c r="NQC42" i="1"/>
  <c r="NQC43" i="1" s="1"/>
  <c r="NQB42" i="1"/>
  <c r="NQB43" i="1" s="1"/>
  <c r="NQA42" i="1"/>
  <c r="NQA43" i="1" s="1"/>
  <c r="NPZ42" i="1"/>
  <c r="NPZ43" i="1" s="1"/>
  <c r="NPY42" i="1"/>
  <c r="NPY43" i="1" s="1"/>
  <c r="NPX42" i="1"/>
  <c r="NPX43" i="1" s="1"/>
  <c r="NPW42" i="1"/>
  <c r="NPW43" i="1" s="1"/>
  <c r="NPV42" i="1"/>
  <c r="NPV43" i="1" s="1"/>
  <c r="NPU42" i="1"/>
  <c r="NPU43" i="1" s="1"/>
  <c r="NPT42" i="1"/>
  <c r="NPT43" i="1" s="1"/>
  <c r="NPS42" i="1"/>
  <c r="NPS43" i="1" s="1"/>
  <c r="NPR42" i="1"/>
  <c r="NPR43" i="1" s="1"/>
  <c r="NPQ42" i="1"/>
  <c r="NPQ43" i="1" s="1"/>
  <c r="NPP42" i="1"/>
  <c r="NPP43" i="1" s="1"/>
  <c r="NPO42" i="1"/>
  <c r="NPO43" i="1" s="1"/>
  <c r="NPN42" i="1"/>
  <c r="NPN43" i="1" s="1"/>
  <c r="NPM42" i="1"/>
  <c r="NPM43" i="1" s="1"/>
  <c r="NPL42" i="1"/>
  <c r="NPL43" i="1" s="1"/>
  <c r="NPK42" i="1"/>
  <c r="NPK43" i="1" s="1"/>
  <c r="NPJ42" i="1"/>
  <c r="NPJ43" i="1" s="1"/>
  <c r="NPI42" i="1"/>
  <c r="NPI43" i="1" s="1"/>
  <c r="NPH42" i="1"/>
  <c r="NPH43" i="1" s="1"/>
  <c r="NPG42" i="1"/>
  <c r="NPG43" i="1" s="1"/>
  <c r="NPF42" i="1"/>
  <c r="NPF43" i="1" s="1"/>
  <c r="NPE42" i="1"/>
  <c r="NPE43" i="1" s="1"/>
  <c r="NPD42" i="1"/>
  <c r="NPD43" i="1" s="1"/>
  <c r="NPC42" i="1"/>
  <c r="NPC43" i="1" s="1"/>
  <c r="NPB42" i="1"/>
  <c r="NPB43" i="1" s="1"/>
  <c r="NPA42" i="1"/>
  <c r="NPA43" i="1" s="1"/>
  <c r="NOZ42" i="1"/>
  <c r="NOZ43" i="1" s="1"/>
  <c r="NOY42" i="1"/>
  <c r="NOY43" i="1" s="1"/>
  <c r="NOX42" i="1"/>
  <c r="NOX43" i="1" s="1"/>
  <c r="NOW42" i="1"/>
  <c r="NOW43" i="1" s="1"/>
  <c r="NOV42" i="1"/>
  <c r="NOV43" i="1" s="1"/>
  <c r="NOU42" i="1"/>
  <c r="NOU43" i="1" s="1"/>
  <c r="NOT42" i="1"/>
  <c r="NOT43" i="1" s="1"/>
  <c r="NOS42" i="1"/>
  <c r="NOS43" i="1" s="1"/>
  <c r="NOR42" i="1"/>
  <c r="NOR43" i="1" s="1"/>
  <c r="NOQ42" i="1"/>
  <c r="NOQ43" i="1" s="1"/>
  <c r="NOP42" i="1"/>
  <c r="NOP43" i="1" s="1"/>
  <c r="NOO42" i="1"/>
  <c r="NOO43" i="1" s="1"/>
  <c r="NON42" i="1"/>
  <c r="NON43" i="1" s="1"/>
  <c r="NOM42" i="1"/>
  <c r="NOM43" i="1" s="1"/>
  <c r="NOL42" i="1"/>
  <c r="NOL43" i="1" s="1"/>
  <c r="NOK42" i="1"/>
  <c r="NOK43" i="1" s="1"/>
  <c r="NOJ42" i="1"/>
  <c r="NOJ43" i="1" s="1"/>
  <c r="NOI42" i="1"/>
  <c r="NOI43" i="1" s="1"/>
  <c r="NOH42" i="1"/>
  <c r="NOH43" i="1" s="1"/>
  <c r="NOG42" i="1"/>
  <c r="NOG43" i="1" s="1"/>
  <c r="NOF42" i="1"/>
  <c r="NOF43" i="1" s="1"/>
  <c r="NOE42" i="1"/>
  <c r="NOE43" i="1" s="1"/>
  <c r="NOD42" i="1"/>
  <c r="NOD43" i="1" s="1"/>
  <c r="NOC42" i="1"/>
  <c r="NOC43" i="1" s="1"/>
  <c r="NOB42" i="1"/>
  <c r="NOB43" i="1" s="1"/>
  <c r="NOA42" i="1"/>
  <c r="NOA43" i="1" s="1"/>
  <c r="NNZ42" i="1"/>
  <c r="NNZ43" i="1" s="1"/>
  <c r="NNY42" i="1"/>
  <c r="NNY43" i="1" s="1"/>
  <c r="NNX42" i="1"/>
  <c r="NNX43" i="1" s="1"/>
  <c r="NNW42" i="1"/>
  <c r="NNW43" i="1" s="1"/>
  <c r="NNV42" i="1"/>
  <c r="NNV43" i="1" s="1"/>
  <c r="NNU42" i="1"/>
  <c r="NNU43" i="1" s="1"/>
  <c r="NNT42" i="1"/>
  <c r="NNT43" i="1" s="1"/>
  <c r="NNS42" i="1"/>
  <c r="NNS43" i="1" s="1"/>
  <c r="NNR42" i="1"/>
  <c r="NNR43" i="1" s="1"/>
  <c r="NNQ42" i="1"/>
  <c r="NNQ43" i="1" s="1"/>
  <c r="NNP42" i="1"/>
  <c r="NNP43" i="1" s="1"/>
  <c r="NNO42" i="1"/>
  <c r="NNO43" i="1" s="1"/>
  <c r="NNN42" i="1"/>
  <c r="NNN43" i="1" s="1"/>
  <c r="NNM42" i="1"/>
  <c r="NNM43" i="1" s="1"/>
  <c r="NNL42" i="1"/>
  <c r="NNL43" i="1" s="1"/>
  <c r="NNK42" i="1"/>
  <c r="NNK43" i="1" s="1"/>
  <c r="NNJ42" i="1"/>
  <c r="NNJ43" i="1" s="1"/>
  <c r="NNI42" i="1"/>
  <c r="NNI43" i="1" s="1"/>
  <c r="NNH42" i="1"/>
  <c r="NNH43" i="1" s="1"/>
  <c r="NNG42" i="1"/>
  <c r="NNG43" i="1" s="1"/>
  <c r="NNF42" i="1"/>
  <c r="NNF43" i="1" s="1"/>
  <c r="NNE42" i="1"/>
  <c r="NNE43" i="1" s="1"/>
  <c r="NND42" i="1"/>
  <c r="NND43" i="1" s="1"/>
  <c r="NNC42" i="1"/>
  <c r="NNC43" i="1" s="1"/>
  <c r="NNB42" i="1"/>
  <c r="NNB43" i="1" s="1"/>
  <c r="NNA42" i="1"/>
  <c r="NNA43" i="1" s="1"/>
  <c r="NMZ42" i="1"/>
  <c r="NMZ43" i="1" s="1"/>
  <c r="NMY42" i="1"/>
  <c r="NMY43" i="1" s="1"/>
  <c r="NMX42" i="1"/>
  <c r="NMX43" i="1" s="1"/>
  <c r="NMW42" i="1"/>
  <c r="NMW43" i="1" s="1"/>
  <c r="NMV42" i="1"/>
  <c r="NMV43" i="1" s="1"/>
  <c r="NMU42" i="1"/>
  <c r="NMU43" i="1" s="1"/>
  <c r="NMT42" i="1"/>
  <c r="NMT43" i="1" s="1"/>
  <c r="NMS42" i="1"/>
  <c r="NMS43" i="1" s="1"/>
  <c r="NMR42" i="1"/>
  <c r="NMR43" i="1" s="1"/>
  <c r="NMQ42" i="1"/>
  <c r="NMQ43" i="1" s="1"/>
  <c r="NMP42" i="1"/>
  <c r="NMP43" i="1" s="1"/>
  <c r="NMO42" i="1"/>
  <c r="NMO43" i="1" s="1"/>
  <c r="NMN42" i="1"/>
  <c r="NMN43" i="1" s="1"/>
  <c r="NMM42" i="1"/>
  <c r="NMM43" i="1" s="1"/>
  <c r="NML42" i="1"/>
  <c r="NML43" i="1" s="1"/>
  <c r="NMK42" i="1"/>
  <c r="NMK43" i="1" s="1"/>
  <c r="NMJ42" i="1"/>
  <c r="NMJ43" i="1" s="1"/>
  <c r="NMI42" i="1"/>
  <c r="NMI43" i="1" s="1"/>
  <c r="NMH42" i="1"/>
  <c r="NMH43" i="1" s="1"/>
  <c r="NMG42" i="1"/>
  <c r="NMG43" i="1" s="1"/>
  <c r="NMF42" i="1"/>
  <c r="NMF43" i="1" s="1"/>
  <c r="NME42" i="1"/>
  <c r="NME43" i="1" s="1"/>
  <c r="NMD42" i="1"/>
  <c r="NMD43" i="1" s="1"/>
  <c r="NMC42" i="1"/>
  <c r="NMC43" i="1" s="1"/>
  <c r="NMB42" i="1"/>
  <c r="NMB43" i="1" s="1"/>
  <c r="NMA42" i="1"/>
  <c r="NMA43" i="1" s="1"/>
  <c r="NLZ42" i="1"/>
  <c r="NLZ43" i="1" s="1"/>
  <c r="NLY42" i="1"/>
  <c r="NLY43" i="1" s="1"/>
  <c r="NLX42" i="1"/>
  <c r="NLX43" i="1" s="1"/>
  <c r="NLW42" i="1"/>
  <c r="NLW43" i="1" s="1"/>
  <c r="NLV42" i="1"/>
  <c r="NLV43" i="1" s="1"/>
  <c r="NLU42" i="1"/>
  <c r="NLU43" i="1" s="1"/>
  <c r="NLT42" i="1"/>
  <c r="NLT43" i="1" s="1"/>
  <c r="NLS42" i="1"/>
  <c r="NLS43" i="1" s="1"/>
  <c r="NLR42" i="1"/>
  <c r="NLR43" i="1" s="1"/>
  <c r="NLQ42" i="1"/>
  <c r="NLQ43" i="1" s="1"/>
  <c r="NLP42" i="1"/>
  <c r="NLP43" i="1" s="1"/>
  <c r="NLO42" i="1"/>
  <c r="NLO43" i="1" s="1"/>
  <c r="NLN42" i="1"/>
  <c r="NLN43" i="1" s="1"/>
  <c r="NLM42" i="1"/>
  <c r="NLM43" i="1" s="1"/>
  <c r="NLL42" i="1"/>
  <c r="NLL43" i="1" s="1"/>
  <c r="NLK42" i="1"/>
  <c r="NLK43" i="1" s="1"/>
  <c r="NLJ42" i="1"/>
  <c r="NLJ43" i="1" s="1"/>
  <c r="NLI42" i="1"/>
  <c r="NLI43" i="1" s="1"/>
  <c r="NLH42" i="1"/>
  <c r="NLH43" i="1" s="1"/>
  <c r="NLG42" i="1"/>
  <c r="NLG43" i="1" s="1"/>
  <c r="NLF42" i="1"/>
  <c r="NLF43" i="1" s="1"/>
  <c r="NLE42" i="1"/>
  <c r="NLE43" i="1" s="1"/>
  <c r="NLD42" i="1"/>
  <c r="NLD43" i="1" s="1"/>
  <c r="NLC42" i="1"/>
  <c r="NLC43" i="1" s="1"/>
  <c r="NLB42" i="1"/>
  <c r="NLB43" i="1" s="1"/>
  <c r="NLA42" i="1"/>
  <c r="NLA43" i="1" s="1"/>
  <c r="NKZ42" i="1"/>
  <c r="NKZ43" i="1" s="1"/>
  <c r="NKY42" i="1"/>
  <c r="NKY43" i="1" s="1"/>
  <c r="NKX42" i="1"/>
  <c r="NKX43" i="1" s="1"/>
  <c r="NKW42" i="1"/>
  <c r="NKW43" i="1" s="1"/>
  <c r="NKV42" i="1"/>
  <c r="NKV43" i="1" s="1"/>
  <c r="NKU42" i="1"/>
  <c r="NKU43" i="1" s="1"/>
  <c r="NKT42" i="1"/>
  <c r="NKT43" i="1" s="1"/>
  <c r="NKS42" i="1"/>
  <c r="NKS43" i="1" s="1"/>
  <c r="NKR42" i="1"/>
  <c r="NKR43" i="1" s="1"/>
  <c r="NKQ42" i="1"/>
  <c r="NKQ43" i="1" s="1"/>
  <c r="NKP42" i="1"/>
  <c r="NKP43" i="1" s="1"/>
  <c r="NKO42" i="1"/>
  <c r="NKO43" i="1" s="1"/>
  <c r="NKN42" i="1"/>
  <c r="NKN43" i="1" s="1"/>
  <c r="NKM42" i="1"/>
  <c r="NKM43" i="1" s="1"/>
  <c r="NKL42" i="1"/>
  <c r="NKL43" i="1" s="1"/>
  <c r="NKK42" i="1"/>
  <c r="NKK43" i="1" s="1"/>
  <c r="NKJ42" i="1"/>
  <c r="NKJ43" i="1" s="1"/>
  <c r="NKI42" i="1"/>
  <c r="NKI43" i="1" s="1"/>
  <c r="NKH42" i="1"/>
  <c r="NKH43" i="1" s="1"/>
  <c r="NKG42" i="1"/>
  <c r="NKG43" i="1" s="1"/>
  <c r="NKF42" i="1"/>
  <c r="NKF43" i="1" s="1"/>
  <c r="NKE42" i="1"/>
  <c r="NKE43" i="1" s="1"/>
  <c r="NKD42" i="1"/>
  <c r="NKD43" i="1" s="1"/>
  <c r="NKC42" i="1"/>
  <c r="NKC43" i="1" s="1"/>
  <c r="NKB42" i="1"/>
  <c r="NKB43" i="1" s="1"/>
  <c r="NKA42" i="1"/>
  <c r="NKA43" i="1" s="1"/>
  <c r="NJZ42" i="1"/>
  <c r="NJZ43" i="1" s="1"/>
  <c r="NJY42" i="1"/>
  <c r="NJY43" i="1" s="1"/>
  <c r="NJX42" i="1"/>
  <c r="NJX43" i="1" s="1"/>
  <c r="NJW42" i="1"/>
  <c r="NJW43" i="1" s="1"/>
  <c r="NJV42" i="1"/>
  <c r="NJV43" i="1" s="1"/>
  <c r="NJU42" i="1"/>
  <c r="NJU43" i="1" s="1"/>
  <c r="NJT42" i="1"/>
  <c r="NJT43" i="1" s="1"/>
  <c r="NJS42" i="1"/>
  <c r="NJS43" i="1" s="1"/>
  <c r="NJR42" i="1"/>
  <c r="NJR43" i="1" s="1"/>
  <c r="NJQ42" i="1"/>
  <c r="NJQ43" i="1" s="1"/>
  <c r="NJP42" i="1"/>
  <c r="NJP43" i="1" s="1"/>
  <c r="NJO42" i="1"/>
  <c r="NJO43" i="1" s="1"/>
  <c r="NJN42" i="1"/>
  <c r="NJN43" i="1" s="1"/>
  <c r="NJM42" i="1"/>
  <c r="NJM43" i="1" s="1"/>
  <c r="NJL42" i="1"/>
  <c r="NJL43" i="1" s="1"/>
  <c r="NJK42" i="1"/>
  <c r="NJK43" i="1" s="1"/>
  <c r="NJJ42" i="1"/>
  <c r="NJJ43" i="1" s="1"/>
  <c r="NJI42" i="1"/>
  <c r="NJI43" i="1" s="1"/>
  <c r="NJH42" i="1"/>
  <c r="NJH43" i="1" s="1"/>
  <c r="NJG42" i="1"/>
  <c r="NJG43" i="1" s="1"/>
  <c r="NJF42" i="1"/>
  <c r="NJF43" i="1" s="1"/>
  <c r="NJE42" i="1"/>
  <c r="NJE43" i="1" s="1"/>
  <c r="NJD42" i="1"/>
  <c r="NJD43" i="1" s="1"/>
  <c r="NJC42" i="1"/>
  <c r="NJC43" i="1" s="1"/>
  <c r="NJB42" i="1"/>
  <c r="NJB43" i="1" s="1"/>
  <c r="NJA42" i="1"/>
  <c r="NJA43" i="1" s="1"/>
  <c r="NIZ42" i="1"/>
  <c r="NIZ43" i="1" s="1"/>
  <c r="NIY42" i="1"/>
  <c r="NIY43" i="1" s="1"/>
  <c r="NIX42" i="1"/>
  <c r="NIX43" i="1" s="1"/>
  <c r="NIW42" i="1"/>
  <c r="NIW43" i="1" s="1"/>
  <c r="NIV42" i="1"/>
  <c r="NIV43" i="1" s="1"/>
  <c r="NIU42" i="1"/>
  <c r="NIU43" i="1" s="1"/>
  <c r="NIT42" i="1"/>
  <c r="NIT43" i="1" s="1"/>
  <c r="NIS42" i="1"/>
  <c r="NIS43" i="1" s="1"/>
  <c r="NIR42" i="1"/>
  <c r="NIR43" i="1" s="1"/>
  <c r="NIQ42" i="1"/>
  <c r="NIQ43" i="1" s="1"/>
  <c r="NIP42" i="1"/>
  <c r="NIP43" i="1" s="1"/>
  <c r="NIO42" i="1"/>
  <c r="NIO43" i="1" s="1"/>
  <c r="NIN42" i="1"/>
  <c r="NIN43" i="1" s="1"/>
  <c r="NIM42" i="1"/>
  <c r="NIM43" i="1" s="1"/>
  <c r="NIL42" i="1"/>
  <c r="NIL43" i="1" s="1"/>
  <c r="NIK42" i="1"/>
  <c r="NIK43" i="1" s="1"/>
  <c r="NIJ42" i="1"/>
  <c r="NIJ43" i="1" s="1"/>
  <c r="NII42" i="1"/>
  <c r="NII43" i="1" s="1"/>
  <c r="NIH42" i="1"/>
  <c r="NIH43" i="1" s="1"/>
  <c r="NIG42" i="1"/>
  <c r="NIG43" i="1" s="1"/>
  <c r="NIF42" i="1"/>
  <c r="NIF43" i="1" s="1"/>
  <c r="NIE42" i="1"/>
  <c r="NIE43" i="1" s="1"/>
  <c r="NID42" i="1"/>
  <c r="NID43" i="1" s="1"/>
  <c r="NIC42" i="1"/>
  <c r="NIC43" i="1" s="1"/>
  <c r="NIB42" i="1"/>
  <c r="NIB43" i="1" s="1"/>
  <c r="NIA42" i="1"/>
  <c r="NIA43" i="1" s="1"/>
  <c r="NHZ42" i="1"/>
  <c r="NHZ43" i="1" s="1"/>
  <c r="NHY42" i="1"/>
  <c r="NHY43" i="1" s="1"/>
  <c r="NHX42" i="1"/>
  <c r="NHX43" i="1" s="1"/>
  <c r="NHW42" i="1"/>
  <c r="NHW43" i="1" s="1"/>
  <c r="NHV42" i="1"/>
  <c r="NHV43" i="1" s="1"/>
  <c r="NHU42" i="1"/>
  <c r="NHU43" i="1" s="1"/>
  <c r="NHT42" i="1"/>
  <c r="NHT43" i="1" s="1"/>
  <c r="NHS42" i="1"/>
  <c r="NHS43" i="1" s="1"/>
  <c r="NHR42" i="1"/>
  <c r="NHR43" i="1" s="1"/>
  <c r="NHQ42" i="1"/>
  <c r="NHQ43" i="1" s="1"/>
  <c r="NHP42" i="1"/>
  <c r="NHP43" i="1" s="1"/>
  <c r="NHO42" i="1"/>
  <c r="NHO43" i="1" s="1"/>
  <c r="NHN42" i="1"/>
  <c r="NHN43" i="1" s="1"/>
  <c r="NHM42" i="1"/>
  <c r="NHM43" i="1" s="1"/>
  <c r="NHL42" i="1"/>
  <c r="NHL43" i="1" s="1"/>
  <c r="NHK42" i="1"/>
  <c r="NHK43" i="1" s="1"/>
  <c r="NHJ42" i="1"/>
  <c r="NHJ43" i="1" s="1"/>
  <c r="NHI42" i="1"/>
  <c r="NHI43" i="1" s="1"/>
  <c r="NHH42" i="1"/>
  <c r="NHH43" i="1" s="1"/>
  <c r="NHG42" i="1"/>
  <c r="NHG43" i="1" s="1"/>
  <c r="NHF42" i="1"/>
  <c r="NHF43" i="1" s="1"/>
  <c r="NHE42" i="1"/>
  <c r="NHE43" i="1" s="1"/>
  <c r="NHD42" i="1"/>
  <c r="NHD43" i="1" s="1"/>
  <c r="NHC42" i="1"/>
  <c r="NHC43" i="1" s="1"/>
  <c r="NHB42" i="1"/>
  <c r="NHB43" i="1" s="1"/>
  <c r="NHA42" i="1"/>
  <c r="NHA43" i="1" s="1"/>
  <c r="NGZ42" i="1"/>
  <c r="NGZ43" i="1" s="1"/>
  <c r="NGY42" i="1"/>
  <c r="NGY43" i="1" s="1"/>
  <c r="NGX42" i="1"/>
  <c r="NGX43" i="1" s="1"/>
  <c r="NGW42" i="1"/>
  <c r="NGW43" i="1" s="1"/>
  <c r="NGV42" i="1"/>
  <c r="NGV43" i="1" s="1"/>
  <c r="NGU42" i="1"/>
  <c r="NGU43" i="1" s="1"/>
  <c r="NGT42" i="1"/>
  <c r="NGT43" i="1" s="1"/>
  <c r="NGS42" i="1"/>
  <c r="NGS43" i="1" s="1"/>
  <c r="NGR42" i="1"/>
  <c r="NGR43" i="1" s="1"/>
  <c r="NGQ42" i="1"/>
  <c r="NGQ43" i="1" s="1"/>
  <c r="NGP42" i="1"/>
  <c r="NGP43" i="1" s="1"/>
  <c r="NGO42" i="1"/>
  <c r="NGO43" i="1" s="1"/>
  <c r="NGN42" i="1"/>
  <c r="NGN43" i="1" s="1"/>
  <c r="NGM42" i="1"/>
  <c r="NGM43" i="1" s="1"/>
  <c r="NGL42" i="1"/>
  <c r="NGL43" i="1" s="1"/>
  <c r="NGK42" i="1"/>
  <c r="NGK43" i="1" s="1"/>
  <c r="NGJ42" i="1"/>
  <c r="NGJ43" i="1" s="1"/>
  <c r="NGI42" i="1"/>
  <c r="NGI43" i="1" s="1"/>
  <c r="NGH42" i="1"/>
  <c r="NGH43" i="1" s="1"/>
  <c r="NGG42" i="1"/>
  <c r="NGG43" i="1" s="1"/>
  <c r="NGF42" i="1"/>
  <c r="NGF43" i="1" s="1"/>
  <c r="NGE42" i="1"/>
  <c r="NGE43" i="1" s="1"/>
  <c r="NGD42" i="1"/>
  <c r="NGD43" i="1" s="1"/>
  <c r="NGC42" i="1"/>
  <c r="NGC43" i="1" s="1"/>
  <c r="NGB42" i="1"/>
  <c r="NGB43" i="1" s="1"/>
  <c r="NGA42" i="1"/>
  <c r="NGA43" i="1" s="1"/>
  <c r="NFZ42" i="1"/>
  <c r="NFZ43" i="1" s="1"/>
  <c r="NFY42" i="1"/>
  <c r="NFY43" i="1" s="1"/>
  <c r="NFX42" i="1"/>
  <c r="NFX43" i="1" s="1"/>
  <c r="NFW42" i="1"/>
  <c r="NFW43" i="1" s="1"/>
  <c r="NFV42" i="1"/>
  <c r="NFV43" i="1" s="1"/>
  <c r="NFU42" i="1"/>
  <c r="NFU43" i="1" s="1"/>
  <c r="NFT42" i="1"/>
  <c r="NFT43" i="1" s="1"/>
  <c r="NFS42" i="1"/>
  <c r="NFS43" i="1" s="1"/>
  <c r="NFR42" i="1"/>
  <c r="NFR43" i="1" s="1"/>
  <c r="NFQ42" i="1"/>
  <c r="NFQ43" i="1" s="1"/>
  <c r="NFP42" i="1"/>
  <c r="NFP43" i="1" s="1"/>
  <c r="NFO42" i="1"/>
  <c r="NFO43" i="1" s="1"/>
  <c r="NFN42" i="1"/>
  <c r="NFN43" i="1" s="1"/>
  <c r="NFM42" i="1"/>
  <c r="NFM43" i="1" s="1"/>
  <c r="NFL42" i="1"/>
  <c r="NFL43" i="1" s="1"/>
  <c r="NFK42" i="1"/>
  <c r="NFK43" i="1" s="1"/>
  <c r="NFJ42" i="1"/>
  <c r="NFJ43" i="1" s="1"/>
  <c r="NFI42" i="1"/>
  <c r="NFI43" i="1" s="1"/>
  <c r="NFH42" i="1"/>
  <c r="NFH43" i="1" s="1"/>
  <c r="NFG42" i="1"/>
  <c r="NFG43" i="1" s="1"/>
  <c r="NFF42" i="1"/>
  <c r="NFF43" i="1" s="1"/>
  <c r="NFE42" i="1"/>
  <c r="NFE43" i="1" s="1"/>
  <c r="NFD42" i="1"/>
  <c r="NFD43" i="1" s="1"/>
  <c r="NFC42" i="1"/>
  <c r="NFC43" i="1" s="1"/>
  <c r="NFB42" i="1"/>
  <c r="NFB43" i="1" s="1"/>
  <c r="NFA42" i="1"/>
  <c r="NFA43" i="1" s="1"/>
  <c r="NEZ42" i="1"/>
  <c r="NEZ43" i="1" s="1"/>
  <c r="NEY42" i="1"/>
  <c r="NEY43" i="1" s="1"/>
  <c r="NEX42" i="1"/>
  <c r="NEX43" i="1" s="1"/>
  <c r="NEW42" i="1"/>
  <c r="NEW43" i="1" s="1"/>
  <c r="NEV42" i="1"/>
  <c r="NEV43" i="1" s="1"/>
  <c r="NEU42" i="1"/>
  <c r="NEU43" i="1" s="1"/>
  <c r="NET42" i="1"/>
  <c r="NET43" i="1" s="1"/>
  <c r="NES42" i="1"/>
  <c r="NES43" i="1" s="1"/>
  <c r="NER42" i="1"/>
  <c r="NER43" i="1" s="1"/>
  <c r="NEQ42" i="1"/>
  <c r="NEQ43" i="1" s="1"/>
  <c r="NEP42" i="1"/>
  <c r="NEP43" i="1" s="1"/>
  <c r="NEO42" i="1"/>
  <c r="NEO43" i="1" s="1"/>
  <c r="NEN42" i="1"/>
  <c r="NEN43" i="1" s="1"/>
  <c r="NEM42" i="1"/>
  <c r="NEM43" i="1" s="1"/>
  <c r="NEL42" i="1"/>
  <c r="NEL43" i="1" s="1"/>
  <c r="NEK42" i="1"/>
  <c r="NEK43" i="1" s="1"/>
  <c r="NEJ42" i="1"/>
  <c r="NEJ43" i="1" s="1"/>
  <c r="NEI42" i="1"/>
  <c r="NEI43" i="1" s="1"/>
  <c r="NEH42" i="1"/>
  <c r="NEH43" i="1" s="1"/>
  <c r="NEG42" i="1"/>
  <c r="NEG43" i="1" s="1"/>
  <c r="NEF42" i="1"/>
  <c r="NEF43" i="1" s="1"/>
  <c r="NEE42" i="1"/>
  <c r="NEE43" i="1" s="1"/>
  <c r="NED42" i="1"/>
  <c r="NED43" i="1" s="1"/>
  <c r="NEC42" i="1"/>
  <c r="NEC43" i="1" s="1"/>
  <c r="NEB42" i="1"/>
  <c r="NEB43" i="1" s="1"/>
  <c r="NEA42" i="1"/>
  <c r="NEA43" i="1" s="1"/>
  <c r="NDZ42" i="1"/>
  <c r="NDZ43" i="1" s="1"/>
  <c r="NDY42" i="1"/>
  <c r="NDY43" i="1" s="1"/>
  <c r="NDX42" i="1"/>
  <c r="NDX43" i="1" s="1"/>
  <c r="NDW42" i="1"/>
  <c r="NDW43" i="1" s="1"/>
  <c r="NDV42" i="1"/>
  <c r="NDV43" i="1" s="1"/>
  <c r="NDU42" i="1"/>
  <c r="NDU43" i="1" s="1"/>
  <c r="NDT42" i="1"/>
  <c r="NDT43" i="1" s="1"/>
  <c r="NDS42" i="1"/>
  <c r="NDS43" i="1" s="1"/>
  <c r="NDR42" i="1"/>
  <c r="NDR43" i="1" s="1"/>
  <c r="NDQ42" i="1"/>
  <c r="NDQ43" i="1" s="1"/>
  <c r="NDP42" i="1"/>
  <c r="NDP43" i="1" s="1"/>
  <c r="NDO42" i="1"/>
  <c r="NDO43" i="1" s="1"/>
  <c r="NDN42" i="1"/>
  <c r="NDN43" i="1" s="1"/>
  <c r="NDM42" i="1"/>
  <c r="NDM43" i="1" s="1"/>
  <c r="NDL42" i="1"/>
  <c r="NDL43" i="1" s="1"/>
  <c r="NDK42" i="1"/>
  <c r="NDK43" i="1" s="1"/>
  <c r="NDJ42" i="1"/>
  <c r="NDJ43" i="1" s="1"/>
  <c r="NDI42" i="1"/>
  <c r="NDI43" i="1" s="1"/>
  <c r="NDH42" i="1"/>
  <c r="NDH43" i="1" s="1"/>
  <c r="NDG42" i="1"/>
  <c r="NDG43" i="1" s="1"/>
  <c r="NDF42" i="1"/>
  <c r="NDF43" i="1" s="1"/>
  <c r="NDE42" i="1"/>
  <c r="NDE43" i="1" s="1"/>
  <c r="NDD42" i="1"/>
  <c r="NDD43" i="1" s="1"/>
  <c r="NDC42" i="1"/>
  <c r="NDC43" i="1" s="1"/>
  <c r="NDB42" i="1"/>
  <c r="NDB43" i="1" s="1"/>
  <c r="NDA42" i="1"/>
  <c r="NDA43" i="1" s="1"/>
  <c r="NCZ42" i="1"/>
  <c r="NCZ43" i="1" s="1"/>
  <c r="NCY42" i="1"/>
  <c r="NCY43" i="1" s="1"/>
  <c r="NCX42" i="1"/>
  <c r="NCX43" i="1" s="1"/>
  <c r="NCW42" i="1"/>
  <c r="NCW43" i="1" s="1"/>
  <c r="NCV42" i="1"/>
  <c r="NCV43" i="1" s="1"/>
  <c r="NCU42" i="1"/>
  <c r="NCU43" i="1" s="1"/>
  <c r="NCT42" i="1"/>
  <c r="NCT43" i="1" s="1"/>
  <c r="NCS42" i="1"/>
  <c r="NCS43" i="1" s="1"/>
  <c r="NCR42" i="1"/>
  <c r="NCR43" i="1" s="1"/>
  <c r="NCQ42" i="1"/>
  <c r="NCQ43" i="1" s="1"/>
  <c r="NCP42" i="1"/>
  <c r="NCP43" i="1" s="1"/>
  <c r="NCO42" i="1"/>
  <c r="NCO43" i="1" s="1"/>
  <c r="NCN42" i="1"/>
  <c r="NCN43" i="1" s="1"/>
  <c r="NCM42" i="1"/>
  <c r="NCM43" i="1" s="1"/>
  <c r="NCL42" i="1"/>
  <c r="NCL43" i="1" s="1"/>
  <c r="NCK42" i="1"/>
  <c r="NCK43" i="1" s="1"/>
  <c r="NCJ42" i="1"/>
  <c r="NCJ43" i="1" s="1"/>
  <c r="NCI42" i="1"/>
  <c r="NCI43" i="1" s="1"/>
  <c r="NCH42" i="1"/>
  <c r="NCH43" i="1" s="1"/>
  <c r="NCG42" i="1"/>
  <c r="NCG43" i="1" s="1"/>
  <c r="NCF42" i="1"/>
  <c r="NCF43" i="1" s="1"/>
  <c r="NCE42" i="1"/>
  <c r="NCE43" i="1" s="1"/>
  <c r="NCD42" i="1"/>
  <c r="NCD43" i="1" s="1"/>
  <c r="NCC42" i="1"/>
  <c r="NCC43" i="1" s="1"/>
  <c r="NCB42" i="1"/>
  <c r="NCB43" i="1" s="1"/>
  <c r="NCA42" i="1"/>
  <c r="NCA43" i="1" s="1"/>
  <c r="NBZ42" i="1"/>
  <c r="NBZ43" i="1" s="1"/>
  <c r="NBY42" i="1"/>
  <c r="NBY43" i="1" s="1"/>
  <c r="NBX42" i="1"/>
  <c r="NBX43" i="1" s="1"/>
  <c r="NBW42" i="1"/>
  <c r="NBW43" i="1" s="1"/>
  <c r="NBV42" i="1"/>
  <c r="NBV43" i="1" s="1"/>
  <c r="NBU42" i="1"/>
  <c r="NBU43" i="1" s="1"/>
  <c r="NBT42" i="1"/>
  <c r="NBT43" i="1" s="1"/>
  <c r="NBS42" i="1"/>
  <c r="NBS43" i="1" s="1"/>
  <c r="NBR42" i="1"/>
  <c r="NBR43" i="1" s="1"/>
  <c r="NBQ42" i="1"/>
  <c r="NBQ43" i="1" s="1"/>
  <c r="NBP42" i="1"/>
  <c r="NBP43" i="1" s="1"/>
  <c r="NBO42" i="1"/>
  <c r="NBO43" i="1" s="1"/>
  <c r="NBN42" i="1"/>
  <c r="NBN43" i="1" s="1"/>
  <c r="NBM42" i="1"/>
  <c r="NBM43" i="1" s="1"/>
  <c r="NBL42" i="1"/>
  <c r="NBL43" i="1" s="1"/>
  <c r="NBK42" i="1"/>
  <c r="NBK43" i="1" s="1"/>
  <c r="NBJ42" i="1"/>
  <c r="NBJ43" i="1" s="1"/>
  <c r="NBI42" i="1"/>
  <c r="NBI43" i="1" s="1"/>
  <c r="NBH42" i="1"/>
  <c r="NBH43" i="1" s="1"/>
  <c r="NBG42" i="1"/>
  <c r="NBG43" i="1" s="1"/>
  <c r="NBF42" i="1"/>
  <c r="NBF43" i="1" s="1"/>
  <c r="NBE42" i="1"/>
  <c r="NBE43" i="1" s="1"/>
  <c r="NBD42" i="1"/>
  <c r="NBD43" i="1" s="1"/>
  <c r="NBC42" i="1"/>
  <c r="NBC43" i="1" s="1"/>
  <c r="NBB42" i="1"/>
  <c r="NBB43" i="1" s="1"/>
  <c r="NBA42" i="1"/>
  <c r="NBA43" i="1" s="1"/>
  <c r="NAZ42" i="1"/>
  <c r="NAZ43" i="1" s="1"/>
  <c r="NAY42" i="1"/>
  <c r="NAY43" i="1" s="1"/>
  <c r="NAX42" i="1"/>
  <c r="NAX43" i="1" s="1"/>
  <c r="NAW42" i="1"/>
  <c r="NAW43" i="1" s="1"/>
  <c r="NAV42" i="1"/>
  <c r="NAV43" i="1" s="1"/>
  <c r="NAU42" i="1"/>
  <c r="NAU43" i="1" s="1"/>
  <c r="NAT42" i="1"/>
  <c r="NAT43" i="1" s="1"/>
  <c r="NAS42" i="1"/>
  <c r="NAS43" i="1" s="1"/>
  <c r="NAR42" i="1"/>
  <c r="NAR43" i="1" s="1"/>
  <c r="NAQ42" i="1"/>
  <c r="NAQ43" i="1" s="1"/>
  <c r="NAP42" i="1"/>
  <c r="NAP43" i="1" s="1"/>
  <c r="NAO42" i="1"/>
  <c r="NAO43" i="1" s="1"/>
  <c r="NAN42" i="1"/>
  <c r="NAN43" i="1" s="1"/>
  <c r="NAM42" i="1"/>
  <c r="NAM43" i="1" s="1"/>
  <c r="NAL42" i="1"/>
  <c r="NAL43" i="1" s="1"/>
  <c r="NAK42" i="1"/>
  <c r="NAK43" i="1" s="1"/>
  <c r="NAJ42" i="1"/>
  <c r="NAJ43" i="1" s="1"/>
  <c r="NAI42" i="1"/>
  <c r="NAI43" i="1" s="1"/>
  <c r="NAH42" i="1"/>
  <c r="NAH43" i="1" s="1"/>
  <c r="NAG42" i="1"/>
  <c r="NAG43" i="1" s="1"/>
  <c r="NAF42" i="1"/>
  <c r="NAF43" i="1" s="1"/>
  <c r="NAE42" i="1"/>
  <c r="NAE43" i="1" s="1"/>
  <c r="NAD42" i="1"/>
  <c r="NAD43" i="1" s="1"/>
  <c r="NAC42" i="1"/>
  <c r="NAC43" i="1" s="1"/>
  <c r="NAB42" i="1"/>
  <c r="NAB43" i="1" s="1"/>
  <c r="NAA42" i="1"/>
  <c r="NAA43" i="1" s="1"/>
  <c r="MZZ42" i="1"/>
  <c r="MZZ43" i="1" s="1"/>
  <c r="MZY42" i="1"/>
  <c r="MZY43" i="1" s="1"/>
  <c r="MZX42" i="1"/>
  <c r="MZX43" i="1" s="1"/>
  <c r="MZW42" i="1"/>
  <c r="MZW43" i="1" s="1"/>
  <c r="MZV42" i="1"/>
  <c r="MZV43" i="1" s="1"/>
  <c r="MZU42" i="1"/>
  <c r="MZU43" i="1" s="1"/>
  <c r="MZT42" i="1"/>
  <c r="MZT43" i="1" s="1"/>
  <c r="MZS42" i="1"/>
  <c r="MZS43" i="1" s="1"/>
  <c r="MZR42" i="1"/>
  <c r="MZR43" i="1" s="1"/>
  <c r="MZQ42" i="1"/>
  <c r="MZQ43" i="1" s="1"/>
  <c r="MZP42" i="1"/>
  <c r="MZP43" i="1" s="1"/>
  <c r="MZO42" i="1"/>
  <c r="MZO43" i="1" s="1"/>
  <c r="MZN42" i="1"/>
  <c r="MZN43" i="1" s="1"/>
  <c r="MZM42" i="1"/>
  <c r="MZM43" i="1" s="1"/>
  <c r="MZL42" i="1"/>
  <c r="MZL43" i="1" s="1"/>
  <c r="MZK42" i="1"/>
  <c r="MZK43" i="1" s="1"/>
  <c r="MZJ42" i="1"/>
  <c r="MZJ43" i="1" s="1"/>
  <c r="MZI42" i="1"/>
  <c r="MZI43" i="1" s="1"/>
  <c r="MZH42" i="1"/>
  <c r="MZH43" i="1" s="1"/>
  <c r="MZG42" i="1"/>
  <c r="MZG43" i="1" s="1"/>
  <c r="MZF42" i="1"/>
  <c r="MZF43" i="1" s="1"/>
  <c r="MZE42" i="1"/>
  <c r="MZE43" i="1" s="1"/>
  <c r="MZD42" i="1"/>
  <c r="MZD43" i="1" s="1"/>
  <c r="MZC42" i="1"/>
  <c r="MZC43" i="1" s="1"/>
  <c r="MZB42" i="1"/>
  <c r="MZB43" i="1" s="1"/>
  <c r="MZA42" i="1"/>
  <c r="MZA43" i="1" s="1"/>
  <c r="MYZ42" i="1"/>
  <c r="MYZ43" i="1" s="1"/>
  <c r="MYY42" i="1"/>
  <c r="MYY43" i="1" s="1"/>
  <c r="MYX42" i="1"/>
  <c r="MYX43" i="1" s="1"/>
  <c r="MYW42" i="1"/>
  <c r="MYW43" i="1" s="1"/>
  <c r="MYV42" i="1"/>
  <c r="MYV43" i="1" s="1"/>
  <c r="MYU42" i="1"/>
  <c r="MYU43" i="1" s="1"/>
  <c r="MYT42" i="1"/>
  <c r="MYT43" i="1" s="1"/>
  <c r="MYS42" i="1"/>
  <c r="MYS43" i="1" s="1"/>
  <c r="MYR42" i="1"/>
  <c r="MYR43" i="1" s="1"/>
  <c r="MYQ42" i="1"/>
  <c r="MYQ43" i="1" s="1"/>
  <c r="MYP42" i="1"/>
  <c r="MYP43" i="1" s="1"/>
  <c r="MYO42" i="1"/>
  <c r="MYO43" i="1" s="1"/>
  <c r="MYN42" i="1"/>
  <c r="MYN43" i="1" s="1"/>
  <c r="MYM42" i="1"/>
  <c r="MYM43" i="1" s="1"/>
  <c r="MYL42" i="1"/>
  <c r="MYL43" i="1" s="1"/>
  <c r="MYK42" i="1"/>
  <c r="MYK43" i="1" s="1"/>
  <c r="MYJ42" i="1"/>
  <c r="MYJ43" i="1" s="1"/>
  <c r="MYI42" i="1"/>
  <c r="MYI43" i="1" s="1"/>
  <c r="MYH42" i="1"/>
  <c r="MYH43" i="1" s="1"/>
  <c r="MYG42" i="1"/>
  <c r="MYG43" i="1" s="1"/>
  <c r="MYF42" i="1"/>
  <c r="MYF43" i="1" s="1"/>
  <c r="MYE42" i="1"/>
  <c r="MYE43" i="1" s="1"/>
  <c r="MYD42" i="1"/>
  <c r="MYD43" i="1" s="1"/>
  <c r="MYC42" i="1"/>
  <c r="MYC43" i="1" s="1"/>
  <c r="MYB42" i="1"/>
  <c r="MYB43" i="1" s="1"/>
  <c r="MYA42" i="1"/>
  <c r="MYA43" i="1" s="1"/>
  <c r="MXZ42" i="1"/>
  <c r="MXZ43" i="1" s="1"/>
  <c r="MXY42" i="1"/>
  <c r="MXY43" i="1" s="1"/>
  <c r="MXX42" i="1"/>
  <c r="MXX43" i="1" s="1"/>
  <c r="MXW42" i="1"/>
  <c r="MXW43" i="1" s="1"/>
  <c r="MXV42" i="1"/>
  <c r="MXV43" i="1" s="1"/>
  <c r="MXU42" i="1"/>
  <c r="MXU43" i="1" s="1"/>
  <c r="MXT42" i="1"/>
  <c r="MXT43" i="1" s="1"/>
  <c r="MXS42" i="1"/>
  <c r="MXS43" i="1" s="1"/>
  <c r="MXR42" i="1"/>
  <c r="MXR43" i="1" s="1"/>
  <c r="MXQ42" i="1"/>
  <c r="MXQ43" i="1" s="1"/>
  <c r="MXP42" i="1"/>
  <c r="MXP43" i="1" s="1"/>
  <c r="MXO42" i="1"/>
  <c r="MXO43" i="1" s="1"/>
  <c r="MXN42" i="1"/>
  <c r="MXN43" i="1" s="1"/>
  <c r="MXM42" i="1"/>
  <c r="MXM43" i="1" s="1"/>
  <c r="MXL42" i="1"/>
  <c r="MXL43" i="1" s="1"/>
  <c r="MXK42" i="1"/>
  <c r="MXK43" i="1" s="1"/>
  <c r="MXJ42" i="1"/>
  <c r="MXJ43" i="1" s="1"/>
  <c r="MXI42" i="1"/>
  <c r="MXI43" i="1" s="1"/>
  <c r="MXH42" i="1"/>
  <c r="MXH43" i="1" s="1"/>
  <c r="MXG42" i="1"/>
  <c r="MXG43" i="1" s="1"/>
  <c r="MXF42" i="1"/>
  <c r="MXF43" i="1" s="1"/>
  <c r="MXE42" i="1"/>
  <c r="MXE43" i="1" s="1"/>
  <c r="MXD42" i="1"/>
  <c r="MXD43" i="1" s="1"/>
  <c r="MXC42" i="1"/>
  <c r="MXC43" i="1" s="1"/>
  <c r="MXB42" i="1"/>
  <c r="MXB43" i="1" s="1"/>
  <c r="MXA42" i="1"/>
  <c r="MXA43" i="1" s="1"/>
  <c r="MWZ42" i="1"/>
  <c r="MWZ43" i="1" s="1"/>
  <c r="MWY42" i="1"/>
  <c r="MWY43" i="1" s="1"/>
  <c r="MWX42" i="1"/>
  <c r="MWX43" i="1" s="1"/>
  <c r="MWW42" i="1"/>
  <c r="MWW43" i="1" s="1"/>
  <c r="MWV42" i="1"/>
  <c r="MWV43" i="1" s="1"/>
  <c r="MWU42" i="1"/>
  <c r="MWU43" i="1" s="1"/>
  <c r="MWT42" i="1"/>
  <c r="MWT43" i="1" s="1"/>
  <c r="MWS42" i="1"/>
  <c r="MWS43" i="1" s="1"/>
  <c r="MWR42" i="1"/>
  <c r="MWR43" i="1" s="1"/>
  <c r="MWQ42" i="1"/>
  <c r="MWQ43" i="1" s="1"/>
  <c r="MWP42" i="1"/>
  <c r="MWP43" i="1" s="1"/>
  <c r="MWO42" i="1"/>
  <c r="MWO43" i="1" s="1"/>
  <c r="MWN42" i="1"/>
  <c r="MWN43" i="1" s="1"/>
  <c r="MWM42" i="1"/>
  <c r="MWM43" i="1" s="1"/>
  <c r="MWL42" i="1"/>
  <c r="MWL43" i="1" s="1"/>
  <c r="MWK42" i="1"/>
  <c r="MWK43" i="1" s="1"/>
  <c r="MWJ42" i="1"/>
  <c r="MWJ43" i="1" s="1"/>
  <c r="MWI42" i="1"/>
  <c r="MWI43" i="1" s="1"/>
  <c r="MWH42" i="1"/>
  <c r="MWH43" i="1" s="1"/>
  <c r="MWG42" i="1"/>
  <c r="MWG43" i="1" s="1"/>
  <c r="MWF42" i="1"/>
  <c r="MWF43" i="1" s="1"/>
  <c r="MWE42" i="1"/>
  <c r="MWE43" i="1" s="1"/>
  <c r="MWD42" i="1"/>
  <c r="MWD43" i="1" s="1"/>
  <c r="MWC42" i="1"/>
  <c r="MWC43" i="1" s="1"/>
  <c r="MWB42" i="1"/>
  <c r="MWB43" i="1" s="1"/>
  <c r="MWA42" i="1"/>
  <c r="MWA43" i="1" s="1"/>
  <c r="MVZ42" i="1"/>
  <c r="MVZ43" i="1" s="1"/>
  <c r="MVY42" i="1"/>
  <c r="MVY43" i="1" s="1"/>
  <c r="MVX42" i="1"/>
  <c r="MVX43" i="1" s="1"/>
  <c r="MVW42" i="1"/>
  <c r="MVW43" i="1" s="1"/>
  <c r="MVV42" i="1"/>
  <c r="MVV43" i="1" s="1"/>
  <c r="MVU42" i="1"/>
  <c r="MVU43" i="1" s="1"/>
  <c r="MVT42" i="1"/>
  <c r="MVT43" i="1" s="1"/>
  <c r="MVS42" i="1"/>
  <c r="MVS43" i="1" s="1"/>
  <c r="MVR42" i="1"/>
  <c r="MVR43" i="1" s="1"/>
  <c r="MVQ42" i="1"/>
  <c r="MVQ43" i="1" s="1"/>
  <c r="MVP42" i="1"/>
  <c r="MVP43" i="1" s="1"/>
  <c r="MVO42" i="1"/>
  <c r="MVO43" i="1" s="1"/>
  <c r="MVN42" i="1"/>
  <c r="MVN43" i="1" s="1"/>
  <c r="MVM42" i="1"/>
  <c r="MVM43" i="1" s="1"/>
  <c r="MVL42" i="1"/>
  <c r="MVL43" i="1" s="1"/>
  <c r="MVK42" i="1"/>
  <c r="MVK43" i="1" s="1"/>
  <c r="MVJ42" i="1"/>
  <c r="MVJ43" i="1" s="1"/>
  <c r="MVI42" i="1"/>
  <c r="MVI43" i="1" s="1"/>
  <c r="MVH42" i="1"/>
  <c r="MVH43" i="1" s="1"/>
  <c r="MVG42" i="1"/>
  <c r="MVG43" i="1" s="1"/>
  <c r="MVF42" i="1"/>
  <c r="MVF43" i="1" s="1"/>
  <c r="MVE42" i="1"/>
  <c r="MVE43" i="1" s="1"/>
  <c r="MVD42" i="1"/>
  <c r="MVD43" i="1" s="1"/>
  <c r="MVC42" i="1"/>
  <c r="MVC43" i="1" s="1"/>
  <c r="MVB42" i="1"/>
  <c r="MVB43" i="1" s="1"/>
  <c r="MVA42" i="1"/>
  <c r="MVA43" i="1" s="1"/>
  <c r="MUZ42" i="1"/>
  <c r="MUZ43" i="1" s="1"/>
  <c r="MUY42" i="1"/>
  <c r="MUY43" i="1" s="1"/>
  <c r="MUX42" i="1"/>
  <c r="MUX43" i="1" s="1"/>
  <c r="MUW42" i="1"/>
  <c r="MUW43" i="1" s="1"/>
  <c r="MUV42" i="1"/>
  <c r="MUV43" i="1" s="1"/>
  <c r="MUU42" i="1"/>
  <c r="MUU43" i="1" s="1"/>
  <c r="MUT42" i="1"/>
  <c r="MUT43" i="1" s="1"/>
  <c r="MUS42" i="1"/>
  <c r="MUS43" i="1" s="1"/>
  <c r="MUR42" i="1"/>
  <c r="MUR43" i="1" s="1"/>
  <c r="MUQ42" i="1"/>
  <c r="MUQ43" i="1" s="1"/>
  <c r="MUP42" i="1"/>
  <c r="MUP43" i="1" s="1"/>
  <c r="MUO42" i="1"/>
  <c r="MUO43" i="1" s="1"/>
  <c r="MUN42" i="1"/>
  <c r="MUN43" i="1" s="1"/>
  <c r="MUM42" i="1"/>
  <c r="MUM43" i="1" s="1"/>
  <c r="MUL42" i="1"/>
  <c r="MUL43" i="1" s="1"/>
  <c r="MUK42" i="1"/>
  <c r="MUK43" i="1" s="1"/>
  <c r="MUJ42" i="1"/>
  <c r="MUJ43" i="1" s="1"/>
  <c r="MUI42" i="1"/>
  <c r="MUI43" i="1" s="1"/>
  <c r="MUH42" i="1"/>
  <c r="MUH43" i="1" s="1"/>
  <c r="MUG42" i="1"/>
  <c r="MUG43" i="1" s="1"/>
  <c r="MUF42" i="1"/>
  <c r="MUF43" i="1" s="1"/>
  <c r="MUE42" i="1"/>
  <c r="MUE43" i="1" s="1"/>
  <c r="MUD42" i="1"/>
  <c r="MUD43" i="1" s="1"/>
  <c r="MUC42" i="1"/>
  <c r="MUC43" i="1" s="1"/>
  <c r="MUB42" i="1"/>
  <c r="MUB43" i="1" s="1"/>
  <c r="MUA42" i="1"/>
  <c r="MUA43" i="1" s="1"/>
  <c r="MTZ42" i="1"/>
  <c r="MTZ43" i="1" s="1"/>
  <c r="MTY42" i="1"/>
  <c r="MTY43" i="1" s="1"/>
  <c r="MTX42" i="1"/>
  <c r="MTX43" i="1" s="1"/>
  <c r="MTW42" i="1"/>
  <c r="MTW43" i="1" s="1"/>
  <c r="MTV42" i="1"/>
  <c r="MTV43" i="1" s="1"/>
  <c r="MTU42" i="1"/>
  <c r="MTU43" i="1" s="1"/>
  <c r="MTT42" i="1"/>
  <c r="MTT43" i="1" s="1"/>
  <c r="MTS42" i="1"/>
  <c r="MTS43" i="1" s="1"/>
  <c r="MTR42" i="1"/>
  <c r="MTR43" i="1" s="1"/>
  <c r="MTQ42" i="1"/>
  <c r="MTQ43" i="1" s="1"/>
  <c r="MTP42" i="1"/>
  <c r="MTP43" i="1" s="1"/>
  <c r="MTO42" i="1"/>
  <c r="MTO43" i="1" s="1"/>
  <c r="MTN42" i="1"/>
  <c r="MTN43" i="1" s="1"/>
  <c r="MTM42" i="1"/>
  <c r="MTM43" i="1" s="1"/>
  <c r="MTL42" i="1"/>
  <c r="MTL43" i="1" s="1"/>
  <c r="MTK42" i="1"/>
  <c r="MTK43" i="1" s="1"/>
  <c r="MTJ42" i="1"/>
  <c r="MTJ43" i="1" s="1"/>
  <c r="MTI42" i="1"/>
  <c r="MTI43" i="1" s="1"/>
  <c r="MTH42" i="1"/>
  <c r="MTH43" i="1" s="1"/>
  <c r="MTG42" i="1"/>
  <c r="MTG43" i="1" s="1"/>
  <c r="MTF42" i="1"/>
  <c r="MTF43" i="1" s="1"/>
  <c r="MTE42" i="1"/>
  <c r="MTE43" i="1" s="1"/>
  <c r="MTD42" i="1"/>
  <c r="MTD43" i="1" s="1"/>
  <c r="MTC42" i="1"/>
  <c r="MTC43" i="1" s="1"/>
  <c r="MTB42" i="1"/>
  <c r="MTB43" i="1" s="1"/>
  <c r="MTA42" i="1"/>
  <c r="MTA43" i="1" s="1"/>
  <c r="MSZ42" i="1"/>
  <c r="MSZ43" i="1" s="1"/>
  <c r="MSY42" i="1"/>
  <c r="MSY43" i="1" s="1"/>
  <c r="MSX42" i="1"/>
  <c r="MSX43" i="1" s="1"/>
  <c r="MSW42" i="1"/>
  <c r="MSW43" i="1" s="1"/>
  <c r="MSV42" i="1"/>
  <c r="MSV43" i="1" s="1"/>
  <c r="MSU42" i="1"/>
  <c r="MSU43" i="1" s="1"/>
  <c r="MST42" i="1"/>
  <c r="MST43" i="1" s="1"/>
  <c r="MSS42" i="1"/>
  <c r="MSS43" i="1" s="1"/>
  <c r="MSR42" i="1"/>
  <c r="MSR43" i="1" s="1"/>
  <c r="MSQ42" i="1"/>
  <c r="MSQ43" i="1" s="1"/>
  <c r="MSP42" i="1"/>
  <c r="MSP43" i="1" s="1"/>
  <c r="MSO42" i="1"/>
  <c r="MSO43" i="1" s="1"/>
  <c r="MSN42" i="1"/>
  <c r="MSN43" i="1" s="1"/>
  <c r="MSM42" i="1"/>
  <c r="MSM43" i="1" s="1"/>
  <c r="MSL42" i="1"/>
  <c r="MSL43" i="1" s="1"/>
  <c r="MSK42" i="1"/>
  <c r="MSK43" i="1" s="1"/>
  <c r="MSJ42" i="1"/>
  <c r="MSJ43" i="1" s="1"/>
  <c r="MSI42" i="1"/>
  <c r="MSI43" i="1" s="1"/>
  <c r="MSH42" i="1"/>
  <c r="MSH43" i="1" s="1"/>
  <c r="MSG42" i="1"/>
  <c r="MSG43" i="1" s="1"/>
  <c r="MSF42" i="1"/>
  <c r="MSF43" i="1" s="1"/>
  <c r="MSE42" i="1"/>
  <c r="MSE43" i="1" s="1"/>
  <c r="MSD42" i="1"/>
  <c r="MSD43" i="1" s="1"/>
  <c r="MSC42" i="1"/>
  <c r="MSC43" i="1" s="1"/>
  <c r="MSB42" i="1"/>
  <c r="MSB43" i="1" s="1"/>
  <c r="MSA42" i="1"/>
  <c r="MSA43" i="1" s="1"/>
  <c r="MRZ42" i="1"/>
  <c r="MRZ43" i="1" s="1"/>
  <c r="MRY42" i="1"/>
  <c r="MRY43" i="1" s="1"/>
  <c r="MRX42" i="1"/>
  <c r="MRX43" i="1" s="1"/>
  <c r="MRW42" i="1"/>
  <c r="MRW43" i="1" s="1"/>
  <c r="MRV42" i="1"/>
  <c r="MRV43" i="1" s="1"/>
  <c r="MRU42" i="1"/>
  <c r="MRU43" i="1" s="1"/>
  <c r="MRT42" i="1"/>
  <c r="MRT43" i="1" s="1"/>
  <c r="MRS42" i="1"/>
  <c r="MRS43" i="1" s="1"/>
  <c r="MRR42" i="1"/>
  <c r="MRR43" i="1" s="1"/>
  <c r="MRQ42" i="1"/>
  <c r="MRQ43" i="1" s="1"/>
  <c r="MRP42" i="1"/>
  <c r="MRP43" i="1" s="1"/>
  <c r="MRO42" i="1"/>
  <c r="MRO43" i="1" s="1"/>
  <c r="MRN42" i="1"/>
  <c r="MRN43" i="1" s="1"/>
  <c r="MRM42" i="1"/>
  <c r="MRM43" i="1" s="1"/>
  <c r="MRL42" i="1"/>
  <c r="MRL43" i="1" s="1"/>
  <c r="MRK42" i="1"/>
  <c r="MRK43" i="1" s="1"/>
  <c r="MRJ42" i="1"/>
  <c r="MRJ43" i="1" s="1"/>
  <c r="MRI42" i="1"/>
  <c r="MRI43" i="1" s="1"/>
  <c r="MRH42" i="1"/>
  <c r="MRH43" i="1" s="1"/>
  <c r="MRG42" i="1"/>
  <c r="MRG43" i="1" s="1"/>
  <c r="MRF42" i="1"/>
  <c r="MRF43" i="1" s="1"/>
  <c r="MRE42" i="1"/>
  <c r="MRE43" i="1" s="1"/>
  <c r="MRD42" i="1"/>
  <c r="MRD43" i="1" s="1"/>
  <c r="MRC42" i="1"/>
  <c r="MRC43" i="1" s="1"/>
  <c r="MRB42" i="1"/>
  <c r="MRB43" i="1" s="1"/>
  <c r="MRA42" i="1"/>
  <c r="MRA43" i="1" s="1"/>
  <c r="MQZ42" i="1"/>
  <c r="MQZ43" i="1" s="1"/>
  <c r="MQY42" i="1"/>
  <c r="MQY43" i="1" s="1"/>
  <c r="MQX42" i="1"/>
  <c r="MQX43" i="1" s="1"/>
  <c r="MQW42" i="1"/>
  <c r="MQW43" i="1" s="1"/>
  <c r="MQV42" i="1"/>
  <c r="MQV43" i="1" s="1"/>
  <c r="MQU42" i="1"/>
  <c r="MQU43" i="1" s="1"/>
  <c r="MQT42" i="1"/>
  <c r="MQT43" i="1" s="1"/>
  <c r="MQS42" i="1"/>
  <c r="MQS43" i="1" s="1"/>
  <c r="MQR42" i="1"/>
  <c r="MQR43" i="1" s="1"/>
  <c r="MQQ42" i="1"/>
  <c r="MQQ43" i="1" s="1"/>
  <c r="MQP42" i="1"/>
  <c r="MQP43" i="1" s="1"/>
  <c r="MQO42" i="1"/>
  <c r="MQO43" i="1" s="1"/>
  <c r="MQN42" i="1"/>
  <c r="MQN43" i="1" s="1"/>
  <c r="MQM42" i="1"/>
  <c r="MQM43" i="1" s="1"/>
  <c r="MQL42" i="1"/>
  <c r="MQL43" i="1" s="1"/>
  <c r="MQK42" i="1"/>
  <c r="MQK43" i="1" s="1"/>
  <c r="MQJ42" i="1"/>
  <c r="MQJ43" i="1" s="1"/>
  <c r="MQI42" i="1"/>
  <c r="MQI43" i="1" s="1"/>
  <c r="MQH42" i="1"/>
  <c r="MQH43" i="1" s="1"/>
  <c r="MQG42" i="1"/>
  <c r="MQG43" i="1" s="1"/>
  <c r="MQF42" i="1"/>
  <c r="MQF43" i="1" s="1"/>
  <c r="MQE42" i="1"/>
  <c r="MQE43" i="1" s="1"/>
  <c r="MQD42" i="1"/>
  <c r="MQD43" i="1" s="1"/>
  <c r="MQC42" i="1"/>
  <c r="MQC43" i="1" s="1"/>
  <c r="MQB42" i="1"/>
  <c r="MQB43" i="1" s="1"/>
  <c r="MQA42" i="1"/>
  <c r="MQA43" i="1" s="1"/>
  <c r="MPZ42" i="1"/>
  <c r="MPZ43" i="1" s="1"/>
  <c r="MPY42" i="1"/>
  <c r="MPY43" i="1" s="1"/>
  <c r="MPX42" i="1"/>
  <c r="MPX43" i="1" s="1"/>
  <c r="MPW42" i="1"/>
  <c r="MPW43" i="1" s="1"/>
  <c r="MPV42" i="1"/>
  <c r="MPV43" i="1" s="1"/>
  <c r="MPU42" i="1"/>
  <c r="MPU43" i="1" s="1"/>
  <c r="MPT42" i="1"/>
  <c r="MPT43" i="1" s="1"/>
  <c r="MPS42" i="1"/>
  <c r="MPS43" i="1" s="1"/>
  <c r="MPR42" i="1"/>
  <c r="MPR43" i="1" s="1"/>
  <c r="MPQ42" i="1"/>
  <c r="MPQ43" i="1" s="1"/>
  <c r="MPP42" i="1"/>
  <c r="MPP43" i="1" s="1"/>
  <c r="MPO42" i="1"/>
  <c r="MPO43" i="1" s="1"/>
  <c r="MPN42" i="1"/>
  <c r="MPN43" i="1" s="1"/>
  <c r="MPM42" i="1"/>
  <c r="MPM43" i="1" s="1"/>
  <c r="MPL42" i="1"/>
  <c r="MPL43" i="1" s="1"/>
  <c r="MPK42" i="1"/>
  <c r="MPK43" i="1" s="1"/>
  <c r="MPJ42" i="1"/>
  <c r="MPJ43" i="1" s="1"/>
  <c r="MPI42" i="1"/>
  <c r="MPI43" i="1" s="1"/>
  <c r="MPH42" i="1"/>
  <c r="MPH43" i="1" s="1"/>
  <c r="MPG42" i="1"/>
  <c r="MPG43" i="1" s="1"/>
  <c r="MPF42" i="1"/>
  <c r="MPF43" i="1" s="1"/>
  <c r="MPE42" i="1"/>
  <c r="MPE43" i="1" s="1"/>
  <c r="MPD42" i="1"/>
  <c r="MPD43" i="1" s="1"/>
  <c r="MPC42" i="1"/>
  <c r="MPC43" i="1" s="1"/>
  <c r="MPB42" i="1"/>
  <c r="MPB43" i="1" s="1"/>
  <c r="MPA42" i="1"/>
  <c r="MPA43" i="1" s="1"/>
  <c r="MOZ42" i="1"/>
  <c r="MOZ43" i="1" s="1"/>
  <c r="MOY42" i="1"/>
  <c r="MOY43" i="1" s="1"/>
  <c r="MOX42" i="1"/>
  <c r="MOX43" i="1" s="1"/>
  <c r="MOW42" i="1"/>
  <c r="MOW43" i="1" s="1"/>
  <c r="MOV42" i="1"/>
  <c r="MOV43" i="1" s="1"/>
  <c r="MOU42" i="1"/>
  <c r="MOU43" i="1" s="1"/>
  <c r="MOT42" i="1"/>
  <c r="MOT43" i="1" s="1"/>
  <c r="MOS42" i="1"/>
  <c r="MOS43" i="1" s="1"/>
  <c r="MOR42" i="1"/>
  <c r="MOR43" i="1" s="1"/>
  <c r="MOQ42" i="1"/>
  <c r="MOQ43" i="1" s="1"/>
  <c r="MOP42" i="1"/>
  <c r="MOP43" i="1" s="1"/>
  <c r="MOO42" i="1"/>
  <c r="MOO43" i="1" s="1"/>
  <c r="MON42" i="1"/>
  <c r="MON43" i="1" s="1"/>
  <c r="MOM42" i="1"/>
  <c r="MOM43" i="1" s="1"/>
  <c r="MOL42" i="1"/>
  <c r="MOL43" i="1" s="1"/>
  <c r="MOK42" i="1"/>
  <c r="MOK43" i="1" s="1"/>
  <c r="MOJ42" i="1"/>
  <c r="MOJ43" i="1" s="1"/>
  <c r="MOI42" i="1"/>
  <c r="MOI43" i="1" s="1"/>
  <c r="MOH42" i="1"/>
  <c r="MOH43" i="1" s="1"/>
  <c r="MOG42" i="1"/>
  <c r="MOG43" i="1" s="1"/>
  <c r="MOF42" i="1"/>
  <c r="MOF43" i="1" s="1"/>
  <c r="MOE42" i="1"/>
  <c r="MOE43" i="1" s="1"/>
  <c r="MOD42" i="1"/>
  <c r="MOD43" i="1" s="1"/>
  <c r="MOC42" i="1"/>
  <c r="MOC43" i="1" s="1"/>
  <c r="MOB42" i="1"/>
  <c r="MOB43" i="1" s="1"/>
  <c r="MOA42" i="1"/>
  <c r="MOA43" i="1" s="1"/>
  <c r="MNZ42" i="1"/>
  <c r="MNZ43" i="1" s="1"/>
  <c r="MNY42" i="1"/>
  <c r="MNY43" i="1" s="1"/>
  <c r="MNX42" i="1"/>
  <c r="MNX43" i="1" s="1"/>
  <c r="MNW42" i="1"/>
  <c r="MNW43" i="1" s="1"/>
  <c r="MNV42" i="1"/>
  <c r="MNV43" i="1" s="1"/>
  <c r="MNU42" i="1"/>
  <c r="MNU43" i="1" s="1"/>
  <c r="MNT42" i="1"/>
  <c r="MNT43" i="1" s="1"/>
  <c r="MNS42" i="1"/>
  <c r="MNS43" i="1" s="1"/>
  <c r="MNR42" i="1"/>
  <c r="MNR43" i="1" s="1"/>
  <c r="MNQ42" i="1"/>
  <c r="MNQ43" i="1" s="1"/>
  <c r="MNP42" i="1"/>
  <c r="MNP43" i="1" s="1"/>
  <c r="MNO42" i="1"/>
  <c r="MNO43" i="1" s="1"/>
  <c r="MNN42" i="1"/>
  <c r="MNN43" i="1" s="1"/>
  <c r="MNM42" i="1"/>
  <c r="MNM43" i="1" s="1"/>
  <c r="MNL42" i="1"/>
  <c r="MNL43" i="1" s="1"/>
  <c r="MNK42" i="1"/>
  <c r="MNK43" i="1" s="1"/>
  <c r="MNJ42" i="1"/>
  <c r="MNJ43" i="1" s="1"/>
  <c r="MNI42" i="1"/>
  <c r="MNI43" i="1" s="1"/>
  <c r="MNH42" i="1"/>
  <c r="MNH43" i="1" s="1"/>
  <c r="MNG42" i="1"/>
  <c r="MNG43" i="1" s="1"/>
  <c r="MNF42" i="1"/>
  <c r="MNF43" i="1" s="1"/>
  <c r="MNE42" i="1"/>
  <c r="MNE43" i="1" s="1"/>
  <c r="MND42" i="1"/>
  <c r="MND43" i="1" s="1"/>
  <c r="MNC42" i="1"/>
  <c r="MNC43" i="1" s="1"/>
  <c r="MNB42" i="1"/>
  <c r="MNB43" i="1" s="1"/>
  <c r="MNA42" i="1"/>
  <c r="MNA43" i="1" s="1"/>
  <c r="MMZ42" i="1"/>
  <c r="MMZ43" i="1" s="1"/>
  <c r="MMY42" i="1"/>
  <c r="MMY43" i="1" s="1"/>
  <c r="MMX42" i="1"/>
  <c r="MMX43" i="1" s="1"/>
  <c r="MMW42" i="1"/>
  <c r="MMW43" i="1" s="1"/>
  <c r="MMV42" i="1"/>
  <c r="MMV43" i="1" s="1"/>
  <c r="MMU42" i="1"/>
  <c r="MMU43" i="1" s="1"/>
  <c r="MMT42" i="1"/>
  <c r="MMT43" i="1" s="1"/>
  <c r="MMS42" i="1"/>
  <c r="MMS43" i="1" s="1"/>
  <c r="MMR42" i="1"/>
  <c r="MMR43" i="1" s="1"/>
  <c r="MMQ42" i="1"/>
  <c r="MMQ43" i="1" s="1"/>
  <c r="MMP42" i="1"/>
  <c r="MMP43" i="1" s="1"/>
  <c r="MMO42" i="1"/>
  <c r="MMO43" i="1" s="1"/>
  <c r="MMN42" i="1"/>
  <c r="MMN43" i="1" s="1"/>
  <c r="MMM42" i="1"/>
  <c r="MMM43" i="1" s="1"/>
  <c r="MML42" i="1"/>
  <c r="MML43" i="1" s="1"/>
  <c r="MMK42" i="1"/>
  <c r="MMK43" i="1" s="1"/>
  <c r="MMJ42" i="1"/>
  <c r="MMJ43" i="1" s="1"/>
  <c r="MMI42" i="1"/>
  <c r="MMI43" i="1" s="1"/>
  <c r="MMH42" i="1"/>
  <c r="MMH43" i="1" s="1"/>
  <c r="MMG42" i="1"/>
  <c r="MMG43" i="1" s="1"/>
  <c r="MMF42" i="1"/>
  <c r="MMF43" i="1" s="1"/>
  <c r="MME42" i="1"/>
  <c r="MME43" i="1" s="1"/>
  <c r="MMD42" i="1"/>
  <c r="MMD43" i="1" s="1"/>
  <c r="MMC42" i="1"/>
  <c r="MMC43" i="1" s="1"/>
  <c r="MMB42" i="1"/>
  <c r="MMB43" i="1" s="1"/>
  <c r="MMA42" i="1"/>
  <c r="MMA43" i="1" s="1"/>
  <c r="MLZ42" i="1"/>
  <c r="MLZ43" i="1" s="1"/>
  <c r="MLY42" i="1"/>
  <c r="MLY43" i="1" s="1"/>
  <c r="MLX42" i="1"/>
  <c r="MLX43" i="1" s="1"/>
  <c r="MLW42" i="1"/>
  <c r="MLW43" i="1" s="1"/>
  <c r="MLV42" i="1"/>
  <c r="MLV43" i="1" s="1"/>
  <c r="MLU42" i="1"/>
  <c r="MLU43" i="1" s="1"/>
  <c r="MLT42" i="1"/>
  <c r="MLT43" i="1" s="1"/>
  <c r="MLS42" i="1"/>
  <c r="MLS43" i="1" s="1"/>
  <c r="MLR42" i="1"/>
  <c r="MLR43" i="1" s="1"/>
  <c r="MLQ42" i="1"/>
  <c r="MLQ43" i="1" s="1"/>
  <c r="MLP42" i="1"/>
  <c r="MLP43" i="1" s="1"/>
  <c r="MLO42" i="1"/>
  <c r="MLO43" i="1" s="1"/>
  <c r="MLN42" i="1"/>
  <c r="MLN43" i="1" s="1"/>
  <c r="MLM42" i="1"/>
  <c r="MLM43" i="1" s="1"/>
  <c r="MLL42" i="1"/>
  <c r="MLL43" i="1" s="1"/>
  <c r="MLK42" i="1"/>
  <c r="MLK43" i="1" s="1"/>
  <c r="MLJ42" i="1"/>
  <c r="MLJ43" i="1" s="1"/>
  <c r="MLI42" i="1"/>
  <c r="MLI43" i="1" s="1"/>
  <c r="MLH42" i="1"/>
  <c r="MLH43" i="1" s="1"/>
  <c r="MLG42" i="1"/>
  <c r="MLG43" i="1" s="1"/>
  <c r="MLF42" i="1"/>
  <c r="MLF43" i="1" s="1"/>
  <c r="MLE42" i="1"/>
  <c r="MLE43" i="1" s="1"/>
  <c r="MLD42" i="1"/>
  <c r="MLD43" i="1" s="1"/>
  <c r="MLC42" i="1"/>
  <c r="MLC43" i="1" s="1"/>
  <c r="MLB42" i="1"/>
  <c r="MLB43" i="1" s="1"/>
  <c r="MLA42" i="1"/>
  <c r="MLA43" i="1" s="1"/>
  <c r="MKZ42" i="1"/>
  <c r="MKZ43" i="1" s="1"/>
  <c r="MKY42" i="1"/>
  <c r="MKY43" i="1" s="1"/>
  <c r="MKX42" i="1"/>
  <c r="MKX43" i="1" s="1"/>
  <c r="MKW42" i="1"/>
  <c r="MKW43" i="1" s="1"/>
  <c r="MKV42" i="1"/>
  <c r="MKV43" i="1" s="1"/>
  <c r="MKU42" i="1"/>
  <c r="MKU43" i="1" s="1"/>
  <c r="MKT42" i="1"/>
  <c r="MKT43" i="1" s="1"/>
  <c r="MKS42" i="1"/>
  <c r="MKS43" i="1" s="1"/>
  <c r="MKR42" i="1"/>
  <c r="MKR43" i="1" s="1"/>
  <c r="MKQ42" i="1"/>
  <c r="MKQ43" i="1" s="1"/>
  <c r="MKP42" i="1"/>
  <c r="MKP43" i="1" s="1"/>
  <c r="MKO42" i="1"/>
  <c r="MKO43" i="1" s="1"/>
  <c r="MKN42" i="1"/>
  <c r="MKN43" i="1" s="1"/>
  <c r="MKM42" i="1"/>
  <c r="MKM43" i="1" s="1"/>
  <c r="MKL42" i="1"/>
  <c r="MKL43" i="1" s="1"/>
  <c r="MKK42" i="1"/>
  <c r="MKK43" i="1" s="1"/>
  <c r="MKJ42" i="1"/>
  <c r="MKJ43" i="1" s="1"/>
  <c r="MKI42" i="1"/>
  <c r="MKI43" i="1" s="1"/>
  <c r="MKH42" i="1"/>
  <c r="MKH43" i="1" s="1"/>
  <c r="MKG42" i="1"/>
  <c r="MKG43" i="1" s="1"/>
  <c r="MKF42" i="1"/>
  <c r="MKF43" i="1" s="1"/>
  <c r="MKE42" i="1"/>
  <c r="MKE43" i="1" s="1"/>
  <c r="MKD42" i="1"/>
  <c r="MKD43" i="1" s="1"/>
  <c r="MKC42" i="1"/>
  <c r="MKC43" i="1" s="1"/>
  <c r="MKB42" i="1"/>
  <c r="MKB43" i="1" s="1"/>
  <c r="MKA42" i="1"/>
  <c r="MKA43" i="1" s="1"/>
  <c r="MJZ42" i="1"/>
  <c r="MJZ43" i="1" s="1"/>
  <c r="MJY42" i="1"/>
  <c r="MJY43" i="1" s="1"/>
  <c r="MJX42" i="1"/>
  <c r="MJX43" i="1" s="1"/>
  <c r="MJW42" i="1"/>
  <c r="MJW43" i="1" s="1"/>
  <c r="MJV42" i="1"/>
  <c r="MJV43" i="1" s="1"/>
  <c r="MJU42" i="1"/>
  <c r="MJU43" i="1" s="1"/>
  <c r="MJT42" i="1"/>
  <c r="MJT43" i="1" s="1"/>
  <c r="MJS42" i="1"/>
  <c r="MJS43" i="1" s="1"/>
  <c r="MJR42" i="1"/>
  <c r="MJR43" i="1" s="1"/>
  <c r="MJQ42" i="1"/>
  <c r="MJQ43" i="1" s="1"/>
  <c r="MJP42" i="1"/>
  <c r="MJP43" i="1" s="1"/>
  <c r="MJO42" i="1"/>
  <c r="MJO43" i="1" s="1"/>
  <c r="MJN42" i="1"/>
  <c r="MJN43" i="1" s="1"/>
  <c r="MJM42" i="1"/>
  <c r="MJM43" i="1" s="1"/>
  <c r="MJL42" i="1"/>
  <c r="MJL43" i="1" s="1"/>
  <c r="MJK42" i="1"/>
  <c r="MJK43" i="1" s="1"/>
  <c r="MJJ42" i="1"/>
  <c r="MJJ43" i="1" s="1"/>
  <c r="MJI42" i="1"/>
  <c r="MJI43" i="1" s="1"/>
  <c r="MJH42" i="1"/>
  <c r="MJH43" i="1" s="1"/>
  <c r="MJG42" i="1"/>
  <c r="MJG43" i="1" s="1"/>
  <c r="MJF42" i="1"/>
  <c r="MJF43" i="1" s="1"/>
  <c r="MJE42" i="1"/>
  <c r="MJE43" i="1" s="1"/>
  <c r="MJD42" i="1"/>
  <c r="MJD43" i="1" s="1"/>
  <c r="MJC42" i="1"/>
  <c r="MJC43" i="1" s="1"/>
  <c r="MJB42" i="1"/>
  <c r="MJB43" i="1" s="1"/>
  <c r="MJA42" i="1"/>
  <c r="MJA43" i="1" s="1"/>
  <c r="MIZ42" i="1"/>
  <c r="MIZ43" i="1" s="1"/>
  <c r="MIY42" i="1"/>
  <c r="MIY43" i="1" s="1"/>
  <c r="MIX42" i="1"/>
  <c r="MIX43" i="1" s="1"/>
  <c r="MIW42" i="1"/>
  <c r="MIW43" i="1" s="1"/>
  <c r="MIV42" i="1"/>
  <c r="MIV43" i="1" s="1"/>
  <c r="MIU42" i="1"/>
  <c r="MIU43" i="1" s="1"/>
  <c r="MIT42" i="1"/>
  <c r="MIT43" i="1" s="1"/>
  <c r="MIS42" i="1"/>
  <c r="MIS43" i="1" s="1"/>
  <c r="MIR42" i="1"/>
  <c r="MIR43" i="1" s="1"/>
  <c r="MIQ42" i="1"/>
  <c r="MIQ43" i="1" s="1"/>
  <c r="MIP42" i="1"/>
  <c r="MIP43" i="1" s="1"/>
  <c r="MIO42" i="1"/>
  <c r="MIO43" i="1" s="1"/>
  <c r="MIN42" i="1"/>
  <c r="MIN43" i="1" s="1"/>
  <c r="MIM42" i="1"/>
  <c r="MIM43" i="1" s="1"/>
  <c r="MIL42" i="1"/>
  <c r="MIL43" i="1" s="1"/>
  <c r="MIK42" i="1"/>
  <c r="MIK43" i="1" s="1"/>
  <c r="MIJ42" i="1"/>
  <c r="MIJ43" i="1" s="1"/>
  <c r="MII42" i="1"/>
  <c r="MII43" i="1" s="1"/>
  <c r="MIH42" i="1"/>
  <c r="MIH43" i="1" s="1"/>
  <c r="MIG42" i="1"/>
  <c r="MIG43" i="1" s="1"/>
  <c r="MIF42" i="1"/>
  <c r="MIF43" i="1" s="1"/>
  <c r="MIE42" i="1"/>
  <c r="MIE43" i="1" s="1"/>
  <c r="MID42" i="1"/>
  <c r="MID43" i="1" s="1"/>
  <c r="MIC42" i="1"/>
  <c r="MIC43" i="1" s="1"/>
  <c r="MIB42" i="1"/>
  <c r="MIB43" i="1" s="1"/>
  <c r="MIA42" i="1"/>
  <c r="MIA43" i="1" s="1"/>
  <c r="MHZ42" i="1"/>
  <c r="MHZ43" i="1" s="1"/>
  <c r="MHY42" i="1"/>
  <c r="MHY43" i="1" s="1"/>
  <c r="MHX42" i="1"/>
  <c r="MHX43" i="1" s="1"/>
  <c r="MHW42" i="1"/>
  <c r="MHW43" i="1" s="1"/>
  <c r="MHV42" i="1"/>
  <c r="MHV43" i="1" s="1"/>
  <c r="MHU42" i="1"/>
  <c r="MHU43" i="1" s="1"/>
  <c r="MHT42" i="1"/>
  <c r="MHT43" i="1" s="1"/>
  <c r="MHS42" i="1"/>
  <c r="MHS43" i="1" s="1"/>
  <c r="MHR42" i="1"/>
  <c r="MHR43" i="1" s="1"/>
  <c r="MHQ42" i="1"/>
  <c r="MHQ43" i="1" s="1"/>
  <c r="MHP42" i="1"/>
  <c r="MHP43" i="1" s="1"/>
  <c r="MHO42" i="1"/>
  <c r="MHO43" i="1" s="1"/>
  <c r="MHN42" i="1"/>
  <c r="MHN43" i="1" s="1"/>
  <c r="MHM42" i="1"/>
  <c r="MHM43" i="1" s="1"/>
  <c r="MHL42" i="1"/>
  <c r="MHL43" i="1" s="1"/>
  <c r="MHK42" i="1"/>
  <c r="MHK43" i="1" s="1"/>
  <c r="MHJ42" i="1"/>
  <c r="MHJ43" i="1" s="1"/>
  <c r="MHI42" i="1"/>
  <c r="MHI43" i="1" s="1"/>
  <c r="MHH42" i="1"/>
  <c r="MHH43" i="1" s="1"/>
  <c r="MHG42" i="1"/>
  <c r="MHG43" i="1" s="1"/>
  <c r="MHF42" i="1"/>
  <c r="MHF43" i="1" s="1"/>
  <c r="MHE42" i="1"/>
  <c r="MHE43" i="1" s="1"/>
  <c r="MHD42" i="1"/>
  <c r="MHD43" i="1" s="1"/>
  <c r="MHC42" i="1"/>
  <c r="MHC43" i="1" s="1"/>
  <c r="MHB42" i="1"/>
  <c r="MHB43" i="1" s="1"/>
  <c r="MHA42" i="1"/>
  <c r="MHA43" i="1" s="1"/>
  <c r="MGZ42" i="1"/>
  <c r="MGZ43" i="1" s="1"/>
  <c r="MGY42" i="1"/>
  <c r="MGY43" i="1" s="1"/>
  <c r="MGX42" i="1"/>
  <c r="MGX43" i="1" s="1"/>
  <c r="MGW42" i="1"/>
  <c r="MGW43" i="1" s="1"/>
  <c r="MGV42" i="1"/>
  <c r="MGV43" i="1" s="1"/>
  <c r="MGU42" i="1"/>
  <c r="MGU43" i="1" s="1"/>
  <c r="MGT42" i="1"/>
  <c r="MGT43" i="1" s="1"/>
  <c r="MGS42" i="1"/>
  <c r="MGS43" i="1" s="1"/>
  <c r="MGR42" i="1"/>
  <c r="MGR43" i="1" s="1"/>
  <c r="MGQ42" i="1"/>
  <c r="MGQ43" i="1" s="1"/>
  <c r="MGP42" i="1"/>
  <c r="MGP43" i="1" s="1"/>
  <c r="MGO42" i="1"/>
  <c r="MGO43" i="1" s="1"/>
  <c r="MGN42" i="1"/>
  <c r="MGN43" i="1" s="1"/>
  <c r="MGM42" i="1"/>
  <c r="MGM43" i="1" s="1"/>
  <c r="MGL42" i="1"/>
  <c r="MGL43" i="1" s="1"/>
  <c r="MGK42" i="1"/>
  <c r="MGK43" i="1" s="1"/>
  <c r="MGJ42" i="1"/>
  <c r="MGJ43" i="1" s="1"/>
  <c r="MGI42" i="1"/>
  <c r="MGI43" i="1" s="1"/>
  <c r="MGH42" i="1"/>
  <c r="MGH43" i="1" s="1"/>
  <c r="MGG42" i="1"/>
  <c r="MGG43" i="1" s="1"/>
  <c r="MGF42" i="1"/>
  <c r="MGF43" i="1" s="1"/>
  <c r="MGE42" i="1"/>
  <c r="MGE43" i="1" s="1"/>
  <c r="MGD42" i="1"/>
  <c r="MGD43" i="1" s="1"/>
  <c r="MGC42" i="1"/>
  <c r="MGC43" i="1" s="1"/>
  <c r="MGB42" i="1"/>
  <c r="MGB43" i="1" s="1"/>
  <c r="MGA42" i="1"/>
  <c r="MGA43" i="1" s="1"/>
  <c r="MFZ42" i="1"/>
  <c r="MFZ43" i="1" s="1"/>
  <c r="MFY42" i="1"/>
  <c r="MFY43" i="1" s="1"/>
  <c r="MFX42" i="1"/>
  <c r="MFX43" i="1" s="1"/>
  <c r="MFW42" i="1"/>
  <c r="MFW43" i="1" s="1"/>
  <c r="MFV42" i="1"/>
  <c r="MFV43" i="1" s="1"/>
  <c r="MFU42" i="1"/>
  <c r="MFU43" i="1" s="1"/>
  <c r="MFT42" i="1"/>
  <c r="MFT43" i="1" s="1"/>
  <c r="MFS42" i="1"/>
  <c r="MFS43" i="1" s="1"/>
  <c r="MFR42" i="1"/>
  <c r="MFR43" i="1" s="1"/>
  <c r="MFQ42" i="1"/>
  <c r="MFQ43" i="1" s="1"/>
  <c r="MFP42" i="1"/>
  <c r="MFP43" i="1" s="1"/>
  <c r="MFO42" i="1"/>
  <c r="MFO43" i="1" s="1"/>
  <c r="MFN42" i="1"/>
  <c r="MFN43" i="1" s="1"/>
  <c r="MFM42" i="1"/>
  <c r="MFM43" i="1" s="1"/>
  <c r="MFL42" i="1"/>
  <c r="MFL43" i="1" s="1"/>
  <c r="MFK42" i="1"/>
  <c r="MFK43" i="1" s="1"/>
  <c r="MFJ42" i="1"/>
  <c r="MFJ43" i="1" s="1"/>
  <c r="MFI42" i="1"/>
  <c r="MFI43" i="1" s="1"/>
  <c r="MFH42" i="1"/>
  <c r="MFH43" i="1" s="1"/>
  <c r="MFG42" i="1"/>
  <c r="MFG43" i="1" s="1"/>
  <c r="MFF42" i="1"/>
  <c r="MFF43" i="1" s="1"/>
  <c r="MFE42" i="1"/>
  <c r="MFE43" i="1" s="1"/>
  <c r="MFD42" i="1"/>
  <c r="MFD43" i="1" s="1"/>
  <c r="MFC42" i="1"/>
  <c r="MFC43" i="1" s="1"/>
  <c r="MFB42" i="1"/>
  <c r="MFB43" i="1" s="1"/>
  <c r="MFA42" i="1"/>
  <c r="MFA43" i="1" s="1"/>
  <c r="MEZ42" i="1"/>
  <c r="MEZ43" i="1" s="1"/>
  <c r="MEY42" i="1"/>
  <c r="MEY43" i="1" s="1"/>
  <c r="MEX42" i="1"/>
  <c r="MEX43" i="1" s="1"/>
  <c r="MEW42" i="1"/>
  <c r="MEW43" i="1" s="1"/>
  <c r="MEV42" i="1"/>
  <c r="MEV43" i="1" s="1"/>
  <c r="MEU42" i="1"/>
  <c r="MEU43" i="1" s="1"/>
  <c r="MET42" i="1"/>
  <c r="MET43" i="1" s="1"/>
  <c r="MES42" i="1"/>
  <c r="MES43" i="1" s="1"/>
  <c r="MER42" i="1"/>
  <c r="MER43" i="1" s="1"/>
  <c r="MEQ42" i="1"/>
  <c r="MEQ43" i="1" s="1"/>
  <c r="MEP42" i="1"/>
  <c r="MEP43" i="1" s="1"/>
  <c r="MEO42" i="1"/>
  <c r="MEO43" i="1" s="1"/>
  <c r="MEN42" i="1"/>
  <c r="MEN43" i="1" s="1"/>
  <c r="MEM42" i="1"/>
  <c r="MEM43" i="1" s="1"/>
  <c r="MEL42" i="1"/>
  <c r="MEL43" i="1" s="1"/>
  <c r="MEK42" i="1"/>
  <c r="MEK43" i="1" s="1"/>
  <c r="MEJ42" i="1"/>
  <c r="MEJ43" i="1" s="1"/>
  <c r="MEI42" i="1"/>
  <c r="MEI43" i="1" s="1"/>
  <c r="MEH42" i="1"/>
  <c r="MEH43" i="1" s="1"/>
  <c r="MEG42" i="1"/>
  <c r="MEG43" i="1" s="1"/>
  <c r="MEF42" i="1"/>
  <c r="MEF43" i="1" s="1"/>
  <c r="MEE42" i="1"/>
  <c r="MEE43" i="1" s="1"/>
  <c r="MED42" i="1"/>
  <c r="MED43" i="1" s="1"/>
  <c r="MEC42" i="1"/>
  <c r="MEC43" i="1" s="1"/>
  <c r="MEB42" i="1"/>
  <c r="MEB43" i="1" s="1"/>
  <c r="MEA42" i="1"/>
  <c r="MEA43" i="1" s="1"/>
  <c r="MDZ42" i="1"/>
  <c r="MDZ43" i="1" s="1"/>
  <c r="MDY42" i="1"/>
  <c r="MDY43" i="1" s="1"/>
  <c r="MDX42" i="1"/>
  <c r="MDX43" i="1" s="1"/>
  <c r="MDW42" i="1"/>
  <c r="MDW43" i="1" s="1"/>
  <c r="MDV42" i="1"/>
  <c r="MDV43" i="1" s="1"/>
  <c r="MDU42" i="1"/>
  <c r="MDU43" i="1" s="1"/>
  <c r="MDT42" i="1"/>
  <c r="MDT43" i="1" s="1"/>
  <c r="MDS42" i="1"/>
  <c r="MDS43" i="1" s="1"/>
  <c r="MDR42" i="1"/>
  <c r="MDR43" i="1" s="1"/>
  <c r="MDQ42" i="1"/>
  <c r="MDQ43" i="1" s="1"/>
  <c r="MDP42" i="1"/>
  <c r="MDP43" i="1" s="1"/>
  <c r="MDO42" i="1"/>
  <c r="MDO43" i="1" s="1"/>
  <c r="MDN42" i="1"/>
  <c r="MDN43" i="1" s="1"/>
  <c r="MDM42" i="1"/>
  <c r="MDM43" i="1" s="1"/>
  <c r="MDL42" i="1"/>
  <c r="MDL43" i="1" s="1"/>
  <c r="MDK42" i="1"/>
  <c r="MDK43" i="1" s="1"/>
  <c r="MDJ42" i="1"/>
  <c r="MDJ43" i="1" s="1"/>
  <c r="MDI42" i="1"/>
  <c r="MDI43" i="1" s="1"/>
  <c r="MDH42" i="1"/>
  <c r="MDH43" i="1" s="1"/>
  <c r="MDG42" i="1"/>
  <c r="MDG43" i="1" s="1"/>
  <c r="MDF42" i="1"/>
  <c r="MDF43" i="1" s="1"/>
  <c r="MDE42" i="1"/>
  <c r="MDE43" i="1" s="1"/>
  <c r="MDD42" i="1"/>
  <c r="MDD43" i="1" s="1"/>
  <c r="MDC42" i="1"/>
  <c r="MDC43" i="1" s="1"/>
  <c r="MDB42" i="1"/>
  <c r="MDB43" i="1" s="1"/>
  <c r="MDA42" i="1"/>
  <c r="MDA43" i="1" s="1"/>
  <c r="MCZ42" i="1"/>
  <c r="MCZ43" i="1" s="1"/>
  <c r="MCY42" i="1"/>
  <c r="MCY43" i="1" s="1"/>
  <c r="MCX42" i="1"/>
  <c r="MCX43" i="1" s="1"/>
  <c r="MCW42" i="1"/>
  <c r="MCW43" i="1" s="1"/>
  <c r="MCV42" i="1"/>
  <c r="MCV43" i="1" s="1"/>
  <c r="MCU42" i="1"/>
  <c r="MCU43" i="1" s="1"/>
  <c r="MCT42" i="1"/>
  <c r="MCT43" i="1" s="1"/>
  <c r="MCS42" i="1"/>
  <c r="MCS43" i="1" s="1"/>
  <c r="MCR42" i="1"/>
  <c r="MCR43" i="1" s="1"/>
  <c r="MCQ42" i="1"/>
  <c r="MCQ43" i="1" s="1"/>
  <c r="MCP42" i="1"/>
  <c r="MCP43" i="1" s="1"/>
  <c r="MCO42" i="1"/>
  <c r="MCO43" i="1" s="1"/>
  <c r="MCN42" i="1"/>
  <c r="MCN43" i="1" s="1"/>
  <c r="MCM42" i="1"/>
  <c r="MCM43" i="1" s="1"/>
  <c r="MCL42" i="1"/>
  <c r="MCL43" i="1" s="1"/>
  <c r="MCK42" i="1"/>
  <c r="MCK43" i="1" s="1"/>
  <c r="MCJ42" i="1"/>
  <c r="MCJ43" i="1" s="1"/>
  <c r="MCI42" i="1"/>
  <c r="MCI43" i="1" s="1"/>
  <c r="MCH42" i="1"/>
  <c r="MCH43" i="1" s="1"/>
  <c r="MCG42" i="1"/>
  <c r="MCG43" i="1" s="1"/>
  <c r="MCF42" i="1"/>
  <c r="MCF43" i="1" s="1"/>
  <c r="MCE42" i="1"/>
  <c r="MCE43" i="1" s="1"/>
  <c r="MCD42" i="1"/>
  <c r="MCD43" i="1" s="1"/>
  <c r="MCC42" i="1"/>
  <c r="MCC43" i="1" s="1"/>
  <c r="MCB42" i="1"/>
  <c r="MCB43" i="1" s="1"/>
  <c r="MCA42" i="1"/>
  <c r="MCA43" i="1" s="1"/>
  <c r="MBZ42" i="1"/>
  <c r="MBZ43" i="1" s="1"/>
  <c r="MBY42" i="1"/>
  <c r="MBY43" i="1" s="1"/>
  <c r="MBX42" i="1"/>
  <c r="MBX43" i="1" s="1"/>
  <c r="MBW42" i="1"/>
  <c r="MBW43" i="1" s="1"/>
  <c r="MBV42" i="1"/>
  <c r="MBV43" i="1" s="1"/>
  <c r="MBU42" i="1"/>
  <c r="MBU43" i="1" s="1"/>
  <c r="MBT42" i="1"/>
  <c r="MBT43" i="1" s="1"/>
  <c r="MBS42" i="1"/>
  <c r="MBS43" i="1" s="1"/>
  <c r="MBR42" i="1"/>
  <c r="MBR43" i="1" s="1"/>
  <c r="MBQ42" i="1"/>
  <c r="MBQ43" i="1" s="1"/>
  <c r="MBP42" i="1"/>
  <c r="MBP43" i="1" s="1"/>
  <c r="MBO42" i="1"/>
  <c r="MBO43" i="1" s="1"/>
  <c r="MBN42" i="1"/>
  <c r="MBN43" i="1" s="1"/>
  <c r="MBM42" i="1"/>
  <c r="MBM43" i="1" s="1"/>
  <c r="MBL42" i="1"/>
  <c r="MBL43" i="1" s="1"/>
  <c r="MBK42" i="1"/>
  <c r="MBK43" i="1" s="1"/>
  <c r="MBJ42" i="1"/>
  <c r="MBJ43" i="1" s="1"/>
  <c r="MBI42" i="1"/>
  <c r="MBI43" i="1" s="1"/>
  <c r="MBH42" i="1"/>
  <c r="MBH43" i="1" s="1"/>
  <c r="MBG42" i="1"/>
  <c r="MBG43" i="1" s="1"/>
  <c r="MBF42" i="1"/>
  <c r="MBF43" i="1" s="1"/>
  <c r="MBE42" i="1"/>
  <c r="MBE43" i="1" s="1"/>
  <c r="MBD42" i="1"/>
  <c r="MBD43" i="1" s="1"/>
  <c r="MBC42" i="1"/>
  <c r="MBC43" i="1" s="1"/>
  <c r="MBB42" i="1"/>
  <c r="MBB43" i="1" s="1"/>
  <c r="MBA42" i="1"/>
  <c r="MBA43" i="1" s="1"/>
  <c r="MAZ42" i="1"/>
  <c r="MAZ43" i="1" s="1"/>
  <c r="MAY42" i="1"/>
  <c r="MAY43" i="1" s="1"/>
  <c r="MAX42" i="1"/>
  <c r="MAX43" i="1" s="1"/>
  <c r="MAW42" i="1"/>
  <c r="MAW43" i="1" s="1"/>
  <c r="MAV42" i="1"/>
  <c r="MAV43" i="1" s="1"/>
  <c r="MAU42" i="1"/>
  <c r="MAU43" i="1" s="1"/>
  <c r="MAT42" i="1"/>
  <c r="MAT43" i="1" s="1"/>
  <c r="MAS42" i="1"/>
  <c r="MAS43" i="1" s="1"/>
  <c r="MAR42" i="1"/>
  <c r="MAR43" i="1" s="1"/>
  <c r="MAQ42" i="1"/>
  <c r="MAQ43" i="1" s="1"/>
  <c r="MAP42" i="1"/>
  <c r="MAP43" i="1" s="1"/>
  <c r="MAO42" i="1"/>
  <c r="MAO43" i="1" s="1"/>
  <c r="MAN42" i="1"/>
  <c r="MAN43" i="1" s="1"/>
  <c r="MAM42" i="1"/>
  <c r="MAM43" i="1" s="1"/>
  <c r="MAL42" i="1"/>
  <c r="MAL43" i="1" s="1"/>
  <c r="MAK42" i="1"/>
  <c r="MAK43" i="1" s="1"/>
  <c r="MAJ42" i="1"/>
  <c r="MAJ43" i="1" s="1"/>
  <c r="MAI42" i="1"/>
  <c r="MAI43" i="1" s="1"/>
  <c r="MAH42" i="1"/>
  <c r="MAH43" i="1" s="1"/>
  <c r="MAG42" i="1"/>
  <c r="MAG43" i="1" s="1"/>
  <c r="MAF42" i="1"/>
  <c r="MAF43" i="1" s="1"/>
  <c r="MAE42" i="1"/>
  <c r="MAE43" i="1" s="1"/>
  <c r="MAD42" i="1"/>
  <c r="MAD43" i="1" s="1"/>
  <c r="MAC42" i="1"/>
  <c r="MAC43" i="1" s="1"/>
  <c r="MAB42" i="1"/>
  <c r="MAB43" i="1" s="1"/>
  <c r="MAA42" i="1"/>
  <c r="MAA43" i="1" s="1"/>
  <c r="LZZ42" i="1"/>
  <c r="LZZ43" i="1" s="1"/>
  <c r="LZY42" i="1"/>
  <c r="LZY43" i="1" s="1"/>
  <c r="LZX42" i="1"/>
  <c r="LZX43" i="1" s="1"/>
  <c r="LZW42" i="1"/>
  <c r="LZW43" i="1" s="1"/>
  <c r="LZV42" i="1"/>
  <c r="LZV43" i="1" s="1"/>
  <c r="LZU42" i="1"/>
  <c r="LZU43" i="1" s="1"/>
  <c r="LZT42" i="1"/>
  <c r="LZT43" i="1" s="1"/>
  <c r="LZS42" i="1"/>
  <c r="LZS43" i="1" s="1"/>
  <c r="LZR42" i="1"/>
  <c r="LZR43" i="1" s="1"/>
  <c r="LZQ42" i="1"/>
  <c r="LZQ43" i="1" s="1"/>
  <c r="LZP42" i="1"/>
  <c r="LZP43" i="1" s="1"/>
  <c r="LZO42" i="1"/>
  <c r="LZO43" i="1" s="1"/>
  <c r="LZN42" i="1"/>
  <c r="LZN43" i="1" s="1"/>
  <c r="LZM42" i="1"/>
  <c r="LZM43" i="1" s="1"/>
  <c r="LZL42" i="1"/>
  <c r="LZL43" i="1" s="1"/>
  <c r="LZK42" i="1"/>
  <c r="LZK43" i="1" s="1"/>
  <c r="LZJ42" i="1"/>
  <c r="LZJ43" i="1" s="1"/>
  <c r="LZI42" i="1"/>
  <c r="LZI43" i="1" s="1"/>
  <c r="LZH42" i="1"/>
  <c r="LZH43" i="1" s="1"/>
  <c r="LZG42" i="1"/>
  <c r="LZG43" i="1" s="1"/>
  <c r="LZF42" i="1"/>
  <c r="LZF43" i="1" s="1"/>
  <c r="LZE42" i="1"/>
  <c r="LZE43" i="1" s="1"/>
  <c r="LZD42" i="1"/>
  <c r="LZD43" i="1" s="1"/>
  <c r="LZC42" i="1"/>
  <c r="LZC43" i="1" s="1"/>
  <c r="LZB42" i="1"/>
  <c r="LZB43" i="1" s="1"/>
  <c r="LZA42" i="1"/>
  <c r="LZA43" i="1" s="1"/>
  <c r="LYZ42" i="1"/>
  <c r="LYZ43" i="1" s="1"/>
  <c r="LYY42" i="1"/>
  <c r="LYY43" i="1" s="1"/>
  <c r="LYX42" i="1"/>
  <c r="LYX43" i="1" s="1"/>
  <c r="LYW42" i="1"/>
  <c r="LYW43" i="1" s="1"/>
  <c r="LYV42" i="1"/>
  <c r="LYV43" i="1" s="1"/>
  <c r="LYU42" i="1"/>
  <c r="LYU43" i="1" s="1"/>
  <c r="LYT42" i="1"/>
  <c r="LYT43" i="1" s="1"/>
  <c r="LYS42" i="1"/>
  <c r="LYS43" i="1" s="1"/>
  <c r="LYR42" i="1"/>
  <c r="LYR43" i="1" s="1"/>
  <c r="LYQ42" i="1"/>
  <c r="LYQ43" i="1" s="1"/>
  <c r="LYP42" i="1"/>
  <c r="LYP43" i="1" s="1"/>
  <c r="LYO42" i="1"/>
  <c r="LYO43" i="1" s="1"/>
  <c r="LYN42" i="1"/>
  <c r="LYN43" i="1" s="1"/>
  <c r="LYM42" i="1"/>
  <c r="LYM43" i="1" s="1"/>
  <c r="LYL42" i="1"/>
  <c r="LYL43" i="1" s="1"/>
  <c r="LYK42" i="1"/>
  <c r="LYK43" i="1" s="1"/>
  <c r="LYJ42" i="1"/>
  <c r="LYJ43" i="1" s="1"/>
  <c r="LYI42" i="1"/>
  <c r="LYI43" i="1" s="1"/>
  <c r="LYH42" i="1"/>
  <c r="LYH43" i="1" s="1"/>
  <c r="LYG42" i="1"/>
  <c r="LYG43" i="1" s="1"/>
  <c r="LYF42" i="1"/>
  <c r="LYF43" i="1" s="1"/>
  <c r="LYE42" i="1"/>
  <c r="LYE43" i="1" s="1"/>
  <c r="LYD42" i="1"/>
  <c r="LYD43" i="1" s="1"/>
  <c r="LYC42" i="1"/>
  <c r="LYC43" i="1" s="1"/>
  <c r="LYB42" i="1"/>
  <c r="LYB43" i="1" s="1"/>
  <c r="LYA42" i="1"/>
  <c r="LYA43" i="1" s="1"/>
  <c r="LXZ42" i="1"/>
  <c r="LXZ43" i="1" s="1"/>
  <c r="LXY42" i="1"/>
  <c r="LXY43" i="1" s="1"/>
  <c r="LXX42" i="1"/>
  <c r="LXX43" i="1" s="1"/>
  <c r="LXW42" i="1"/>
  <c r="LXW43" i="1" s="1"/>
  <c r="LXV42" i="1"/>
  <c r="LXV43" i="1" s="1"/>
  <c r="LXU42" i="1"/>
  <c r="LXU43" i="1" s="1"/>
  <c r="LXT42" i="1"/>
  <c r="LXT43" i="1" s="1"/>
  <c r="LXS42" i="1"/>
  <c r="LXS43" i="1" s="1"/>
  <c r="LXR42" i="1"/>
  <c r="LXR43" i="1" s="1"/>
  <c r="LXQ42" i="1"/>
  <c r="LXQ43" i="1" s="1"/>
  <c r="LXP42" i="1"/>
  <c r="LXP43" i="1" s="1"/>
  <c r="LXO42" i="1"/>
  <c r="LXO43" i="1" s="1"/>
  <c r="LXN42" i="1"/>
  <c r="LXN43" i="1" s="1"/>
  <c r="LXM42" i="1"/>
  <c r="LXM43" i="1" s="1"/>
  <c r="LXL42" i="1"/>
  <c r="LXL43" i="1" s="1"/>
  <c r="LXK42" i="1"/>
  <c r="LXK43" i="1" s="1"/>
  <c r="LXJ42" i="1"/>
  <c r="LXJ43" i="1" s="1"/>
  <c r="LXI42" i="1"/>
  <c r="LXI43" i="1" s="1"/>
  <c r="LXH42" i="1"/>
  <c r="LXH43" i="1" s="1"/>
  <c r="LXG42" i="1"/>
  <c r="LXG43" i="1" s="1"/>
  <c r="LXF42" i="1"/>
  <c r="LXF43" i="1" s="1"/>
  <c r="LXE42" i="1"/>
  <c r="LXE43" i="1" s="1"/>
  <c r="LXD42" i="1"/>
  <c r="LXD43" i="1" s="1"/>
  <c r="LXC42" i="1"/>
  <c r="LXC43" i="1" s="1"/>
  <c r="LXB42" i="1"/>
  <c r="LXB43" i="1" s="1"/>
  <c r="LXA42" i="1"/>
  <c r="LXA43" i="1" s="1"/>
  <c r="LWZ42" i="1"/>
  <c r="LWZ43" i="1" s="1"/>
  <c r="LWY42" i="1"/>
  <c r="LWY43" i="1" s="1"/>
  <c r="LWX42" i="1"/>
  <c r="LWX43" i="1" s="1"/>
  <c r="LWW42" i="1"/>
  <c r="LWW43" i="1" s="1"/>
  <c r="LWV42" i="1"/>
  <c r="LWV43" i="1" s="1"/>
  <c r="LWU42" i="1"/>
  <c r="LWU43" i="1" s="1"/>
  <c r="LWT42" i="1"/>
  <c r="LWT43" i="1" s="1"/>
  <c r="LWS42" i="1"/>
  <c r="LWS43" i="1" s="1"/>
  <c r="LWR42" i="1"/>
  <c r="LWR43" i="1" s="1"/>
  <c r="LWQ42" i="1"/>
  <c r="LWQ43" i="1" s="1"/>
  <c r="LWP42" i="1"/>
  <c r="LWP43" i="1" s="1"/>
  <c r="LWO42" i="1"/>
  <c r="LWO43" i="1" s="1"/>
  <c r="LWN42" i="1"/>
  <c r="LWN43" i="1" s="1"/>
  <c r="LWM42" i="1"/>
  <c r="LWM43" i="1" s="1"/>
  <c r="LWL42" i="1"/>
  <c r="LWL43" i="1" s="1"/>
  <c r="LWK42" i="1"/>
  <c r="LWK43" i="1" s="1"/>
  <c r="LWJ42" i="1"/>
  <c r="LWJ43" i="1" s="1"/>
  <c r="LWI42" i="1"/>
  <c r="LWI43" i="1" s="1"/>
  <c r="LWH42" i="1"/>
  <c r="LWH43" i="1" s="1"/>
  <c r="LWG42" i="1"/>
  <c r="LWG43" i="1" s="1"/>
  <c r="LWF42" i="1"/>
  <c r="LWF43" i="1" s="1"/>
  <c r="LWE42" i="1"/>
  <c r="LWE43" i="1" s="1"/>
  <c r="LWD42" i="1"/>
  <c r="LWD43" i="1" s="1"/>
  <c r="LWC42" i="1"/>
  <c r="LWC43" i="1" s="1"/>
  <c r="LWB42" i="1"/>
  <c r="LWB43" i="1" s="1"/>
  <c r="LWA42" i="1"/>
  <c r="LWA43" i="1" s="1"/>
  <c r="LVZ42" i="1"/>
  <c r="LVZ43" i="1" s="1"/>
  <c r="LVY42" i="1"/>
  <c r="LVY43" i="1" s="1"/>
  <c r="LVX42" i="1"/>
  <c r="LVX43" i="1" s="1"/>
  <c r="LVW42" i="1"/>
  <c r="LVW43" i="1" s="1"/>
  <c r="LVV42" i="1"/>
  <c r="LVV43" i="1" s="1"/>
  <c r="LVU42" i="1"/>
  <c r="LVU43" i="1" s="1"/>
  <c r="LVT42" i="1"/>
  <c r="LVT43" i="1" s="1"/>
  <c r="LVS42" i="1"/>
  <c r="LVS43" i="1" s="1"/>
  <c r="LVR42" i="1"/>
  <c r="LVR43" i="1" s="1"/>
  <c r="LVQ42" i="1"/>
  <c r="LVQ43" i="1" s="1"/>
  <c r="LVP42" i="1"/>
  <c r="LVP43" i="1" s="1"/>
  <c r="LVO42" i="1"/>
  <c r="LVO43" i="1" s="1"/>
  <c r="LVN42" i="1"/>
  <c r="LVN43" i="1" s="1"/>
  <c r="LVM42" i="1"/>
  <c r="LVM43" i="1" s="1"/>
  <c r="LVL42" i="1"/>
  <c r="LVL43" i="1" s="1"/>
  <c r="LVK42" i="1"/>
  <c r="LVK43" i="1" s="1"/>
  <c r="LVJ42" i="1"/>
  <c r="LVJ43" i="1" s="1"/>
  <c r="LVI42" i="1"/>
  <c r="LVI43" i="1" s="1"/>
  <c r="LVH42" i="1"/>
  <c r="LVH43" i="1" s="1"/>
  <c r="LVG42" i="1"/>
  <c r="LVG43" i="1" s="1"/>
  <c r="LVF42" i="1"/>
  <c r="LVF43" i="1" s="1"/>
  <c r="LVE42" i="1"/>
  <c r="LVE43" i="1" s="1"/>
  <c r="LVD42" i="1"/>
  <c r="LVD43" i="1" s="1"/>
  <c r="LVC42" i="1"/>
  <c r="LVC43" i="1" s="1"/>
  <c r="LVB42" i="1"/>
  <c r="LVB43" i="1" s="1"/>
  <c r="LVA42" i="1"/>
  <c r="LVA43" i="1" s="1"/>
  <c r="LUZ42" i="1"/>
  <c r="LUZ43" i="1" s="1"/>
  <c r="LUY42" i="1"/>
  <c r="LUY43" i="1" s="1"/>
  <c r="LUX42" i="1"/>
  <c r="LUX43" i="1" s="1"/>
  <c r="LUW42" i="1"/>
  <c r="LUW43" i="1" s="1"/>
  <c r="LUV42" i="1"/>
  <c r="LUV43" i="1" s="1"/>
  <c r="LUU42" i="1"/>
  <c r="LUU43" i="1" s="1"/>
  <c r="LUT42" i="1"/>
  <c r="LUT43" i="1" s="1"/>
  <c r="LUS42" i="1"/>
  <c r="LUS43" i="1" s="1"/>
  <c r="LUR42" i="1"/>
  <c r="LUR43" i="1" s="1"/>
  <c r="LUQ42" i="1"/>
  <c r="LUQ43" i="1" s="1"/>
  <c r="LUP42" i="1"/>
  <c r="LUP43" i="1" s="1"/>
  <c r="LUO42" i="1"/>
  <c r="LUO43" i="1" s="1"/>
  <c r="LUN42" i="1"/>
  <c r="LUN43" i="1" s="1"/>
  <c r="LUM42" i="1"/>
  <c r="LUM43" i="1" s="1"/>
  <c r="LUL42" i="1"/>
  <c r="LUL43" i="1" s="1"/>
  <c r="LUK42" i="1"/>
  <c r="LUK43" i="1" s="1"/>
  <c r="LUJ42" i="1"/>
  <c r="LUJ43" i="1" s="1"/>
  <c r="LUI42" i="1"/>
  <c r="LUI43" i="1" s="1"/>
  <c r="LUH42" i="1"/>
  <c r="LUH43" i="1" s="1"/>
  <c r="LUG42" i="1"/>
  <c r="LUG43" i="1" s="1"/>
  <c r="LUF42" i="1"/>
  <c r="LUF43" i="1" s="1"/>
  <c r="LUE42" i="1"/>
  <c r="LUE43" i="1" s="1"/>
  <c r="LUD42" i="1"/>
  <c r="LUD43" i="1" s="1"/>
  <c r="LUC42" i="1"/>
  <c r="LUC43" i="1" s="1"/>
  <c r="LUB42" i="1"/>
  <c r="LUB43" i="1" s="1"/>
  <c r="LUA42" i="1"/>
  <c r="LUA43" i="1" s="1"/>
  <c r="LTZ42" i="1"/>
  <c r="LTZ43" i="1" s="1"/>
  <c r="LTY42" i="1"/>
  <c r="LTY43" i="1" s="1"/>
  <c r="LTX42" i="1"/>
  <c r="LTX43" i="1" s="1"/>
  <c r="LTW42" i="1"/>
  <c r="LTW43" i="1" s="1"/>
  <c r="LTV42" i="1"/>
  <c r="LTV43" i="1" s="1"/>
  <c r="LTU42" i="1"/>
  <c r="LTU43" i="1" s="1"/>
  <c r="LTT42" i="1"/>
  <c r="LTT43" i="1" s="1"/>
  <c r="LTS42" i="1"/>
  <c r="LTS43" i="1" s="1"/>
  <c r="LTR42" i="1"/>
  <c r="LTR43" i="1" s="1"/>
  <c r="LTQ42" i="1"/>
  <c r="LTQ43" i="1" s="1"/>
  <c r="LTP42" i="1"/>
  <c r="LTP43" i="1" s="1"/>
  <c r="LTO42" i="1"/>
  <c r="LTO43" i="1" s="1"/>
  <c r="LTN42" i="1"/>
  <c r="LTN43" i="1" s="1"/>
  <c r="LTM42" i="1"/>
  <c r="LTM43" i="1" s="1"/>
  <c r="LTL42" i="1"/>
  <c r="LTL43" i="1" s="1"/>
  <c r="LTK42" i="1"/>
  <c r="LTK43" i="1" s="1"/>
  <c r="LTJ42" i="1"/>
  <c r="LTJ43" i="1" s="1"/>
  <c r="LTI42" i="1"/>
  <c r="LTI43" i="1" s="1"/>
  <c r="LTH42" i="1"/>
  <c r="LTH43" i="1" s="1"/>
  <c r="LTG42" i="1"/>
  <c r="LTG43" i="1" s="1"/>
  <c r="LTF42" i="1"/>
  <c r="LTF43" i="1" s="1"/>
  <c r="LTE42" i="1"/>
  <c r="LTE43" i="1" s="1"/>
  <c r="LTD42" i="1"/>
  <c r="LTD43" i="1" s="1"/>
  <c r="LTC42" i="1"/>
  <c r="LTC43" i="1" s="1"/>
  <c r="LTB42" i="1"/>
  <c r="LTB43" i="1" s="1"/>
  <c r="LTA42" i="1"/>
  <c r="LTA43" i="1" s="1"/>
  <c r="LSZ42" i="1"/>
  <c r="LSZ43" i="1" s="1"/>
  <c r="LSY42" i="1"/>
  <c r="LSY43" i="1" s="1"/>
  <c r="LSX42" i="1"/>
  <c r="LSX43" i="1" s="1"/>
  <c r="LSW42" i="1"/>
  <c r="LSW43" i="1" s="1"/>
  <c r="LSV42" i="1"/>
  <c r="LSV43" i="1" s="1"/>
  <c r="LSU42" i="1"/>
  <c r="LSU43" i="1" s="1"/>
  <c r="LST42" i="1"/>
  <c r="LST43" i="1" s="1"/>
  <c r="LSS42" i="1"/>
  <c r="LSS43" i="1" s="1"/>
  <c r="LSR42" i="1"/>
  <c r="LSR43" i="1" s="1"/>
  <c r="LSQ42" i="1"/>
  <c r="LSQ43" i="1" s="1"/>
  <c r="LSP42" i="1"/>
  <c r="LSP43" i="1" s="1"/>
  <c r="LSO42" i="1"/>
  <c r="LSO43" i="1" s="1"/>
  <c r="LSN42" i="1"/>
  <c r="LSN43" i="1" s="1"/>
  <c r="LSM42" i="1"/>
  <c r="LSM43" i="1" s="1"/>
  <c r="LSL42" i="1"/>
  <c r="LSL43" i="1" s="1"/>
  <c r="LSK42" i="1"/>
  <c r="LSK43" i="1" s="1"/>
  <c r="LSJ42" i="1"/>
  <c r="LSJ43" i="1" s="1"/>
  <c r="LSI42" i="1"/>
  <c r="LSI43" i="1" s="1"/>
  <c r="LSH42" i="1"/>
  <c r="LSH43" i="1" s="1"/>
  <c r="LSG42" i="1"/>
  <c r="LSG43" i="1" s="1"/>
  <c r="LSF42" i="1"/>
  <c r="LSF43" i="1" s="1"/>
  <c r="LSE42" i="1"/>
  <c r="LSE43" i="1" s="1"/>
  <c r="LSD42" i="1"/>
  <c r="LSD43" i="1" s="1"/>
  <c r="LSC42" i="1"/>
  <c r="LSC43" i="1" s="1"/>
  <c r="LSB42" i="1"/>
  <c r="LSB43" i="1" s="1"/>
  <c r="LSA42" i="1"/>
  <c r="LSA43" i="1" s="1"/>
  <c r="LRZ42" i="1"/>
  <c r="LRZ43" i="1" s="1"/>
  <c r="LRY42" i="1"/>
  <c r="LRY43" i="1" s="1"/>
  <c r="LRX42" i="1"/>
  <c r="LRX43" i="1" s="1"/>
  <c r="LRW42" i="1"/>
  <c r="LRW43" i="1" s="1"/>
  <c r="LRV42" i="1"/>
  <c r="LRV43" i="1" s="1"/>
  <c r="LRU42" i="1"/>
  <c r="LRU43" i="1" s="1"/>
  <c r="LRT42" i="1"/>
  <c r="LRT43" i="1" s="1"/>
  <c r="LRS42" i="1"/>
  <c r="LRS43" i="1" s="1"/>
  <c r="LRR42" i="1"/>
  <c r="LRR43" i="1" s="1"/>
  <c r="LRQ42" i="1"/>
  <c r="LRQ43" i="1" s="1"/>
  <c r="LRP42" i="1"/>
  <c r="LRP43" i="1" s="1"/>
  <c r="LRO42" i="1"/>
  <c r="LRO43" i="1" s="1"/>
  <c r="LRN42" i="1"/>
  <c r="LRN43" i="1" s="1"/>
  <c r="LRM42" i="1"/>
  <c r="LRM43" i="1" s="1"/>
  <c r="LRL42" i="1"/>
  <c r="LRL43" i="1" s="1"/>
  <c r="LRK42" i="1"/>
  <c r="LRK43" i="1" s="1"/>
  <c r="LRJ42" i="1"/>
  <c r="LRJ43" i="1" s="1"/>
  <c r="LRI42" i="1"/>
  <c r="LRI43" i="1" s="1"/>
  <c r="LRH42" i="1"/>
  <c r="LRH43" i="1" s="1"/>
  <c r="LRG42" i="1"/>
  <c r="LRG43" i="1" s="1"/>
  <c r="LRF42" i="1"/>
  <c r="LRF43" i="1" s="1"/>
  <c r="LRE42" i="1"/>
  <c r="LRE43" i="1" s="1"/>
  <c r="LRD42" i="1"/>
  <c r="LRD43" i="1" s="1"/>
  <c r="LRC42" i="1"/>
  <c r="LRC43" i="1" s="1"/>
  <c r="LRB42" i="1"/>
  <c r="LRB43" i="1" s="1"/>
  <c r="LRA42" i="1"/>
  <c r="LRA43" i="1" s="1"/>
  <c r="LQZ42" i="1"/>
  <c r="LQZ43" i="1" s="1"/>
  <c r="LQY42" i="1"/>
  <c r="LQY43" i="1" s="1"/>
  <c r="LQX42" i="1"/>
  <c r="LQX43" i="1" s="1"/>
  <c r="LQW42" i="1"/>
  <c r="LQW43" i="1" s="1"/>
  <c r="LQV42" i="1"/>
  <c r="LQV43" i="1" s="1"/>
  <c r="LQU42" i="1"/>
  <c r="LQU43" i="1" s="1"/>
  <c r="LQT42" i="1"/>
  <c r="LQT43" i="1" s="1"/>
  <c r="LQS42" i="1"/>
  <c r="LQS43" i="1" s="1"/>
  <c r="LQR42" i="1"/>
  <c r="LQR43" i="1" s="1"/>
  <c r="LQQ42" i="1"/>
  <c r="LQQ43" i="1" s="1"/>
  <c r="LQP42" i="1"/>
  <c r="LQP43" i="1" s="1"/>
  <c r="LQO42" i="1"/>
  <c r="LQO43" i="1" s="1"/>
  <c r="LQN42" i="1"/>
  <c r="LQN43" i="1" s="1"/>
  <c r="LQM42" i="1"/>
  <c r="LQM43" i="1" s="1"/>
  <c r="LQL42" i="1"/>
  <c r="LQL43" i="1" s="1"/>
  <c r="LQK42" i="1"/>
  <c r="LQK43" i="1" s="1"/>
  <c r="LQJ42" i="1"/>
  <c r="LQJ43" i="1" s="1"/>
  <c r="LQI42" i="1"/>
  <c r="LQI43" i="1" s="1"/>
  <c r="LQH42" i="1"/>
  <c r="LQH43" i="1" s="1"/>
  <c r="LQG42" i="1"/>
  <c r="LQG43" i="1" s="1"/>
  <c r="LQF42" i="1"/>
  <c r="LQF43" i="1" s="1"/>
  <c r="LQE42" i="1"/>
  <c r="LQE43" i="1" s="1"/>
  <c r="LQD42" i="1"/>
  <c r="LQD43" i="1" s="1"/>
  <c r="LQC42" i="1"/>
  <c r="LQC43" i="1" s="1"/>
  <c r="LQB42" i="1"/>
  <c r="LQB43" i="1" s="1"/>
  <c r="LQA42" i="1"/>
  <c r="LQA43" i="1" s="1"/>
  <c r="LPZ42" i="1"/>
  <c r="LPZ43" i="1" s="1"/>
  <c r="LPY42" i="1"/>
  <c r="LPY43" i="1" s="1"/>
  <c r="LPX42" i="1"/>
  <c r="LPX43" i="1" s="1"/>
  <c r="LPW42" i="1"/>
  <c r="LPW43" i="1" s="1"/>
  <c r="LPV42" i="1"/>
  <c r="LPV43" i="1" s="1"/>
  <c r="LPU42" i="1"/>
  <c r="LPU43" i="1" s="1"/>
  <c r="LPT42" i="1"/>
  <c r="LPT43" i="1" s="1"/>
  <c r="LPS42" i="1"/>
  <c r="LPS43" i="1" s="1"/>
  <c r="LPR42" i="1"/>
  <c r="LPR43" i="1" s="1"/>
  <c r="LPQ42" i="1"/>
  <c r="LPQ43" i="1" s="1"/>
  <c r="LPP42" i="1"/>
  <c r="LPP43" i="1" s="1"/>
  <c r="LPO42" i="1"/>
  <c r="LPO43" i="1" s="1"/>
  <c r="LPN42" i="1"/>
  <c r="LPN43" i="1" s="1"/>
  <c r="LPM42" i="1"/>
  <c r="LPM43" i="1" s="1"/>
  <c r="LPL42" i="1"/>
  <c r="LPL43" i="1" s="1"/>
  <c r="LPK42" i="1"/>
  <c r="LPK43" i="1" s="1"/>
  <c r="LPJ42" i="1"/>
  <c r="LPJ43" i="1" s="1"/>
  <c r="LPI42" i="1"/>
  <c r="LPI43" i="1" s="1"/>
  <c r="LPH42" i="1"/>
  <c r="LPH43" i="1" s="1"/>
  <c r="LPG42" i="1"/>
  <c r="LPG43" i="1" s="1"/>
  <c r="LPF42" i="1"/>
  <c r="LPF43" i="1" s="1"/>
  <c r="LPE42" i="1"/>
  <c r="LPE43" i="1" s="1"/>
  <c r="LPD42" i="1"/>
  <c r="LPD43" i="1" s="1"/>
  <c r="LPC42" i="1"/>
  <c r="LPC43" i="1" s="1"/>
  <c r="LPB42" i="1"/>
  <c r="LPB43" i="1" s="1"/>
  <c r="LPA42" i="1"/>
  <c r="LPA43" i="1" s="1"/>
  <c r="LOZ42" i="1"/>
  <c r="LOZ43" i="1" s="1"/>
  <c r="LOY42" i="1"/>
  <c r="LOY43" i="1" s="1"/>
  <c r="LOX42" i="1"/>
  <c r="LOX43" i="1" s="1"/>
  <c r="LOW42" i="1"/>
  <c r="LOW43" i="1" s="1"/>
  <c r="LOV42" i="1"/>
  <c r="LOV43" i="1" s="1"/>
  <c r="LOU42" i="1"/>
  <c r="LOU43" i="1" s="1"/>
  <c r="LOT42" i="1"/>
  <c r="LOT43" i="1" s="1"/>
  <c r="LOS42" i="1"/>
  <c r="LOS43" i="1" s="1"/>
  <c r="LOR42" i="1"/>
  <c r="LOR43" i="1" s="1"/>
  <c r="LOQ42" i="1"/>
  <c r="LOQ43" i="1" s="1"/>
  <c r="LOP42" i="1"/>
  <c r="LOP43" i="1" s="1"/>
  <c r="LOO42" i="1"/>
  <c r="LOO43" i="1" s="1"/>
  <c r="LON42" i="1"/>
  <c r="LON43" i="1" s="1"/>
  <c r="LOM42" i="1"/>
  <c r="LOM43" i="1" s="1"/>
  <c r="LOL42" i="1"/>
  <c r="LOL43" i="1" s="1"/>
  <c r="LOK42" i="1"/>
  <c r="LOK43" i="1" s="1"/>
  <c r="LOJ42" i="1"/>
  <c r="LOJ43" i="1" s="1"/>
  <c r="LOI42" i="1"/>
  <c r="LOI43" i="1" s="1"/>
  <c r="LOH42" i="1"/>
  <c r="LOH43" i="1" s="1"/>
  <c r="LOG42" i="1"/>
  <c r="LOG43" i="1" s="1"/>
  <c r="LOF42" i="1"/>
  <c r="LOF43" i="1" s="1"/>
  <c r="LOE42" i="1"/>
  <c r="LOE43" i="1" s="1"/>
  <c r="LOD42" i="1"/>
  <c r="LOD43" i="1" s="1"/>
  <c r="LOC42" i="1"/>
  <c r="LOC43" i="1" s="1"/>
  <c r="LOB42" i="1"/>
  <c r="LOB43" i="1" s="1"/>
  <c r="LOA42" i="1"/>
  <c r="LOA43" i="1" s="1"/>
  <c r="LNZ42" i="1"/>
  <c r="LNZ43" i="1" s="1"/>
  <c r="LNY42" i="1"/>
  <c r="LNY43" i="1" s="1"/>
  <c r="LNX42" i="1"/>
  <c r="LNX43" i="1" s="1"/>
  <c r="LNW42" i="1"/>
  <c r="LNW43" i="1" s="1"/>
  <c r="LNV42" i="1"/>
  <c r="LNV43" i="1" s="1"/>
  <c r="LNU42" i="1"/>
  <c r="LNU43" i="1" s="1"/>
  <c r="LNT42" i="1"/>
  <c r="LNT43" i="1" s="1"/>
  <c r="LNS42" i="1"/>
  <c r="LNS43" i="1" s="1"/>
  <c r="LNR42" i="1"/>
  <c r="LNR43" i="1" s="1"/>
  <c r="LNQ42" i="1"/>
  <c r="LNQ43" i="1" s="1"/>
  <c r="LNP42" i="1"/>
  <c r="LNP43" i="1" s="1"/>
  <c r="LNO42" i="1"/>
  <c r="LNO43" i="1" s="1"/>
  <c r="LNN42" i="1"/>
  <c r="LNN43" i="1" s="1"/>
  <c r="LNM42" i="1"/>
  <c r="LNM43" i="1" s="1"/>
  <c r="LNL42" i="1"/>
  <c r="LNL43" i="1" s="1"/>
  <c r="LNK42" i="1"/>
  <c r="LNK43" i="1" s="1"/>
  <c r="LNJ42" i="1"/>
  <c r="LNJ43" i="1" s="1"/>
  <c r="LNI42" i="1"/>
  <c r="LNI43" i="1" s="1"/>
  <c r="LNH42" i="1"/>
  <c r="LNH43" i="1" s="1"/>
  <c r="LNG42" i="1"/>
  <c r="LNG43" i="1" s="1"/>
  <c r="LNF42" i="1"/>
  <c r="LNF43" i="1" s="1"/>
  <c r="LNE42" i="1"/>
  <c r="LNE43" i="1" s="1"/>
  <c r="LND42" i="1"/>
  <c r="LND43" i="1" s="1"/>
  <c r="LNC42" i="1"/>
  <c r="LNC43" i="1" s="1"/>
  <c r="LNB42" i="1"/>
  <c r="LNB43" i="1" s="1"/>
  <c r="LNA42" i="1"/>
  <c r="LNA43" i="1" s="1"/>
  <c r="LMZ42" i="1"/>
  <c r="LMZ43" i="1" s="1"/>
  <c r="LMY42" i="1"/>
  <c r="LMY43" i="1" s="1"/>
  <c r="LMX42" i="1"/>
  <c r="LMX43" i="1" s="1"/>
  <c r="LMW42" i="1"/>
  <c r="LMW43" i="1" s="1"/>
  <c r="LMV42" i="1"/>
  <c r="LMV43" i="1" s="1"/>
  <c r="LMU42" i="1"/>
  <c r="LMU43" i="1" s="1"/>
  <c r="LMT42" i="1"/>
  <c r="LMT43" i="1" s="1"/>
  <c r="LMS42" i="1"/>
  <c r="LMS43" i="1" s="1"/>
  <c r="LMR42" i="1"/>
  <c r="LMR43" i="1" s="1"/>
  <c r="LMQ42" i="1"/>
  <c r="LMQ43" i="1" s="1"/>
  <c r="LMP42" i="1"/>
  <c r="LMP43" i="1" s="1"/>
  <c r="LMO42" i="1"/>
  <c r="LMO43" i="1" s="1"/>
  <c r="LMN42" i="1"/>
  <c r="LMN43" i="1" s="1"/>
  <c r="LMM42" i="1"/>
  <c r="LMM43" i="1" s="1"/>
  <c r="LML42" i="1"/>
  <c r="LML43" i="1" s="1"/>
  <c r="LMK42" i="1"/>
  <c r="LMK43" i="1" s="1"/>
  <c r="LMJ42" i="1"/>
  <c r="LMJ43" i="1" s="1"/>
  <c r="LMI42" i="1"/>
  <c r="LMI43" i="1" s="1"/>
  <c r="LMH42" i="1"/>
  <c r="LMH43" i="1" s="1"/>
  <c r="LMG42" i="1"/>
  <c r="LMG43" i="1" s="1"/>
  <c r="LMF42" i="1"/>
  <c r="LMF43" i="1" s="1"/>
  <c r="LME42" i="1"/>
  <c r="LME43" i="1" s="1"/>
  <c r="LMD42" i="1"/>
  <c r="LMD43" i="1" s="1"/>
  <c r="LMC42" i="1"/>
  <c r="LMC43" i="1" s="1"/>
  <c r="LMB42" i="1"/>
  <c r="LMB43" i="1" s="1"/>
  <c r="LMA42" i="1"/>
  <c r="LMA43" i="1" s="1"/>
  <c r="LLZ42" i="1"/>
  <c r="LLZ43" i="1" s="1"/>
  <c r="LLY42" i="1"/>
  <c r="LLY43" i="1" s="1"/>
  <c r="LLX42" i="1"/>
  <c r="LLX43" i="1" s="1"/>
  <c r="LLW42" i="1"/>
  <c r="LLW43" i="1" s="1"/>
  <c r="LLV42" i="1"/>
  <c r="LLV43" i="1" s="1"/>
  <c r="LLU42" i="1"/>
  <c r="LLU43" i="1" s="1"/>
  <c r="LLT42" i="1"/>
  <c r="LLT43" i="1" s="1"/>
  <c r="LLS42" i="1"/>
  <c r="LLS43" i="1" s="1"/>
  <c r="LLR42" i="1"/>
  <c r="LLR43" i="1" s="1"/>
  <c r="LLQ42" i="1"/>
  <c r="LLQ43" i="1" s="1"/>
  <c r="LLP42" i="1"/>
  <c r="LLP43" i="1" s="1"/>
  <c r="LLO42" i="1"/>
  <c r="LLO43" i="1" s="1"/>
  <c r="LLN42" i="1"/>
  <c r="LLN43" i="1" s="1"/>
  <c r="LLM42" i="1"/>
  <c r="LLM43" i="1" s="1"/>
  <c r="LLL42" i="1"/>
  <c r="LLL43" i="1" s="1"/>
  <c r="LLK42" i="1"/>
  <c r="LLK43" i="1" s="1"/>
  <c r="LLJ42" i="1"/>
  <c r="LLJ43" i="1" s="1"/>
  <c r="LLI42" i="1"/>
  <c r="LLI43" i="1" s="1"/>
  <c r="LLH42" i="1"/>
  <c r="LLH43" i="1" s="1"/>
  <c r="LLG42" i="1"/>
  <c r="LLG43" i="1" s="1"/>
  <c r="LLF42" i="1"/>
  <c r="LLF43" i="1" s="1"/>
  <c r="LLE42" i="1"/>
  <c r="LLE43" i="1" s="1"/>
  <c r="LLD42" i="1"/>
  <c r="LLD43" i="1" s="1"/>
  <c r="LLC42" i="1"/>
  <c r="LLC43" i="1" s="1"/>
  <c r="LLB42" i="1"/>
  <c r="LLB43" i="1" s="1"/>
  <c r="LLA42" i="1"/>
  <c r="LLA43" i="1" s="1"/>
  <c r="LKZ42" i="1"/>
  <c r="LKZ43" i="1" s="1"/>
  <c r="LKY42" i="1"/>
  <c r="LKY43" i="1" s="1"/>
  <c r="LKX42" i="1"/>
  <c r="LKX43" i="1" s="1"/>
  <c r="LKW42" i="1"/>
  <c r="LKW43" i="1" s="1"/>
  <c r="LKV42" i="1"/>
  <c r="LKV43" i="1" s="1"/>
  <c r="LKU42" i="1"/>
  <c r="LKU43" i="1" s="1"/>
  <c r="LKT42" i="1"/>
  <c r="LKT43" i="1" s="1"/>
  <c r="LKS42" i="1"/>
  <c r="LKS43" i="1" s="1"/>
  <c r="LKR42" i="1"/>
  <c r="LKR43" i="1" s="1"/>
  <c r="LKQ42" i="1"/>
  <c r="LKQ43" i="1" s="1"/>
  <c r="LKP42" i="1"/>
  <c r="LKP43" i="1" s="1"/>
  <c r="LKO42" i="1"/>
  <c r="LKO43" i="1" s="1"/>
  <c r="LKN42" i="1"/>
  <c r="LKN43" i="1" s="1"/>
  <c r="LKM42" i="1"/>
  <c r="LKM43" i="1" s="1"/>
  <c r="LKL42" i="1"/>
  <c r="LKL43" i="1" s="1"/>
  <c r="LKK42" i="1"/>
  <c r="LKK43" i="1" s="1"/>
  <c r="LKJ42" i="1"/>
  <c r="LKJ43" i="1" s="1"/>
  <c r="LKI42" i="1"/>
  <c r="LKI43" i="1" s="1"/>
  <c r="LKH42" i="1"/>
  <c r="LKH43" i="1" s="1"/>
  <c r="LKG42" i="1"/>
  <c r="LKG43" i="1" s="1"/>
  <c r="LKF42" i="1"/>
  <c r="LKF43" i="1" s="1"/>
  <c r="LKE42" i="1"/>
  <c r="LKE43" i="1" s="1"/>
  <c r="LKD42" i="1"/>
  <c r="LKD43" i="1" s="1"/>
  <c r="LKC42" i="1"/>
  <c r="LKC43" i="1" s="1"/>
  <c r="LKB42" i="1"/>
  <c r="LKB43" i="1" s="1"/>
  <c r="LKA42" i="1"/>
  <c r="LKA43" i="1" s="1"/>
  <c r="LJZ42" i="1"/>
  <c r="LJZ43" i="1" s="1"/>
  <c r="LJY42" i="1"/>
  <c r="LJY43" i="1" s="1"/>
  <c r="LJX42" i="1"/>
  <c r="LJX43" i="1" s="1"/>
  <c r="LJW42" i="1"/>
  <c r="LJW43" i="1" s="1"/>
  <c r="LJV42" i="1"/>
  <c r="LJV43" i="1" s="1"/>
  <c r="LJU42" i="1"/>
  <c r="LJU43" i="1" s="1"/>
  <c r="LJT42" i="1"/>
  <c r="LJT43" i="1" s="1"/>
  <c r="LJS42" i="1"/>
  <c r="LJS43" i="1" s="1"/>
  <c r="LJR42" i="1"/>
  <c r="LJR43" i="1" s="1"/>
  <c r="LJQ42" i="1"/>
  <c r="LJQ43" i="1" s="1"/>
  <c r="LJP42" i="1"/>
  <c r="LJP43" i="1" s="1"/>
  <c r="LJO42" i="1"/>
  <c r="LJO43" i="1" s="1"/>
  <c r="LJN42" i="1"/>
  <c r="LJN43" i="1" s="1"/>
  <c r="LJM42" i="1"/>
  <c r="LJM43" i="1" s="1"/>
  <c r="LJL42" i="1"/>
  <c r="LJL43" i="1" s="1"/>
  <c r="LJK42" i="1"/>
  <c r="LJK43" i="1" s="1"/>
  <c r="LJJ42" i="1"/>
  <c r="LJJ43" i="1" s="1"/>
  <c r="LJI42" i="1"/>
  <c r="LJI43" i="1" s="1"/>
  <c r="LJH42" i="1"/>
  <c r="LJH43" i="1" s="1"/>
  <c r="LJG42" i="1"/>
  <c r="LJG43" i="1" s="1"/>
  <c r="LJF42" i="1"/>
  <c r="LJF43" i="1" s="1"/>
  <c r="LJE42" i="1"/>
  <c r="LJE43" i="1" s="1"/>
  <c r="LJD42" i="1"/>
  <c r="LJD43" i="1" s="1"/>
  <c r="LJC42" i="1"/>
  <c r="LJC43" i="1" s="1"/>
  <c r="LJB42" i="1"/>
  <c r="LJB43" i="1" s="1"/>
  <c r="LJA42" i="1"/>
  <c r="LJA43" i="1" s="1"/>
  <c r="LIZ42" i="1"/>
  <c r="LIZ43" i="1" s="1"/>
  <c r="LIY42" i="1"/>
  <c r="LIY43" i="1" s="1"/>
  <c r="LIX42" i="1"/>
  <c r="LIX43" i="1" s="1"/>
  <c r="LIW42" i="1"/>
  <c r="LIW43" i="1" s="1"/>
  <c r="LIV42" i="1"/>
  <c r="LIV43" i="1" s="1"/>
  <c r="LIU42" i="1"/>
  <c r="LIU43" i="1" s="1"/>
  <c r="LIT42" i="1"/>
  <c r="LIT43" i="1" s="1"/>
  <c r="LIS42" i="1"/>
  <c r="LIS43" i="1" s="1"/>
  <c r="LIR42" i="1"/>
  <c r="LIR43" i="1" s="1"/>
  <c r="LIQ42" i="1"/>
  <c r="LIQ43" i="1" s="1"/>
  <c r="LIP42" i="1"/>
  <c r="LIP43" i="1" s="1"/>
  <c r="LIO42" i="1"/>
  <c r="LIO43" i="1" s="1"/>
  <c r="LIN42" i="1"/>
  <c r="LIN43" i="1" s="1"/>
  <c r="LIM42" i="1"/>
  <c r="LIM43" i="1" s="1"/>
  <c r="LIL42" i="1"/>
  <c r="LIL43" i="1" s="1"/>
  <c r="LIK42" i="1"/>
  <c r="LIK43" i="1" s="1"/>
  <c r="LIJ42" i="1"/>
  <c r="LIJ43" i="1" s="1"/>
  <c r="LII42" i="1"/>
  <c r="LII43" i="1" s="1"/>
  <c r="LIH42" i="1"/>
  <c r="LIH43" i="1" s="1"/>
  <c r="LIG42" i="1"/>
  <c r="LIG43" i="1" s="1"/>
  <c r="LIF42" i="1"/>
  <c r="LIF43" i="1" s="1"/>
  <c r="LIE42" i="1"/>
  <c r="LIE43" i="1" s="1"/>
  <c r="LID42" i="1"/>
  <c r="LID43" i="1" s="1"/>
  <c r="LIC42" i="1"/>
  <c r="LIC43" i="1" s="1"/>
  <c r="LIB42" i="1"/>
  <c r="LIB43" i="1" s="1"/>
  <c r="LIA42" i="1"/>
  <c r="LIA43" i="1" s="1"/>
  <c r="LHZ42" i="1"/>
  <c r="LHZ43" i="1" s="1"/>
  <c r="LHY42" i="1"/>
  <c r="LHY43" i="1" s="1"/>
  <c r="LHX42" i="1"/>
  <c r="LHX43" i="1" s="1"/>
  <c r="LHW42" i="1"/>
  <c r="LHW43" i="1" s="1"/>
  <c r="LHV42" i="1"/>
  <c r="LHV43" i="1" s="1"/>
  <c r="LHU42" i="1"/>
  <c r="LHU43" i="1" s="1"/>
  <c r="LHT42" i="1"/>
  <c r="LHT43" i="1" s="1"/>
  <c r="LHS42" i="1"/>
  <c r="LHS43" i="1" s="1"/>
  <c r="LHR42" i="1"/>
  <c r="LHR43" i="1" s="1"/>
  <c r="LHQ42" i="1"/>
  <c r="LHQ43" i="1" s="1"/>
  <c r="LHP42" i="1"/>
  <c r="LHP43" i="1" s="1"/>
  <c r="LHO42" i="1"/>
  <c r="LHO43" i="1" s="1"/>
  <c r="LHN42" i="1"/>
  <c r="LHN43" i="1" s="1"/>
  <c r="LHM42" i="1"/>
  <c r="LHM43" i="1" s="1"/>
  <c r="LHL42" i="1"/>
  <c r="LHL43" i="1" s="1"/>
  <c r="LHK42" i="1"/>
  <c r="LHK43" i="1" s="1"/>
  <c r="LHJ42" i="1"/>
  <c r="LHJ43" i="1" s="1"/>
  <c r="LHI42" i="1"/>
  <c r="LHI43" i="1" s="1"/>
  <c r="LHH42" i="1"/>
  <c r="LHH43" i="1" s="1"/>
  <c r="LHG42" i="1"/>
  <c r="LHG43" i="1" s="1"/>
  <c r="LHF42" i="1"/>
  <c r="LHF43" i="1" s="1"/>
  <c r="LHE42" i="1"/>
  <c r="LHE43" i="1" s="1"/>
  <c r="LHD42" i="1"/>
  <c r="LHD43" i="1" s="1"/>
  <c r="LHC42" i="1"/>
  <c r="LHC43" i="1" s="1"/>
  <c r="LHB42" i="1"/>
  <c r="LHB43" i="1" s="1"/>
  <c r="LHA42" i="1"/>
  <c r="LHA43" i="1" s="1"/>
  <c r="LGZ42" i="1"/>
  <c r="LGZ43" i="1" s="1"/>
  <c r="LGY42" i="1"/>
  <c r="LGY43" i="1" s="1"/>
  <c r="LGX42" i="1"/>
  <c r="LGX43" i="1" s="1"/>
  <c r="LGW42" i="1"/>
  <c r="LGW43" i="1" s="1"/>
  <c r="LGV42" i="1"/>
  <c r="LGV43" i="1" s="1"/>
  <c r="LGU42" i="1"/>
  <c r="LGU43" i="1" s="1"/>
  <c r="LGT42" i="1"/>
  <c r="LGT43" i="1" s="1"/>
  <c r="LGS42" i="1"/>
  <c r="LGS43" i="1" s="1"/>
  <c r="LGR42" i="1"/>
  <c r="LGR43" i="1" s="1"/>
  <c r="LGQ42" i="1"/>
  <c r="LGQ43" i="1" s="1"/>
  <c r="LGP42" i="1"/>
  <c r="LGP43" i="1" s="1"/>
  <c r="LGO42" i="1"/>
  <c r="LGO43" i="1" s="1"/>
  <c r="LGN42" i="1"/>
  <c r="LGN43" i="1" s="1"/>
  <c r="LGM42" i="1"/>
  <c r="LGM43" i="1" s="1"/>
  <c r="LGL42" i="1"/>
  <c r="LGL43" i="1" s="1"/>
  <c r="LGK42" i="1"/>
  <c r="LGK43" i="1" s="1"/>
  <c r="LGJ42" i="1"/>
  <c r="LGJ43" i="1" s="1"/>
  <c r="LGI42" i="1"/>
  <c r="LGI43" i="1" s="1"/>
  <c r="LGH42" i="1"/>
  <c r="LGH43" i="1" s="1"/>
  <c r="LGG42" i="1"/>
  <c r="LGG43" i="1" s="1"/>
  <c r="LGF42" i="1"/>
  <c r="LGF43" i="1" s="1"/>
  <c r="LGE42" i="1"/>
  <c r="LGE43" i="1" s="1"/>
  <c r="LGD42" i="1"/>
  <c r="LGD43" i="1" s="1"/>
  <c r="LGC42" i="1"/>
  <c r="LGC43" i="1" s="1"/>
  <c r="LGB42" i="1"/>
  <c r="LGB43" i="1" s="1"/>
  <c r="LGA42" i="1"/>
  <c r="LGA43" i="1" s="1"/>
  <c r="LFZ42" i="1"/>
  <c r="LFZ43" i="1" s="1"/>
  <c r="LFY42" i="1"/>
  <c r="LFY43" i="1" s="1"/>
  <c r="LFX42" i="1"/>
  <c r="LFX43" i="1" s="1"/>
  <c r="LFW42" i="1"/>
  <c r="LFW43" i="1" s="1"/>
  <c r="LFV42" i="1"/>
  <c r="LFV43" i="1" s="1"/>
  <c r="LFU42" i="1"/>
  <c r="LFU43" i="1" s="1"/>
  <c r="LFT42" i="1"/>
  <c r="LFT43" i="1" s="1"/>
  <c r="LFS42" i="1"/>
  <c r="LFS43" i="1" s="1"/>
  <c r="LFR42" i="1"/>
  <c r="LFR43" i="1" s="1"/>
  <c r="LFQ42" i="1"/>
  <c r="LFQ43" i="1" s="1"/>
  <c r="LFP42" i="1"/>
  <c r="LFP43" i="1" s="1"/>
  <c r="LFO42" i="1"/>
  <c r="LFO43" i="1" s="1"/>
  <c r="LFN42" i="1"/>
  <c r="LFN43" i="1" s="1"/>
  <c r="LFM42" i="1"/>
  <c r="LFM43" i="1" s="1"/>
  <c r="LFL42" i="1"/>
  <c r="LFL43" i="1" s="1"/>
  <c r="LFK42" i="1"/>
  <c r="LFK43" i="1" s="1"/>
  <c r="LFJ42" i="1"/>
  <c r="LFJ43" i="1" s="1"/>
  <c r="LFI42" i="1"/>
  <c r="LFI43" i="1" s="1"/>
  <c r="LFH42" i="1"/>
  <c r="LFH43" i="1" s="1"/>
  <c r="LFG42" i="1"/>
  <c r="LFG43" i="1" s="1"/>
  <c r="LFF42" i="1"/>
  <c r="LFF43" i="1" s="1"/>
  <c r="LFE42" i="1"/>
  <c r="LFE43" i="1" s="1"/>
  <c r="LFD42" i="1"/>
  <c r="LFD43" i="1" s="1"/>
  <c r="LFC42" i="1"/>
  <c r="LFC43" i="1" s="1"/>
  <c r="LFB42" i="1"/>
  <c r="LFB43" i="1" s="1"/>
  <c r="LFA42" i="1"/>
  <c r="LFA43" i="1" s="1"/>
  <c r="LEZ42" i="1"/>
  <c r="LEZ43" i="1" s="1"/>
  <c r="LEY42" i="1"/>
  <c r="LEY43" i="1" s="1"/>
  <c r="LEX42" i="1"/>
  <c r="LEX43" i="1" s="1"/>
  <c r="LEW42" i="1"/>
  <c r="LEW43" i="1" s="1"/>
  <c r="LEV42" i="1"/>
  <c r="LEV43" i="1" s="1"/>
  <c r="LEU42" i="1"/>
  <c r="LEU43" i="1" s="1"/>
  <c r="LET42" i="1"/>
  <c r="LET43" i="1" s="1"/>
  <c r="LES42" i="1"/>
  <c r="LES43" i="1" s="1"/>
  <c r="LER42" i="1"/>
  <c r="LER43" i="1" s="1"/>
  <c r="LEQ42" i="1"/>
  <c r="LEQ43" i="1" s="1"/>
  <c r="LEP42" i="1"/>
  <c r="LEP43" i="1" s="1"/>
  <c r="LEO42" i="1"/>
  <c r="LEO43" i="1" s="1"/>
  <c r="LEN42" i="1"/>
  <c r="LEN43" i="1" s="1"/>
  <c r="LEM42" i="1"/>
  <c r="LEM43" i="1" s="1"/>
  <c r="LEL42" i="1"/>
  <c r="LEL43" i="1" s="1"/>
  <c r="LEK42" i="1"/>
  <c r="LEK43" i="1" s="1"/>
  <c r="LEJ42" i="1"/>
  <c r="LEJ43" i="1" s="1"/>
  <c r="LEI42" i="1"/>
  <c r="LEI43" i="1" s="1"/>
  <c r="LEH42" i="1"/>
  <c r="LEH43" i="1" s="1"/>
  <c r="LEG42" i="1"/>
  <c r="LEG43" i="1" s="1"/>
  <c r="LEF42" i="1"/>
  <c r="LEF43" i="1" s="1"/>
  <c r="LEE42" i="1"/>
  <c r="LEE43" i="1" s="1"/>
  <c r="LED42" i="1"/>
  <c r="LED43" i="1" s="1"/>
  <c r="LEC42" i="1"/>
  <c r="LEC43" i="1" s="1"/>
  <c r="LEB42" i="1"/>
  <c r="LEB43" i="1" s="1"/>
  <c r="LEA42" i="1"/>
  <c r="LEA43" i="1" s="1"/>
  <c r="LDZ42" i="1"/>
  <c r="LDZ43" i="1" s="1"/>
  <c r="LDY42" i="1"/>
  <c r="LDY43" i="1" s="1"/>
  <c r="LDX42" i="1"/>
  <c r="LDX43" i="1" s="1"/>
  <c r="LDW42" i="1"/>
  <c r="LDW43" i="1" s="1"/>
  <c r="LDV42" i="1"/>
  <c r="LDV43" i="1" s="1"/>
  <c r="LDU42" i="1"/>
  <c r="LDU43" i="1" s="1"/>
  <c r="LDT42" i="1"/>
  <c r="LDT43" i="1" s="1"/>
  <c r="LDS42" i="1"/>
  <c r="LDS43" i="1" s="1"/>
  <c r="LDR42" i="1"/>
  <c r="LDR43" i="1" s="1"/>
  <c r="LDQ42" i="1"/>
  <c r="LDQ43" i="1" s="1"/>
  <c r="LDP42" i="1"/>
  <c r="LDP43" i="1" s="1"/>
  <c r="LDO42" i="1"/>
  <c r="LDO43" i="1" s="1"/>
  <c r="LDN42" i="1"/>
  <c r="LDN43" i="1" s="1"/>
  <c r="LDM42" i="1"/>
  <c r="LDM43" i="1" s="1"/>
  <c r="LDL42" i="1"/>
  <c r="LDL43" i="1" s="1"/>
  <c r="LDK42" i="1"/>
  <c r="LDK43" i="1" s="1"/>
  <c r="LDJ42" i="1"/>
  <c r="LDJ43" i="1" s="1"/>
  <c r="LDI42" i="1"/>
  <c r="LDI43" i="1" s="1"/>
  <c r="LDH42" i="1"/>
  <c r="LDH43" i="1" s="1"/>
  <c r="LDG42" i="1"/>
  <c r="LDG43" i="1" s="1"/>
  <c r="LDF42" i="1"/>
  <c r="LDF43" i="1" s="1"/>
  <c r="LDE42" i="1"/>
  <c r="LDE43" i="1" s="1"/>
  <c r="LDD42" i="1"/>
  <c r="LDD43" i="1" s="1"/>
  <c r="LDC42" i="1"/>
  <c r="LDC43" i="1" s="1"/>
  <c r="LDB42" i="1"/>
  <c r="LDB43" i="1" s="1"/>
  <c r="LDA42" i="1"/>
  <c r="LDA43" i="1" s="1"/>
  <c r="LCZ42" i="1"/>
  <c r="LCZ43" i="1" s="1"/>
  <c r="LCY42" i="1"/>
  <c r="LCY43" i="1" s="1"/>
  <c r="LCX42" i="1"/>
  <c r="LCX43" i="1" s="1"/>
  <c r="LCW42" i="1"/>
  <c r="LCW43" i="1" s="1"/>
  <c r="LCV42" i="1"/>
  <c r="LCV43" i="1" s="1"/>
  <c r="LCU42" i="1"/>
  <c r="LCU43" i="1" s="1"/>
  <c r="LCT42" i="1"/>
  <c r="LCT43" i="1" s="1"/>
  <c r="LCS42" i="1"/>
  <c r="LCS43" i="1" s="1"/>
  <c r="LCR42" i="1"/>
  <c r="LCR43" i="1" s="1"/>
  <c r="LCQ42" i="1"/>
  <c r="LCQ43" i="1" s="1"/>
  <c r="LCP42" i="1"/>
  <c r="LCP43" i="1" s="1"/>
  <c r="LCO42" i="1"/>
  <c r="LCO43" i="1" s="1"/>
  <c r="LCN42" i="1"/>
  <c r="LCN43" i="1" s="1"/>
  <c r="LCM42" i="1"/>
  <c r="LCM43" i="1" s="1"/>
  <c r="LCL42" i="1"/>
  <c r="LCL43" i="1" s="1"/>
  <c r="LCK42" i="1"/>
  <c r="LCK43" i="1" s="1"/>
  <c r="LCJ42" i="1"/>
  <c r="LCJ43" i="1" s="1"/>
  <c r="LCI42" i="1"/>
  <c r="LCI43" i="1" s="1"/>
  <c r="LCH42" i="1"/>
  <c r="LCH43" i="1" s="1"/>
  <c r="LCG42" i="1"/>
  <c r="LCG43" i="1" s="1"/>
  <c r="LCF42" i="1"/>
  <c r="LCF43" i="1" s="1"/>
  <c r="LCE42" i="1"/>
  <c r="LCE43" i="1" s="1"/>
  <c r="LCD42" i="1"/>
  <c r="LCD43" i="1" s="1"/>
  <c r="LCC42" i="1"/>
  <c r="LCC43" i="1" s="1"/>
  <c r="LCB42" i="1"/>
  <c r="LCB43" i="1" s="1"/>
  <c r="LCA42" i="1"/>
  <c r="LCA43" i="1" s="1"/>
  <c r="LBZ42" i="1"/>
  <c r="LBZ43" i="1" s="1"/>
  <c r="LBY42" i="1"/>
  <c r="LBY43" i="1" s="1"/>
  <c r="LBX42" i="1"/>
  <c r="LBX43" i="1" s="1"/>
  <c r="LBW42" i="1"/>
  <c r="LBW43" i="1" s="1"/>
  <c r="LBV42" i="1"/>
  <c r="LBV43" i="1" s="1"/>
  <c r="LBU42" i="1"/>
  <c r="LBU43" i="1" s="1"/>
  <c r="LBT42" i="1"/>
  <c r="LBT43" i="1" s="1"/>
  <c r="LBS42" i="1"/>
  <c r="LBS43" i="1" s="1"/>
  <c r="LBR42" i="1"/>
  <c r="LBR43" i="1" s="1"/>
  <c r="LBQ42" i="1"/>
  <c r="LBQ43" i="1" s="1"/>
  <c r="LBP42" i="1"/>
  <c r="LBP43" i="1" s="1"/>
  <c r="LBO42" i="1"/>
  <c r="LBO43" i="1" s="1"/>
  <c r="LBN42" i="1"/>
  <c r="LBN43" i="1" s="1"/>
  <c r="LBM42" i="1"/>
  <c r="LBM43" i="1" s="1"/>
  <c r="LBL42" i="1"/>
  <c r="LBL43" i="1" s="1"/>
  <c r="LBK42" i="1"/>
  <c r="LBK43" i="1" s="1"/>
  <c r="LBJ42" i="1"/>
  <c r="LBJ43" i="1" s="1"/>
  <c r="LBI42" i="1"/>
  <c r="LBI43" i="1" s="1"/>
  <c r="LBH42" i="1"/>
  <c r="LBH43" i="1" s="1"/>
  <c r="LBG42" i="1"/>
  <c r="LBG43" i="1" s="1"/>
  <c r="LBF42" i="1"/>
  <c r="LBF43" i="1" s="1"/>
  <c r="LBE42" i="1"/>
  <c r="LBE43" i="1" s="1"/>
  <c r="LBD42" i="1"/>
  <c r="LBD43" i="1" s="1"/>
  <c r="LBC42" i="1"/>
  <c r="LBC43" i="1" s="1"/>
  <c r="LBB42" i="1"/>
  <c r="LBB43" i="1" s="1"/>
  <c r="LBA42" i="1"/>
  <c r="LBA43" i="1" s="1"/>
  <c r="LAZ42" i="1"/>
  <c r="LAZ43" i="1" s="1"/>
  <c r="LAY42" i="1"/>
  <c r="LAY43" i="1" s="1"/>
  <c r="LAX42" i="1"/>
  <c r="LAX43" i="1" s="1"/>
  <c r="LAW42" i="1"/>
  <c r="LAW43" i="1" s="1"/>
  <c r="LAV42" i="1"/>
  <c r="LAV43" i="1" s="1"/>
  <c r="LAU42" i="1"/>
  <c r="LAU43" i="1" s="1"/>
  <c r="LAT42" i="1"/>
  <c r="LAT43" i="1" s="1"/>
  <c r="LAS42" i="1"/>
  <c r="LAS43" i="1" s="1"/>
  <c r="LAR42" i="1"/>
  <c r="LAR43" i="1" s="1"/>
  <c r="LAQ42" i="1"/>
  <c r="LAQ43" i="1" s="1"/>
  <c r="LAP42" i="1"/>
  <c r="LAP43" i="1" s="1"/>
  <c r="LAO42" i="1"/>
  <c r="LAO43" i="1" s="1"/>
  <c r="LAN42" i="1"/>
  <c r="LAN43" i="1" s="1"/>
  <c r="LAM42" i="1"/>
  <c r="LAM43" i="1" s="1"/>
  <c r="LAL42" i="1"/>
  <c r="LAL43" i="1" s="1"/>
  <c r="LAK42" i="1"/>
  <c r="LAK43" i="1" s="1"/>
  <c r="LAJ42" i="1"/>
  <c r="LAJ43" i="1" s="1"/>
  <c r="LAI42" i="1"/>
  <c r="LAI43" i="1" s="1"/>
  <c r="LAH42" i="1"/>
  <c r="LAH43" i="1" s="1"/>
  <c r="LAG42" i="1"/>
  <c r="LAG43" i="1" s="1"/>
  <c r="LAF42" i="1"/>
  <c r="LAF43" i="1" s="1"/>
  <c r="LAE42" i="1"/>
  <c r="LAE43" i="1" s="1"/>
  <c r="LAD42" i="1"/>
  <c r="LAD43" i="1" s="1"/>
  <c r="LAC42" i="1"/>
  <c r="LAC43" i="1" s="1"/>
  <c r="LAB42" i="1"/>
  <c r="LAB43" i="1" s="1"/>
  <c r="LAA42" i="1"/>
  <c r="LAA43" i="1" s="1"/>
  <c r="KZZ42" i="1"/>
  <c r="KZZ43" i="1" s="1"/>
  <c r="KZY42" i="1"/>
  <c r="KZY43" i="1" s="1"/>
  <c r="KZX42" i="1"/>
  <c r="KZX43" i="1" s="1"/>
  <c r="KZW42" i="1"/>
  <c r="KZW43" i="1" s="1"/>
  <c r="KZV42" i="1"/>
  <c r="KZV43" i="1" s="1"/>
  <c r="KZU42" i="1"/>
  <c r="KZU43" i="1" s="1"/>
  <c r="KZT42" i="1"/>
  <c r="KZT43" i="1" s="1"/>
  <c r="KZS42" i="1"/>
  <c r="KZS43" i="1" s="1"/>
  <c r="KZR42" i="1"/>
  <c r="KZR43" i="1" s="1"/>
  <c r="KZQ42" i="1"/>
  <c r="KZQ43" i="1" s="1"/>
  <c r="KZP42" i="1"/>
  <c r="KZP43" i="1" s="1"/>
  <c r="KZO42" i="1"/>
  <c r="KZO43" i="1" s="1"/>
  <c r="KZN42" i="1"/>
  <c r="KZN43" i="1" s="1"/>
  <c r="KZM42" i="1"/>
  <c r="KZM43" i="1" s="1"/>
  <c r="KZL42" i="1"/>
  <c r="KZL43" i="1" s="1"/>
  <c r="KZK42" i="1"/>
  <c r="KZK43" i="1" s="1"/>
  <c r="KZJ42" i="1"/>
  <c r="KZJ43" i="1" s="1"/>
  <c r="KZI42" i="1"/>
  <c r="KZI43" i="1" s="1"/>
  <c r="KZH42" i="1"/>
  <c r="KZH43" i="1" s="1"/>
  <c r="KZG42" i="1"/>
  <c r="KZG43" i="1" s="1"/>
  <c r="KZF42" i="1"/>
  <c r="KZF43" i="1" s="1"/>
  <c r="KZE42" i="1"/>
  <c r="KZE43" i="1" s="1"/>
  <c r="KZD42" i="1"/>
  <c r="KZD43" i="1" s="1"/>
  <c r="KZC42" i="1"/>
  <c r="KZC43" i="1" s="1"/>
  <c r="KZB42" i="1"/>
  <c r="KZB43" i="1" s="1"/>
  <c r="KZA42" i="1"/>
  <c r="KZA43" i="1" s="1"/>
  <c r="KYZ42" i="1"/>
  <c r="KYZ43" i="1" s="1"/>
  <c r="KYY42" i="1"/>
  <c r="KYY43" i="1" s="1"/>
  <c r="KYX42" i="1"/>
  <c r="KYX43" i="1" s="1"/>
  <c r="KYW42" i="1"/>
  <c r="KYW43" i="1" s="1"/>
  <c r="KYV42" i="1"/>
  <c r="KYV43" i="1" s="1"/>
  <c r="KYU42" i="1"/>
  <c r="KYU43" i="1" s="1"/>
  <c r="KYT42" i="1"/>
  <c r="KYT43" i="1" s="1"/>
  <c r="KYS42" i="1"/>
  <c r="KYS43" i="1" s="1"/>
  <c r="KYR42" i="1"/>
  <c r="KYR43" i="1" s="1"/>
  <c r="KYQ42" i="1"/>
  <c r="KYQ43" i="1" s="1"/>
  <c r="KYP42" i="1"/>
  <c r="KYP43" i="1" s="1"/>
  <c r="KYO42" i="1"/>
  <c r="KYO43" i="1" s="1"/>
  <c r="KYN42" i="1"/>
  <c r="KYN43" i="1" s="1"/>
  <c r="KYM42" i="1"/>
  <c r="KYM43" i="1" s="1"/>
  <c r="KYL42" i="1"/>
  <c r="KYL43" i="1" s="1"/>
  <c r="KYK42" i="1"/>
  <c r="KYK43" i="1" s="1"/>
  <c r="KYJ42" i="1"/>
  <c r="KYJ43" i="1" s="1"/>
  <c r="KYI42" i="1"/>
  <c r="KYI43" i="1" s="1"/>
  <c r="KYH42" i="1"/>
  <c r="KYH43" i="1" s="1"/>
  <c r="KYG42" i="1"/>
  <c r="KYG43" i="1" s="1"/>
  <c r="KYF42" i="1"/>
  <c r="KYF43" i="1" s="1"/>
  <c r="KYE42" i="1"/>
  <c r="KYE43" i="1" s="1"/>
  <c r="KYD42" i="1"/>
  <c r="KYD43" i="1" s="1"/>
  <c r="KYC42" i="1"/>
  <c r="KYC43" i="1" s="1"/>
  <c r="KYB42" i="1"/>
  <c r="KYB43" i="1" s="1"/>
  <c r="KYA42" i="1"/>
  <c r="KYA43" i="1" s="1"/>
  <c r="KXZ42" i="1"/>
  <c r="KXZ43" i="1" s="1"/>
  <c r="KXY42" i="1"/>
  <c r="KXY43" i="1" s="1"/>
  <c r="KXX42" i="1"/>
  <c r="KXX43" i="1" s="1"/>
  <c r="KXW42" i="1"/>
  <c r="KXW43" i="1" s="1"/>
  <c r="KXV42" i="1"/>
  <c r="KXV43" i="1" s="1"/>
  <c r="KXU42" i="1"/>
  <c r="KXU43" i="1" s="1"/>
  <c r="KXT42" i="1"/>
  <c r="KXT43" i="1" s="1"/>
  <c r="KXS42" i="1"/>
  <c r="KXS43" i="1" s="1"/>
  <c r="KXR42" i="1"/>
  <c r="KXR43" i="1" s="1"/>
  <c r="KXQ42" i="1"/>
  <c r="KXQ43" i="1" s="1"/>
  <c r="KXP42" i="1"/>
  <c r="KXP43" i="1" s="1"/>
  <c r="KXO42" i="1"/>
  <c r="KXO43" i="1" s="1"/>
  <c r="KXN42" i="1"/>
  <c r="KXN43" i="1" s="1"/>
  <c r="KXM42" i="1"/>
  <c r="KXM43" i="1" s="1"/>
  <c r="KXL42" i="1"/>
  <c r="KXL43" i="1" s="1"/>
  <c r="KXK42" i="1"/>
  <c r="KXK43" i="1" s="1"/>
  <c r="KXJ42" i="1"/>
  <c r="KXJ43" i="1" s="1"/>
  <c r="KXI42" i="1"/>
  <c r="KXI43" i="1" s="1"/>
  <c r="KXH42" i="1"/>
  <c r="KXH43" i="1" s="1"/>
  <c r="KXG42" i="1"/>
  <c r="KXG43" i="1" s="1"/>
  <c r="KXF42" i="1"/>
  <c r="KXF43" i="1" s="1"/>
  <c r="KXE42" i="1"/>
  <c r="KXE43" i="1" s="1"/>
  <c r="KXD42" i="1"/>
  <c r="KXD43" i="1" s="1"/>
  <c r="KXC42" i="1"/>
  <c r="KXC43" i="1" s="1"/>
  <c r="KXB42" i="1"/>
  <c r="KXB43" i="1" s="1"/>
  <c r="KXA42" i="1"/>
  <c r="KXA43" i="1" s="1"/>
  <c r="KWZ42" i="1"/>
  <c r="KWZ43" i="1" s="1"/>
  <c r="KWY42" i="1"/>
  <c r="KWY43" i="1" s="1"/>
  <c r="KWX42" i="1"/>
  <c r="KWX43" i="1" s="1"/>
  <c r="KWW42" i="1"/>
  <c r="KWW43" i="1" s="1"/>
  <c r="KWV42" i="1"/>
  <c r="KWV43" i="1" s="1"/>
  <c r="KWU42" i="1"/>
  <c r="KWU43" i="1" s="1"/>
  <c r="KWT42" i="1"/>
  <c r="KWT43" i="1" s="1"/>
  <c r="KWS42" i="1"/>
  <c r="KWS43" i="1" s="1"/>
  <c r="KWR42" i="1"/>
  <c r="KWR43" i="1" s="1"/>
  <c r="KWQ42" i="1"/>
  <c r="KWQ43" i="1" s="1"/>
  <c r="KWP42" i="1"/>
  <c r="KWP43" i="1" s="1"/>
  <c r="KWO42" i="1"/>
  <c r="KWO43" i="1" s="1"/>
  <c r="KWN42" i="1"/>
  <c r="KWN43" i="1" s="1"/>
  <c r="KWM42" i="1"/>
  <c r="KWM43" i="1" s="1"/>
  <c r="KWL42" i="1"/>
  <c r="KWL43" i="1" s="1"/>
  <c r="KWK42" i="1"/>
  <c r="KWK43" i="1" s="1"/>
  <c r="KWJ42" i="1"/>
  <c r="KWJ43" i="1" s="1"/>
  <c r="KWI42" i="1"/>
  <c r="KWI43" i="1" s="1"/>
  <c r="KWH42" i="1"/>
  <c r="KWH43" i="1" s="1"/>
  <c r="KWG42" i="1"/>
  <c r="KWG43" i="1" s="1"/>
  <c r="KWF42" i="1"/>
  <c r="KWF43" i="1" s="1"/>
  <c r="KWE42" i="1"/>
  <c r="KWE43" i="1" s="1"/>
  <c r="KWD42" i="1"/>
  <c r="KWD43" i="1" s="1"/>
  <c r="KWC42" i="1"/>
  <c r="KWC43" i="1" s="1"/>
  <c r="KWB42" i="1"/>
  <c r="KWB43" i="1" s="1"/>
  <c r="KWA42" i="1"/>
  <c r="KWA43" i="1" s="1"/>
  <c r="KVZ42" i="1"/>
  <c r="KVZ43" i="1" s="1"/>
  <c r="KVY42" i="1"/>
  <c r="KVY43" i="1" s="1"/>
  <c r="KVX42" i="1"/>
  <c r="KVX43" i="1" s="1"/>
  <c r="KVW42" i="1"/>
  <c r="KVW43" i="1" s="1"/>
  <c r="KVV42" i="1"/>
  <c r="KVV43" i="1" s="1"/>
  <c r="KVU42" i="1"/>
  <c r="KVU43" i="1" s="1"/>
  <c r="KVT42" i="1"/>
  <c r="KVT43" i="1" s="1"/>
  <c r="KVS42" i="1"/>
  <c r="KVS43" i="1" s="1"/>
  <c r="KVR42" i="1"/>
  <c r="KVR43" i="1" s="1"/>
  <c r="KVQ42" i="1"/>
  <c r="KVQ43" i="1" s="1"/>
  <c r="KVP42" i="1"/>
  <c r="KVP43" i="1" s="1"/>
  <c r="KVO42" i="1"/>
  <c r="KVO43" i="1" s="1"/>
  <c r="KVN42" i="1"/>
  <c r="KVN43" i="1" s="1"/>
  <c r="KVM42" i="1"/>
  <c r="KVM43" i="1" s="1"/>
  <c r="KVL42" i="1"/>
  <c r="KVL43" i="1" s="1"/>
  <c r="KVK42" i="1"/>
  <c r="KVK43" i="1" s="1"/>
  <c r="KVJ42" i="1"/>
  <c r="KVJ43" i="1" s="1"/>
  <c r="KVI42" i="1"/>
  <c r="KVI43" i="1" s="1"/>
  <c r="KVH42" i="1"/>
  <c r="KVH43" i="1" s="1"/>
  <c r="KVG42" i="1"/>
  <c r="KVG43" i="1" s="1"/>
  <c r="KVF42" i="1"/>
  <c r="KVF43" i="1" s="1"/>
  <c r="KVE42" i="1"/>
  <c r="KVE43" i="1" s="1"/>
  <c r="KVD42" i="1"/>
  <c r="KVD43" i="1" s="1"/>
  <c r="KVC42" i="1"/>
  <c r="KVC43" i="1" s="1"/>
  <c r="KVB42" i="1"/>
  <c r="KVB43" i="1" s="1"/>
  <c r="KVA42" i="1"/>
  <c r="KVA43" i="1" s="1"/>
  <c r="KUZ42" i="1"/>
  <c r="KUZ43" i="1" s="1"/>
  <c r="KUY42" i="1"/>
  <c r="KUY43" i="1" s="1"/>
  <c r="KUX42" i="1"/>
  <c r="KUX43" i="1" s="1"/>
  <c r="KUW42" i="1"/>
  <c r="KUW43" i="1" s="1"/>
  <c r="KUV42" i="1"/>
  <c r="KUV43" i="1" s="1"/>
  <c r="KUU42" i="1"/>
  <c r="KUU43" i="1" s="1"/>
  <c r="KUT42" i="1"/>
  <c r="KUT43" i="1" s="1"/>
  <c r="KUS42" i="1"/>
  <c r="KUS43" i="1" s="1"/>
  <c r="KUR42" i="1"/>
  <c r="KUR43" i="1" s="1"/>
  <c r="KUQ42" i="1"/>
  <c r="KUQ43" i="1" s="1"/>
  <c r="KUP42" i="1"/>
  <c r="KUP43" i="1" s="1"/>
  <c r="KUO42" i="1"/>
  <c r="KUO43" i="1" s="1"/>
  <c r="KUN42" i="1"/>
  <c r="KUN43" i="1" s="1"/>
  <c r="KUM42" i="1"/>
  <c r="KUM43" i="1" s="1"/>
  <c r="KUL42" i="1"/>
  <c r="KUL43" i="1" s="1"/>
  <c r="KUK42" i="1"/>
  <c r="KUK43" i="1" s="1"/>
  <c r="KUJ42" i="1"/>
  <c r="KUJ43" i="1" s="1"/>
  <c r="KUI42" i="1"/>
  <c r="KUI43" i="1" s="1"/>
  <c r="KUH42" i="1"/>
  <c r="KUH43" i="1" s="1"/>
  <c r="KUG42" i="1"/>
  <c r="KUG43" i="1" s="1"/>
  <c r="KUF42" i="1"/>
  <c r="KUF43" i="1" s="1"/>
  <c r="KUE42" i="1"/>
  <c r="KUE43" i="1" s="1"/>
  <c r="KUD42" i="1"/>
  <c r="KUD43" i="1" s="1"/>
  <c r="KUC42" i="1"/>
  <c r="KUC43" i="1" s="1"/>
  <c r="KUB42" i="1"/>
  <c r="KUB43" i="1" s="1"/>
  <c r="KUA42" i="1"/>
  <c r="KUA43" i="1" s="1"/>
  <c r="KTZ42" i="1"/>
  <c r="KTZ43" i="1" s="1"/>
  <c r="KTY42" i="1"/>
  <c r="KTY43" i="1" s="1"/>
  <c r="KTX42" i="1"/>
  <c r="KTX43" i="1" s="1"/>
  <c r="KTW42" i="1"/>
  <c r="KTW43" i="1" s="1"/>
  <c r="KTV42" i="1"/>
  <c r="KTV43" i="1" s="1"/>
  <c r="KTU42" i="1"/>
  <c r="KTU43" i="1" s="1"/>
  <c r="KTT42" i="1"/>
  <c r="KTT43" i="1" s="1"/>
  <c r="KTS42" i="1"/>
  <c r="KTS43" i="1" s="1"/>
  <c r="KTR42" i="1"/>
  <c r="KTR43" i="1" s="1"/>
  <c r="KTQ42" i="1"/>
  <c r="KTQ43" i="1" s="1"/>
  <c r="KTP42" i="1"/>
  <c r="KTP43" i="1" s="1"/>
  <c r="KTO42" i="1"/>
  <c r="KTO43" i="1" s="1"/>
  <c r="KTN42" i="1"/>
  <c r="KTN43" i="1" s="1"/>
  <c r="KTM42" i="1"/>
  <c r="KTM43" i="1" s="1"/>
  <c r="KTL42" i="1"/>
  <c r="KTL43" i="1" s="1"/>
  <c r="KTK42" i="1"/>
  <c r="KTK43" i="1" s="1"/>
  <c r="KTJ42" i="1"/>
  <c r="KTJ43" i="1" s="1"/>
  <c r="KTI42" i="1"/>
  <c r="KTI43" i="1" s="1"/>
  <c r="KTH42" i="1"/>
  <c r="KTH43" i="1" s="1"/>
  <c r="KTG42" i="1"/>
  <c r="KTG43" i="1" s="1"/>
  <c r="KTF42" i="1"/>
  <c r="KTF43" i="1" s="1"/>
  <c r="KTE42" i="1"/>
  <c r="KTE43" i="1" s="1"/>
  <c r="KTD42" i="1"/>
  <c r="KTD43" i="1" s="1"/>
  <c r="KTC42" i="1"/>
  <c r="KTC43" i="1" s="1"/>
  <c r="KTB42" i="1"/>
  <c r="KTB43" i="1" s="1"/>
  <c r="KTA42" i="1"/>
  <c r="KTA43" i="1" s="1"/>
  <c r="KSZ42" i="1"/>
  <c r="KSZ43" i="1" s="1"/>
  <c r="KSY42" i="1"/>
  <c r="KSY43" i="1" s="1"/>
  <c r="KSX42" i="1"/>
  <c r="KSX43" i="1" s="1"/>
  <c r="KSW42" i="1"/>
  <c r="KSW43" i="1" s="1"/>
  <c r="KSV42" i="1"/>
  <c r="KSV43" i="1" s="1"/>
  <c r="KSU42" i="1"/>
  <c r="KSU43" i="1" s="1"/>
  <c r="KST42" i="1"/>
  <c r="KST43" i="1" s="1"/>
  <c r="KSS42" i="1"/>
  <c r="KSS43" i="1" s="1"/>
  <c r="KSR42" i="1"/>
  <c r="KSR43" i="1" s="1"/>
  <c r="KSQ42" i="1"/>
  <c r="KSQ43" i="1" s="1"/>
  <c r="KSP42" i="1"/>
  <c r="KSP43" i="1" s="1"/>
  <c r="KSO42" i="1"/>
  <c r="KSO43" i="1" s="1"/>
  <c r="KSN42" i="1"/>
  <c r="KSN43" i="1" s="1"/>
  <c r="KSM42" i="1"/>
  <c r="KSM43" i="1" s="1"/>
  <c r="KSL42" i="1"/>
  <c r="KSL43" i="1" s="1"/>
  <c r="KSK42" i="1"/>
  <c r="KSK43" i="1" s="1"/>
  <c r="KSJ42" i="1"/>
  <c r="KSJ43" i="1" s="1"/>
  <c r="KSI42" i="1"/>
  <c r="KSI43" i="1" s="1"/>
  <c r="KSH42" i="1"/>
  <c r="KSH43" i="1" s="1"/>
  <c r="KSG42" i="1"/>
  <c r="KSG43" i="1" s="1"/>
  <c r="KSF42" i="1"/>
  <c r="KSF43" i="1" s="1"/>
  <c r="KSE42" i="1"/>
  <c r="KSE43" i="1" s="1"/>
  <c r="KSD42" i="1"/>
  <c r="KSD43" i="1" s="1"/>
  <c r="KSC42" i="1"/>
  <c r="KSC43" i="1" s="1"/>
  <c r="KSB42" i="1"/>
  <c r="KSB43" i="1" s="1"/>
  <c r="KSA42" i="1"/>
  <c r="KSA43" i="1" s="1"/>
  <c r="KRZ42" i="1"/>
  <c r="KRZ43" i="1" s="1"/>
  <c r="KRY42" i="1"/>
  <c r="KRY43" i="1" s="1"/>
  <c r="KRX42" i="1"/>
  <c r="KRX43" i="1" s="1"/>
  <c r="KRW42" i="1"/>
  <c r="KRW43" i="1" s="1"/>
  <c r="KRV42" i="1"/>
  <c r="KRV43" i="1" s="1"/>
  <c r="KRU42" i="1"/>
  <c r="KRU43" i="1" s="1"/>
  <c r="KRT42" i="1"/>
  <c r="KRT43" i="1" s="1"/>
  <c r="KRS42" i="1"/>
  <c r="KRS43" i="1" s="1"/>
  <c r="KRR42" i="1"/>
  <c r="KRR43" i="1" s="1"/>
  <c r="KRQ42" i="1"/>
  <c r="KRQ43" i="1" s="1"/>
  <c r="KRP42" i="1"/>
  <c r="KRP43" i="1" s="1"/>
  <c r="KRO42" i="1"/>
  <c r="KRO43" i="1" s="1"/>
  <c r="KRN42" i="1"/>
  <c r="KRN43" i="1" s="1"/>
  <c r="KRM42" i="1"/>
  <c r="KRM43" i="1" s="1"/>
  <c r="KRL42" i="1"/>
  <c r="KRL43" i="1" s="1"/>
  <c r="KRK42" i="1"/>
  <c r="KRK43" i="1" s="1"/>
  <c r="KRJ42" i="1"/>
  <c r="KRJ43" i="1" s="1"/>
  <c r="KRI42" i="1"/>
  <c r="KRI43" i="1" s="1"/>
  <c r="KRH42" i="1"/>
  <c r="KRH43" i="1" s="1"/>
  <c r="KRG42" i="1"/>
  <c r="KRG43" i="1" s="1"/>
  <c r="KRF42" i="1"/>
  <c r="KRF43" i="1" s="1"/>
  <c r="KRE42" i="1"/>
  <c r="KRE43" i="1" s="1"/>
  <c r="KRD42" i="1"/>
  <c r="KRD43" i="1" s="1"/>
  <c r="KRC42" i="1"/>
  <c r="KRC43" i="1" s="1"/>
  <c r="KRB42" i="1"/>
  <c r="KRB43" i="1" s="1"/>
  <c r="KRA42" i="1"/>
  <c r="KRA43" i="1" s="1"/>
  <c r="KQZ42" i="1"/>
  <c r="KQZ43" i="1" s="1"/>
  <c r="KQY42" i="1"/>
  <c r="KQY43" i="1" s="1"/>
  <c r="KQX42" i="1"/>
  <c r="KQX43" i="1" s="1"/>
  <c r="KQW42" i="1"/>
  <c r="KQW43" i="1" s="1"/>
  <c r="KQV42" i="1"/>
  <c r="KQV43" i="1" s="1"/>
  <c r="KQU42" i="1"/>
  <c r="KQU43" i="1" s="1"/>
  <c r="KQT42" i="1"/>
  <c r="KQT43" i="1" s="1"/>
  <c r="KQS42" i="1"/>
  <c r="KQS43" i="1" s="1"/>
  <c r="KQR42" i="1"/>
  <c r="KQR43" i="1" s="1"/>
  <c r="KQQ42" i="1"/>
  <c r="KQQ43" i="1" s="1"/>
  <c r="KQP42" i="1"/>
  <c r="KQP43" i="1" s="1"/>
  <c r="KQO42" i="1"/>
  <c r="KQO43" i="1" s="1"/>
  <c r="KQN42" i="1"/>
  <c r="KQN43" i="1" s="1"/>
  <c r="KQM42" i="1"/>
  <c r="KQM43" i="1" s="1"/>
  <c r="KQL42" i="1"/>
  <c r="KQL43" i="1" s="1"/>
  <c r="KQK42" i="1"/>
  <c r="KQK43" i="1" s="1"/>
  <c r="KQJ42" i="1"/>
  <c r="KQJ43" i="1" s="1"/>
  <c r="KQI42" i="1"/>
  <c r="KQI43" i="1" s="1"/>
  <c r="KQH42" i="1"/>
  <c r="KQH43" i="1" s="1"/>
  <c r="KQG42" i="1"/>
  <c r="KQG43" i="1" s="1"/>
  <c r="KQF42" i="1"/>
  <c r="KQF43" i="1" s="1"/>
  <c r="KQE42" i="1"/>
  <c r="KQE43" i="1" s="1"/>
  <c r="KQD42" i="1"/>
  <c r="KQD43" i="1" s="1"/>
  <c r="KQC42" i="1"/>
  <c r="KQC43" i="1" s="1"/>
  <c r="KQB42" i="1"/>
  <c r="KQB43" i="1" s="1"/>
  <c r="KQA42" i="1"/>
  <c r="KQA43" i="1" s="1"/>
  <c r="KPZ42" i="1"/>
  <c r="KPZ43" i="1" s="1"/>
  <c r="KPY42" i="1"/>
  <c r="KPY43" i="1" s="1"/>
  <c r="KPX42" i="1"/>
  <c r="KPX43" i="1" s="1"/>
  <c r="KPW42" i="1"/>
  <c r="KPW43" i="1" s="1"/>
  <c r="KPV42" i="1"/>
  <c r="KPV43" i="1" s="1"/>
  <c r="KPU42" i="1"/>
  <c r="KPU43" i="1" s="1"/>
  <c r="KPT42" i="1"/>
  <c r="KPT43" i="1" s="1"/>
  <c r="KPS42" i="1"/>
  <c r="KPS43" i="1" s="1"/>
  <c r="KPR42" i="1"/>
  <c r="KPR43" i="1" s="1"/>
  <c r="KPQ42" i="1"/>
  <c r="KPQ43" i="1" s="1"/>
  <c r="KPP42" i="1"/>
  <c r="KPP43" i="1" s="1"/>
  <c r="KPO42" i="1"/>
  <c r="KPO43" i="1" s="1"/>
  <c r="KPN42" i="1"/>
  <c r="KPN43" i="1" s="1"/>
  <c r="KPM42" i="1"/>
  <c r="KPM43" i="1" s="1"/>
  <c r="KPL42" i="1"/>
  <c r="KPL43" i="1" s="1"/>
  <c r="KPK42" i="1"/>
  <c r="KPK43" i="1" s="1"/>
  <c r="KPJ42" i="1"/>
  <c r="KPJ43" i="1" s="1"/>
  <c r="KPI42" i="1"/>
  <c r="KPI43" i="1" s="1"/>
  <c r="KPH42" i="1"/>
  <c r="KPH43" i="1" s="1"/>
  <c r="KPG42" i="1"/>
  <c r="KPG43" i="1" s="1"/>
  <c r="KPF42" i="1"/>
  <c r="KPF43" i="1" s="1"/>
  <c r="KPE42" i="1"/>
  <c r="KPE43" i="1" s="1"/>
  <c r="KPD42" i="1"/>
  <c r="KPD43" i="1" s="1"/>
  <c r="KPC42" i="1"/>
  <c r="KPC43" i="1" s="1"/>
  <c r="KPB42" i="1"/>
  <c r="KPB43" i="1" s="1"/>
  <c r="KPA42" i="1"/>
  <c r="KPA43" i="1" s="1"/>
  <c r="KOZ42" i="1"/>
  <c r="KOZ43" i="1" s="1"/>
  <c r="KOY42" i="1"/>
  <c r="KOY43" i="1" s="1"/>
  <c r="KOX42" i="1"/>
  <c r="KOX43" i="1" s="1"/>
  <c r="KOW42" i="1"/>
  <c r="KOW43" i="1" s="1"/>
  <c r="KOV42" i="1"/>
  <c r="KOV43" i="1" s="1"/>
  <c r="KOU42" i="1"/>
  <c r="KOU43" i="1" s="1"/>
  <c r="KOT42" i="1"/>
  <c r="KOT43" i="1" s="1"/>
  <c r="KOS42" i="1"/>
  <c r="KOS43" i="1" s="1"/>
  <c r="KOR42" i="1"/>
  <c r="KOR43" i="1" s="1"/>
  <c r="KOQ42" i="1"/>
  <c r="KOQ43" i="1" s="1"/>
  <c r="KOP42" i="1"/>
  <c r="KOP43" i="1" s="1"/>
  <c r="KOO42" i="1"/>
  <c r="KOO43" i="1" s="1"/>
  <c r="KON42" i="1"/>
  <c r="KON43" i="1" s="1"/>
  <c r="KOM42" i="1"/>
  <c r="KOM43" i="1" s="1"/>
  <c r="KOL42" i="1"/>
  <c r="KOL43" i="1" s="1"/>
  <c r="KOK42" i="1"/>
  <c r="KOK43" i="1" s="1"/>
  <c r="KOJ42" i="1"/>
  <c r="KOJ43" i="1" s="1"/>
  <c r="KOI42" i="1"/>
  <c r="KOI43" i="1" s="1"/>
  <c r="KOH42" i="1"/>
  <c r="KOH43" i="1" s="1"/>
  <c r="KOG42" i="1"/>
  <c r="KOG43" i="1" s="1"/>
  <c r="KOF42" i="1"/>
  <c r="KOF43" i="1" s="1"/>
  <c r="KOE42" i="1"/>
  <c r="KOE43" i="1" s="1"/>
  <c r="KOD42" i="1"/>
  <c r="KOD43" i="1" s="1"/>
  <c r="KOC42" i="1"/>
  <c r="KOC43" i="1" s="1"/>
  <c r="KOB42" i="1"/>
  <c r="KOB43" i="1" s="1"/>
  <c r="KOA42" i="1"/>
  <c r="KOA43" i="1" s="1"/>
  <c r="KNZ42" i="1"/>
  <c r="KNZ43" i="1" s="1"/>
  <c r="KNY42" i="1"/>
  <c r="KNY43" i="1" s="1"/>
  <c r="KNX42" i="1"/>
  <c r="KNX43" i="1" s="1"/>
  <c r="KNW42" i="1"/>
  <c r="KNW43" i="1" s="1"/>
  <c r="KNV42" i="1"/>
  <c r="KNV43" i="1" s="1"/>
  <c r="KNU42" i="1"/>
  <c r="KNU43" i="1" s="1"/>
  <c r="KNT42" i="1"/>
  <c r="KNT43" i="1" s="1"/>
  <c r="KNS42" i="1"/>
  <c r="KNS43" i="1" s="1"/>
  <c r="KNR42" i="1"/>
  <c r="KNR43" i="1" s="1"/>
  <c r="KNQ42" i="1"/>
  <c r="KNQ43" i="1" s="1"/>
  <c r="KNP42" i="1"/>
  <c r="KNP43" i="1" s="1"/>
  <c r="KNO42" i="1"/>
  <c r="KNO43" i="1" s="1"/>
  <c r="KNN42" i="1"/>
  <c r="KNN43" i="1" s="1"/>
  <c r="KNM42" i="1"/>
  <c r="KNM43" i="1" s="1"/>
  <c r="KNL42" i="1"/>
  <c r="KNL43" i="1" s="1"/>
  <c r="KNK42" i="1"/>
  <c r="KNK43" i="1" s="1"/>
  <c r="KNJ42" i="1"/>
  <c r="KNJ43" i="1" s="1"/>
  <c r="KNI42" i="1"/>
  <c r="KNI43" i="1" s="1"/>
  <c r="KNH42" i="1"/>
  <c r="KNH43" i="1" s="1"/>
  <c r="KNG42" i="1"/>
  <c r="KNG43" i="1" s="1"/>
  <c r="KNF42" i="1"/>
  <c r="KNF43" i="1" s="1"/>
  <c r="KNE42" i="1"/>
  <c r="KNE43" i="1" s="1"/>
  <c r="KND42" i="1"/>
  <c r="KND43" i="1" s="1"/>
  <c r="KNC42" i="1"/>
  <c r="KNC43" i="1" s="1"/>
  <c r="KNB42" i="1"/>
  <c r="KNB43" i="1" s="1"/>
  <c r="KNA42" i="1"/>
  <c r="KNA43" i="1" s="1"/>
  <c r="KMZ42" i="1"/>
  <c r="KMZ43" i="1" s="1"/>
  <c r="KMY42" i="1"/>
  <c r="KMY43" i="1" s="1"/>
  <c r="KMX42" i="1"/>
  <c r="KMX43" i="1" s="1"/>
  <c r="KMW42" i="1"/>
  <c r="KMW43" i="1" s="1"/>
  <c r="KMV42" i="1"/>
  <c r="KMV43" i="1" s="1"/>
  <c r="KMU42" i="1"/>
  <c r="KMU43" i="1" s="1"/>
  <c r="KMT42" i="1"/>
  <c r="KMT43" i="1" s="1"/>
  <c r="KMS42" i="1"/>
  <c r="KMS43" i="1" s="1"/>
  <c r="KMR42" i="1"/>
  <c r="KMR43" i="1" s="1"/>
  <c r="KMQ42" i="1"/>
  <c r="KMQ43" i="1" s="1"/>
  <c r="KMP42" i="1"/>
  <c r="KMP43" i="1" s="1"/>
  <c r="KMO42" i="1"/>
  <c r="KMO43" i="1" s="1"/>
  <c r="KMN42" i="1"/>
  <c r="KMN43" i="1" s="1"/>
  <c r="KMM42" i="1"/>
  <c r="KMM43" i="1" s="1"/>
  <c r="KML42" i="1"/>
  <c r="KML43" i="1" s="1"/>
  <c r="KMK42" i="1"/>
  <c r="KMK43" i="1" s="1"/>
  <c r="KMJ42" i="1"/>
  <c r="KMJ43" i="1" s="1"/>
  <c r="KMI42" i="1"/>
  <c r="KMI43" i="1" s="1"/>
  <c r="KMH42" i="1"/>
  <c r="KMH43" i="1" s="1"/>
  <c r="KMG42" i="1"/>
  <c r="KMG43" i="1" s="1"/>
  <c r="KMF42" i="1"/>
  <c r="KMF43" i="1" s="1"/>
  <c r="KME42" i="1"/>
  <c r="KME43" i="1" s="1"/>
  <c r="KMD42" i="1"/>
  <c r="KMD43" i="1" s="1"/>
  <c r="KMC42" i="1"/>
  <c r="KMC43" i="1" s="1"/>
  <c r="KMB42" i="1"/>
  <c r="KMB43" i="1" s="1"/>
  <c r="KMA42" i="1"/>
  <c r="KMA43" i="1" s="1"/>
  <c r="KLZ42" i="1"/>
  <c r="KLZ43" i="1" s="1"/>
  <c r="KLY42" i="1"/>
  <c r="KLY43" i="1" s="1"/>
  <c r="KLX42" i="1"/>
  <c r="KLX43" i="1" s="1"/>
  <c r="KLW42" i="1"/>
  <c r="KLW43" i="1" s="1"/>
  <c r="KLV42" i="1"/>
  <c r="KLV43" i="1" s="1"/>
  <c r="KLU42" i="1"/>
  <c r="KLU43" i="1" s="1"/>
  <c r="KLT42" i="1"/>
  <c r="KLT43" i="1" s="1"/>
  <c r="KLS42" i="1"/>
  <c r="KLS43" i="1" s="1"/>
  <c r="KLR42" i="1"/>
  <c r="KLR43" i="1" s="1"/>
  <c r="KLQ42" i="1"/>
  <c r="KLQ43" i="1" s="1"/>
  <c r="KLP42" i="1"/>
  <c r="KLP43" i="1" s="1"/>
  <c r="KLO42" i="1"/>
  <c r="KLO43" i="1" s="1"/>
  <c r="KLN42" i="1"/>
  <c r="KLN43" i="1" s="1"/>
  <c r="KLM42" i="1"/>
  <c r="KLM43" i="1" s="1"/>
  <c r="KLL42" i="1"/>
  <c r="KLL43" i="1" s="1"/>
  <c r="KLK42" i="1"/>
  <c r="KLK43" i="1" s="1"/>
  <c r="KLJ42" i="1"/>
  <c r="KLJ43" i="1" s="1"/>
  <c r="KLI42" i="1"/>
  <c r="KLI43" i="1" s="1"/>
  <c r="KLH42" i="1"/>
  <c r="KLH43" i="1" s="1"/>
  <c r="KLG42" i="1"/>
  <c r="KLG43" i="1" s="1"/>
  <c r="KLF42" i="1"/>
  <c r="KLF43" i="1" s="1"/>
  <c r="KLE42" i="1"/>
  <c r="KLE43" i="1" s="1"/>
  <c r="KLD42" i="1"/>
  <c r="KLD43" i="1" s="1"/>
  <c r="KLC42" i="1"/>
  <c r="KLC43" i="1" s="1"/>
  <c r="KLB42" i="1"/>
  <c r="KLB43" i="1" s="1"/>
  <c r="KLA42" i="1"/>
  <c r="KLA43" i="1" s="1"/>
  <c r="KKZ42" i="1"/>
  <c r="KKZ43" i="1" s="1"/>
  <c r="KKY42" i="1"/>
  <c r="KKY43" i="1" s="1"/>
  <c r="KKX42" i="1"/>
  <c r="KKX43" i="1" s="1"/>
  <c r="KKW42" i="1"/>
  <c r="KKW43" i="1" s="1"/>
  <c r="KKV42" i="1"/>
  <c r="KKV43" i="1" s="1"/>
  <c r="KKU42" i="1"/>
  <c r="KKU43" i="1" s="1"/>
  <c r="KKT42" i="1"/>
  <c r="KKT43" i="1" s="1"/>
  <c r="KKS42" i="1"/>
  <c r="KKS43" i="1" s="1"/>
  <c r="KKR42" i="1"/>
  <c r="KKR43" i="1" s="1"/>
  <c r="KKQ42" i="1"/>
  <c r="KKQ43" i="1" s="1"/>
  <c r="KKP42" i="1"/>
  <c r="KKP43" i="1" s="1"/>
  <c r="KKO42" i="1"/>
  <c r="KKO43" i="1" s="1"/>
  <c r="KKN42" i="1"/>
  <c r="KKN43" i="1" s="1"/>
  <c r="KKM42" i="1"/>
  <c r="KKM43" i="1" s="1"/>
  <c r="KKL42" i="1"/>
  <c r="KKL43" i="1" s="1"/>
  <c r="KKK42" i="1"/>
  <c r="KKK43" i="1" s="1"/>
  <c r="KKJ42" i="1"/>
  <c r="KKJ43" i="1" s="1"/>
  <c r="KKI42" i="1"/>
  <c r="KKI43" i="1" s="1"/>
  <c r="KKH42" i="1"/>
  <c r="KKH43" i="1" s="1"/>
  <c r="KKG42" i="1"/>
  <c r="KKG43" i="1" s="1"/>
  <c r="KKF42" i="1"/>
  <c r="KKF43" i="1" s="1"/>
  <c r="KKE42" i="1"/>
  <c r="KKE43" i="1" s="1"/>
  <c r="KKD42" i="1"/>
  <c r="KKD43" i="1" s="1"/>
  <c r="KKC42" i="1"/>
  <c r="KKC43" i="1" s="1"/>
  <c r="KKB42" i="1"/>
  <c r="KKB43" i="1" s="1"/>
  <c r="KKA42" i="1"/>
  <c r="KKA43" i="1" s="1"/>
  <c r="KJZ42" i="1"/>
  <c r="KJZ43" i="1" s="1"/>
  <c r="KJY42" i="1"/>
  <c r="KJY43" i="1" s="1"/>
  <c r="KJX42" i="1"/>
  <c r="KJX43" i="1" s="1"/>
  <c r="KJW42" i="1"/>
  <c r="KJW43" i="1" s="1"/>
  <c r="KJV42" i="1"/>
  <c r="KJV43" i="1" s="1"/>
  <c r="KJU42" i="1"/>
  <c r="KJU43" i="1" s="1"/>
  <c r="KJT42" i="1"/>
  <c r="KJT43" i="1" s="1"/>
  <c r="KJS42" i="1"/>
  <c r="KJS43" i="1" s="1"/>
  <c r="KJR42" i="1"/>
  <c r="KJR43" i="1" s="1"/>
  <c r="KJQ42" i="1"/>
  <c r="KJQ43" i="1" s="1"/>
  <c r="KJP42" i="1"/>
  <c r="KJP43" i="1" s="1"/>
  <c r="KJO42" i="1"/>
  <c r="KJO43" i="1" s="1"/>
  <c r="KJN42" i="1"/>
  <c r="KJN43" i="1" s="1"/>
  <c r="KJM42" i="1"/>
  <c r="KJM43" i="1" s="1"/>
  <c r="KJL42" i="1"/>
  <c r="KJL43" i="1" s="1"/>
  <c r="KJK42" i="1"/>
  <c r="KJK43" i="1" s="1"/>
  <c r="KJJ42" i="1"/>
  <c r="KJJ43" i="1" s="1"/>
  <c r="KJI42" i="1"/>
  <c r="KJI43" i="1" s="1"/>
  <c r="KJH42" i="1"/>
  <c r="KJH43" i="1" s="1"/>
  <c r="KJG42" i="1"/>
  <c r="KJG43" i="1" s="1"/>
  <c r="KJF42" i="1"/>
  <c r="KJF43" i="1" s="1"/>
  <c r="KJE42" i="1"/>
  <c r="KJE43" i="1" s="1"/>
  <c r="KJD42" i="1"/>
  <c r="KJD43" i="1" s="1"/>
  <c r="KJC42" i="1"/>
  <c r="KJC43" i="1" s="1"/>
  <c r="KJB42" i="1"/>
  <c r="KJB43" i="1" s="1"/>
  <c r="KJA42" i="1"/>
  <c r="KJA43" i="1" s="1"/>
  <c r="KIZ42" i="1"/>
  <c r="KIZ43" i="1" s="1"/>
  <c r="KIY42" i="1"/>
  <c r="KIY43" i="1" s="1"/>
  <c r="KIX42" i="1"/>
  <c r="KIX43" i="1" s="1"/>
  <c r="KIW42" i="1"/>
  <c r="KIW43" i="1" s="1"/>
  <c r="KIV42" i="1"/>
  <c r="KIV43" i="1" s="1"/>
  <c r="KIU42" i="1"/>
  <c r="KIU43" i="1" s="1"/>
  <c r="KIT42" i="1"/>
  <c r="KIT43" i="1" s="1"/>
  <c r="KIS42" i="1"/>
  <c r="KIS43" i="1" s="1"/>
  <c r="KIR42" i="1"/>
  <c r="KIR43" i="1" s="1"/>
  <c r="KIQ42" i="1"/>
  <c r="KIQ43" i="1" s="1"/>
  <c r="KIP42" i="1"/>
  <c r="KIP43" i="1" s="1"/>
  <c r="KIO42" i="1"/>
  <c r="KIO43" i="1" s="1"/>
  <c r="KIN42" i="1"/>
  <c r="KIN43" i="1" s="1"/>
  <c r="KIM42" i="1"/>
  <c r="KIM43" i="1" s="1"/>
  <c r="KIL42" i="1"/>
  <c r="KIL43" i="1" s="1"/>
  <c r="KIK42" i="1"/>
  <c r="KIK43" i="1" s="1"/>
  <c r="KIJ42" i="1"/>
  <c r="KIJ43" i="1" s="1"/>
  <c r="KII42" i="1"/>
  <c r="KII43" i="1" s="1"/>
  <c r="KIH42" i="1"/>
  <c r="KIH43" i="1" s="1"/>
  <c r="KIG42" i="1"/>
  <c r="KIG43" i="1" s="1"/>
  <c r="KIF42" i="1"/>
  <c r="KIF43" i="1" s="1"/>
  <c r="KIE42" i="1"/>
  <c r="KIE43" i="1" s="1"/>
  <c r="KID42" i="1"/>
  <c r="KID43" i="1" s="1"/>
  <c r="KIC42" i="1"/>
  <c r="KIC43" i="1" s="1"/>
  <c r="KIB42" i="1"/>
  <c r="KIB43" i="1" s="1"/>
  <c r="KIA42" i="1"/>
  <c r="KIA43" i="1" s="1"/>
  <c r="KHZ42" i="1"/>
  <c r="KHZ43" i="1" s="1"/>
  <c r="KHY42" i="1"/>
  <c r="KHY43" i="1" s="1"/>
  <c r="KHX42" i="1"/>
  <c r="KHX43" i="1" s="1"/>
  <c r="KHW42" i="1"/>
  <c r="KHW43" i="1" s="1"/>
  <c r="KHV42" i="1"/>
  <c r="KHV43" i="1" s="1"/>
  <c r="KHU42" i="1"/>
  <c r="KHU43" i="1" s="1"/>
  <c r="KHT42" i="1"/>
  <c r="KHT43" i="1" s="1"/>
  <c r="KHS42" i="1"/>
  <c r="KHS43" i="1" s="1"/>
  <c r="KHR42" i="1"/>
  <c r="KHR43" i="1" s="1"/>
  <c r="KHQ42" i="1"/>
  <c r="KHQ43" i="1" s="1"/>
  <c r="KHP42" i="1"/>
  <c r="KHP43" i="1" s="1"/>
  <c r="KHO42" i="1"/>
  <c r="KHO43" i="1" s="1"/>
  <c r="KHN42" i="1"/>
  <c r="KHN43" i="1" s="1"/>
  <c r="KHM42" i="1"/>
  <c r="KHM43" i="1" s="1"/>
  <c r="KHL42" i="1"/>
  <c r="KHL43" i="1" s="1"/>
  <c r="KHK42" i="1"/>
  <c r="KHK43" i="1" s="1"/>
  <c r="KHJ42" i="1"/>
  <c r="KHJ43" i="1" s="1"/>
  <c r="KHI42" i="1"/>
  <c r="KHI43" i="1" s="1"/>
  <c r="KHH42" i="1"/>
  <c r="KHH43" i="1" s="1"/>
  <c r="KHG42" i="1"/>
  <c r="KHG43" i="1" s="1"/>
  <c r="KHF42" i="1"/>
  <c r="KHF43" i="1" s="1"/>
  <c r="KHE42" i="1"/>
  <c r="KHE43" i="1" s="1"/>
  <c r="KHD42" i="1"/>
  <c r="KHD43" i="1" s="1"/>
  <c r="KHC42" i="1"/>
  <c r="KHC43" i="1" s="1"/>
  <c r="KHB42" i="1"/>
  <c r="KHB43" i="1" s="1"/>
  <c r="KHA42" i="1"/>
  <c r="KHA43" i="1" s="1"/>
  <c r="KGZ42" i="1"/>
  <c r="KGZ43" i="1" s="1"/>
  <c r="KGY42" i="1"/>
  <c r="KGY43" i="1" s="1"/>
  <c r="KGX42" i="1"/>
  <c r="KGX43" i="1" s="1"/>
  <c r="KGW42" i="1"/>
  <c r="KGW43" i="1" s="1"/>
  <c r="KGV42" i="1"/>
  <c r="KGV43" i="1" s="1"/>
  <c r="KGU42" i="1"/>
  <c r="KGU43" i="1" s="1"/>
  <c r="KGT42" i="1"/>
  <c r="KGT43" i="1" s="1"/>
  <c r="KGS42" i="1"/>
  <c r="KGS43" i="1" s="1"/>
  <c r="KGR42" i="1"/>
  <c r="KGR43" i="1" s="1"/>
  <c r="KGQ42" i="1"/>
  <c r="KGQ43" i="1" s="1"/>
  <c r="KGP42" i="1"/>
  <c r="KGP43" i="1" s="1"/>
  <c r="KGO42" i="1"/>
  <c r="KGO43" i="1" s="1"/>
  <c r="KGN42" i="1"/>
  <c r="KGN43" i="1" s="1"/>
  <c r="KGM42" i="1"/>
  <c r="KGM43" i="1" s="1"/>
  <c r="KGL42" i="1"/>
  <c r="KGL43" i="1" s="1"/>
  <c r="KGK42" i="1"/>
  <c r="KGK43" i="1" s="1"/>
  <c r="KGJ42" i="1"/>
  <c r="KGJ43" i="1" s="1"/>
  <c r="KGI42" i="1"/>
  <c r="KGI43" i="1" s="1"/>
  <c r="KGH42" i="1"/>
  <c r="KGH43" i="1" s="1"/>
  <c r="KGG42" i="1"/>
  <c r="KGG43" i="1" s="1"/>
  <c r="KGF42" i="1"/>
  <c r="KGF43" i="1" s="1"/>
  <c r="KGE42" i="1"/>
  <c r="KGE43" i="1" s="1"/>
  <c r="KGD42" i="1"/>
  <c r="KGD43" i="1" s="1"/>
  <c r="KGC42" i="1"/>
  <c r="KGC43" i="1" s="1"/>
  <c r="KGB42" i="1"/>
  <c r="KGB43" i="1" s="1"/>
  <c r="KGA42" i="1"/>
  <c r="KGA43" i="1" s="1"/>
  <c r="KFZ42" i="1"/>
  <c r="KFZ43" i="1" s="1"/>
  <c r="KFY42" i="1"/>
  <c r="KFY43" i="1" s="1"/>
  <c r="KFX42" i="1"/>
  <c r="KFX43" i="1" s="1"/>
  <c r="KFW42" i="1"/>
  <c r="KFW43" i="1" s="1"/>
  <c r="KFV42" i="1"/>
  <c r="KFV43" i="1" s="1"/>
  <c r="KFU42" i="1"/>
  <c r="KFU43" i="1" s="1"/>
  <c r="KFT42" i="1"/>
  <c r="KFT43" i="1" s="1"/>
  <c r="KFS42" i="1"/>
  <c r="KFS43" i="1" s="1"/>
  <c r="KFR42" i="1"/>
  <c r="KFR43" i="1" s="1"/>
  <c r="KFQ42" i="1"/>
  <c r="KFQ43" i="1" s="1"/>
  <c r="KFP42" i="1"/>
  <c r="KFP43" i="1" s="1"/>
  <c r="KFO42" i="1"/>
  <c r="KFO43" i="1" s="1"/>
  <c r="KFN42" i="1"/>
  <c r="KFN43" i="1" s="1"/>
  <c r="KFM42" i="1"/>
  <c r="KFM43" i="1" s="1"/>
  <c r="KFL42" i="1"/>
  <c r="KFL43" i="1" s="1"/>
  <c r="KFK42" i="1"/>
  <c r="KFK43" i="1" s="1"/>
  <c r="KFJ42" i="1"/>
  <c r="KFJ43" i="1" s="1"/>
  <c r="KFI42" i="1"/>
  <c r="KFI43" i="1" s="1"/>
  <c r="KFH42" i="1"/>
  <c r="KFH43" i="1" s="1"/>
  <c r="KFG42" i="1"/>
  <c r="KFG43" i="1" s="1"/>
  <c r="KFF42" i="1"/>
  <c r="KFF43" i="1" s="1"/>
  <c r="KFE42" i="1"/>
  <c r="KFE43" i="1" s="1"/>
  <c r="KFD42" i="1"/>
  <c r="KFD43" i="1" s="1"/>
  <c r="KFC42" i="1"/>
  <c r="KFC43" i="1" s="1"/>
  <c r="KFB42" i="1"/>
  <c r="KFB43" i="1" s="1"/>
  <c r="KFA42" i="1"/>
  <c r="KFA43" i="1" s="1"/>
  <c r="KEZ42" i="1"/>
  <c r="KEZ43" i="1" s="1"/>
  <c r="KEY42" i="1"/>
  <c r="KEY43" i="1" s="1"/>
  <c r="KEX42" i="1"/>
  <c r="KEX43" i="1" s="1"/>
  <c r="KEW42" i="1"/>
  <c r="KEW43" i="1" s="1"/>
  <c r="KEV42" i="1"/>
  <c r="KEV43" i="1" s="1"/>
  <c r="KEU42" i="1"/>
  <c r="KEU43" i="1" s="1"/>
  <c r="KET42" i="1"/>
  <c r="KET43" i="1" s="1"/>
  <c r="KES42" i="1"/>
  <c r="KES43" i="1" s="1"/>
  <c r="KER42" i="1"/>
  <c r="KER43" i="1" s="1"/>
  <c r="KEQ42" i="1"/>
  <c r="KEQ43" i="1" s="1"/>
  <c r="KEP42" i="1"/>
  <c r="KEP43" i="1" s="1"/>
  <c r="KEO42" i="1"/>
  <c r="KEO43" i="1" s="1"/>
  <c r="KEN42" i="1"/>
  <c r="KEN43" i="1" s="1"/>
  <c r="KEM42" i="1"/>
  <c r="KEM43" i="1" s="1"/>
  <c r="KEL42" i="1"/>
  <c r="KEL43" i="1" s="1"/>
  <c r="KEK42" i="1"/>
  <c r="KEK43" i="1" s="1"/>
  <c r="KEJ42" i="1"/>
  <c r="KEJ43" i="1" s="1"/>
  <c r="KEI42" i="1"/>
  <c r="KEI43" i="1" s="1"/>
  <c r="KEH42" i="1"/>
  <c r="KEH43" i="1" s="1"/>
  <c r="KEG42" i="1"/>
  <c r="KEG43" i="1" s="1"/>
  <c r="KEF42" i="1"/>
  <c r="KEF43" i="1" s="1"/>
  <c r="KEE42" i="1"/>
  <c r="KEE43" i="1" s="1"/>
  <c r="KED42" i="1"/>
  <c r="KED43" i="1" s="1"/>
  <c r="KEC42" i="1"/>
  <c r="KEC43" i="1" s="1"/>
  <c r="KEB42" i="1"/>
  <c r="KEB43" i="1" s="1"/>
  <c r="KEA42" i="1"/>
  <c r="KEA43" i="1" s="1"/>
  <c r="KDZ42" i="1"/>
  <c r="KDZ43" i="1" s="1"/>
  <c r="KDY42" i="1"/>
  <c r="KDY43" i="1" s="1"/>
  <c r="KDX42" i="1"/>
  <c r="KDX43" i="1" s="1"/>
  <c r="KDW42" i="1"/>
  <c r="KDW43" i="1" s="1"/>
  <c r="KDV42" i="1"/>
  <c r="KDV43" i="1" s="1"/>
  <c r="KDU42" i="1"/>
  <c r="KDU43" i="1" s="1"/>
  <c r="KDT42" i="1"/>
  <c r="KDT43" i="1" s="1"/>
  <c r="KDS42" i="1"/>
  <c r="KDS43" i="1" s="1"/>
  <c r="KDR42" i="1"/>
  <c r="KDR43" i="1" s="1"/>
  <c r="KDQ42" i="1"/>
  <c r="KDQ43" i="1" s="1"/>
  <c r="KDP42" i="1"/>
  <c r="KDP43" i="1" s="1"/>
  <c r="KDO42" i="1"/>
  <c r="KDO43" i="1" s="1"/>
  <c r="KDN42" i="1"/>
  <c r="KDN43" i="1" s="1"/>
  <c r="KDM42" i="1"/>
  <c r="KDM43" i="1" s="1"/>
  <c r="KDL42" i="1"/>
  <c r="KDL43" i="1" s="1"/>
  <c r="KDK42" i="1"/>
  <c r="KDK43" i="1" s="1"/>
  <c r="KDJ42" i="1"/>
  <c r="KDJ43" i="1" s="1"/>
  <c r="KDI42" i="1"/>
  <c r="KDI43" i="1" s="1"/>
  <c r="KDH42" i="1"/>
  <c r="KDH43" i="1" s="1"/>
  <c r="KDG42" i="1"/>
  <c r="KDG43" i="1" s="1"/>
  <c r="KDF42" i="1"/>
  <c r="KDF43" i="1" s="1"/>
  <c r="KDE42" i="1"/>
  <c r="KDE43" i="1" s="1"/>
  <c r="KDD42" i="1"/>
  <c r="KDD43" i="1" s="1"/>
  <c r="KDC42" i="1"/>
  <c r="KDC43" i="1" s="1"/>
  <c r="KDB42" i="1"/>
  <c r="KDB43" i="1" s="1"/>
  <c r="KDA42" i="1"/>
  <c r="KDA43" i="1" s="1"/>
  <c r="KCZ42" i="1"/>
  <c r="KCZ43" i="1" s="1"/>
  <c r="KCY42" i="1"/>
  <c r="KCY43" i="1" s="1"/>
  <c r="KCX42" i="1"/>
  <c r="KCX43" i="1" s="1"/>
  <c r="KCW42" i="1"/>
  <c r="KCW43" i="1" s="1"/>
  <c r="KCV42" i="1"/>
  <c r="KCV43" i="1" s="1"/>
  <c r="KCU42" i="1"/>
  <c r="KCU43" i="1" s="1"/>
  <c r="KCT42" i="1"/>
  <c r="KCT43" i="1" s="1"/>
  <c r="KCS42" i="1"/>
  <c r="KCS43" i="1" s="1"/>
  <c r="KCR42" i="1"/>
  <c r="KCR43" i="1" s="1"/>
  <c r="KCQ42" i="1"/>
  <c r="KCQ43" i="1" s="1"/>
  <c r="KCP42" i="1"/>
  <c r="KCP43" i="1" s="1"/>
  <c r="KCO42" i="1"/>
  <c r="KCO43" i="1" s="1"/>
  <c r="KCN42" i="1"/>
  <c r="KCN43" i="1" s="1"/>
  <c r="KCM42" i="1"/>
  <c r="KCM43" i="1" s="1"/>
  <c r="KCL42" i="1"/>
  <c r="KCL43" i="1" s="1"/>
  <c r="KCK42" i="1"/>
  <c r="KCK43" i="1" s="1"/>
  <c r="KCJ42" i="1"/>
  <c r="KCJ43" i="1" s="1"/>
  <c r="KCI42" i="1"/>
  <c r="KCI43" i="1" s="1"/>
  <c r="KCH42" i="1"/>
  <c r="KCH43" i="1" s="1"/>
  <c r="KCG42" i="1"/>
  <c r="KCG43" i="1" s="1"/>
  <c r="KCF42" i="1"/>
  <c r="KCF43" i="1" s="1"/>
  <c r="KCE42" i="1"/>
  <c r="KCE43" i="1" s="1"/>
  <c r="KCD42" i="1"/>
  <c r="KCD43" i="1" s="1"/>
  <c r="KCC42" i="1"/>
  <c r="KCC43" i="1" s="1"/>
  <c r="KCB42" i="1"/>
  <c r="KCB43" i="1" s="1"/>
  <c r="KCA42" i="1"/>
  <c r="KCA43" i="1" s="1"/>
  <c r="KBZ42" i="1"/>
  <c r="KBZ43" i="1" s="1"/>
  <c r="KBY42" i="1"/>
  <c r="KBY43" i="1" s="1"/>
  <c r="KBX42" i="1"/>
  <c r="KBX43" i="1" s="1"/>
  <c r="KBW42" i="1"/>
  <c r="KBW43" i="1" s="1"/>
  <c r="KBV42" i="1"/>
  <c r="KBV43" i="1" s="1"/>
  <c r="KBU42" i="1"/>
  <c r="KBU43" i="1" s="1"/>
  <c r="KBT42" i="1"/>
  <c r="KBT43" i="1" s="1"/>
  <c r="KBS42" i="1"/>
  <c r="KBS43" i="1" s="1"/>
  <c r="KBR42" i="1"/>
  <c r="KBR43" i="1" s="1"/>
  <c r="KBQ42" i="1"/>
  <c r="KBQ43" i="1" s="1"/>
  <c r="KBP42" i="1"/>
  <c r="KBP43" i="1" s="1"/>
  <c r="KBO42" i="1"/>
  <c r="KBO43" i="1" s="1"/>
  <c r="KBN42" i="1"/>
  <c r="KBN43" i="1" s="1"/>
  <c r="KBM42" i="1"/>
  <c r="KBM43" i="1" s="1"/>
  <c r="KBL42" i="1"/>
  <c r="KBL43" i="1" s="1"/>
  <c r="KBK42" i="1"/>
  <c r="KBK43" i="1" s="1"/>
  <c r="KBJ42" i="1"/>
  <c r="KBJ43" i="1" s="1"/>
  <c r="KBI42" i="1"/>
  <c r="KBI43" i="1" s="1"/>
  <c r="KBH42" i="1"/>
  <c r="KBH43" i="1" s="1"/>
  <c r="KBG42" i="1"/>
  <c r="KBG43" i="1" s="1"/>
  <c r="KBF42" i="1"/>
  <c r="KBF43" i="1" s="1"/>
  <c r="KBE42" i="1"/>
  <c r="KBE43" i="1" s="1"/>
  <c r="KBD42" i="1"/>
  <c r="KBD43" i="1" s="1"/>
  <c r="KBC42" i="1"/>
  <c r="KBC43" i="1" s="1"/>
  <c r="KBB42" i="1"/>
  <c r="KBB43" i="1" s="1"/>
  <c r="KBA42" i="1"/>
  <c r="KBA43" i="1" s="1"/>
  <c r="KAZ42" i="1"/>
  <c r="KAZ43" i="1" s="1"/>
  <c r="KAY42" i="1"/>
  <c r="KAY43" i="1" s="1"/>
  <c r="KAX42" i="1"/>
  <c r="KAX43" i="1" s="1"/>
  <c r="KAW42" i="1"/>
  <c r="KAW43" i="1" s="1"/>
  <c r="KAV42" i="1"/>
  <c r="KAV43" i="1" s="1"/>
  <c r="KAU42" i="1"/>
  <c r="KAU43" i="1" s="1"/>
  <c r="KAT42" i="1"/>
  <c r="KAT43" i="1" s="1"/>
  <c r="KAS42" i="1"/>
  <c r="KAS43" i="1" s="1"/>
  <c r="KAR42" i="1"/>
  <c r="KAR43" i="1" s="1"/>
  <c r="KAQ42" i="1"/>
  <c r="KAQ43" i="1" s="1"/>
  <c r="KAP42" i="1"/>
  <c r="KAP43" i="1" s="1"/>
  <c r="KAO42" i="1"/>
  <c r="KAO43" i="1" s="1"/>
  <c r="KAN42" i="1"/>
  <c r="KAN43" i="1" s="1"/>
  <c r="KAM42" i="1"/>
  <c r="KAM43" i="1" s="1"/>
  <c r="KAL42" i="1"/>
  <c r="KAL43" i="1" s="1"/>
  <c r="KAK42" i="1"/>
  <c r="KAK43" i="1" s="1"/>
  <c r="KAJ42" i="1"/>
  <c r="KAJ43" i="1" s="1"/>
  <c r="KAI42" i="1"/>
  <c r="KAI43" i="1" s="1"/>
  <c r="KAH42" i="1"/>
  <c r="KAH43" i="1" s="1"/>
  <c r="KAG42" i="1"/>
  <c r="KAG43" i="1" s="1"/>
  <c r="KAF42" i="1"/>
  <c r="KAF43" i="1" s="1"/>
  <c r="KAE42" i="1"/>
  <c r="KAE43" i="1" s="1"/>
  <c r="KAD42" i="1"/>
  <c r="KAD43" i="1" s="1"/>
  <c r="KAC42" i="1"/>
  <c r="KAC43" i="1" s="1"/>
  <c r="KAB42" i="1"/>
  <c r="KAB43" i="1" s="1"/>
  <c r="KAA42" i="1"/>
  <c r="KAA43" i="1" s="1"/>
  <c r="JZZ42" i="1"/>
  <c r="JZZ43" i="1" s="1"/>
  <c r="JZY42" i="1"/>
  <c r="JZY43" i="1" s="1"/>
  <c r="JZX42" i="1"/>
  <c r="JZX43" i="1" s="1"/>
  <c r="JZW42" i="1"/>
  <c r="JZW43" i="1" s="1"/>
  <c r="JZV42" i="1"/>
  <c r="JZV43" i="1" s="1"/>
  <c r="JZU42" i="1"/>
  <c r="JZU43" i="1" s="1"/>
  <c r="JZT42" i="1"/>
  <c r="JZT43" i="1" s="1"/>
  <c r="JZS42" i="1"/>
  <c r="JZS43" i="1" s="1"/>
  <c r="JZR42" i="1"/>
  <c r="JZR43" i="1" s="1"/>
  <c r="JZQ42" i="1"/>
  <c r="JZQ43" i="1" s="1"/>
  <c r="JZP42" i="1"/>
  <c r="JZP43" i="1" s="1"/>
  <c r="JZO42" i="1"/>
  <c r="JZO43" i="1" s="1"/>
  <c r="JZN42" i="1"/>
  <c r="JZN43" i="1" s="1"/>
  <c r="JZM42" i="1"/>
  <c r="JZM43" i="1" s="1"/>
  <c r="JZL42" i="1"/>
  <c r="JZL43" i="1" s="1"/>
  <c r="JZK42" i="1"/>
  <c r="JZK43" i="1" s="1"/>
  <c r="JZJ42" i="1"/>
  <c r="JZJ43" i="1" s="1"/>
  <c r="JZI42" i="1"/>
  <c r="JZI43" i="1" s="1"/>
  <c r="JZH42" i="1"/>
  <c r="JZH43" i="1" s="1"/>
  <c r="JZG42" i="1"/>
  <c r="JZG43" i="1" s="1"/>
  <c r="JZF42" i="1"/>
  <c r="JZF43" i="1" s="1"/>
  <c r="JZE42" i="1"/>
  <c r="JZE43" i="1" s="1"/>
  <c r="JZD42" i="1"/>
  <c r="JZD43" i="1" s="1"/>
  <c r="JZC42" i="1"/>
  <c r="JZC43" i="1" s="1"/>
  <c r="JZB42" i="1"/>
  <c r="JZB43" i="1" s="1"/>
  <c r="JZA42" i="1"/>
  <c r="JZA43" i="1" s="1"/>
  <c r="JYZ42" i="1"/>
  <c r="JYZ43" i="1" s="1"/>
  <c r="JYY42" i="1"/>
  <c r="JYY43" i="1" s="1"/>
  <c r="JYX42" i="1"/>
  <c r="JYX43" i="1" s="1"/>
  <c r="JYW42" i="1"/>
  <c r="JYW43" i="1" s="1"/>
  <c r="JYV42" i="1"/>
  <c r="JYV43" i="1" s="1"/>
  <c r="JYU42" i="1"/>
  <c r="JYU43" i="1" s="1"/>
  <c r="JYT42" i="1"/>
  <c r="JYT43" i="1" s="1"/>
  <c r="JYS42" i="1"/>
  <c r="JYS43" i="1" s="1"/>
  <c r="JYR42" i="1"/>
  <c r="JYR43" i="1" s="1"/>
  <c r="JYQ42" i="1"/>
  <c r="JYQ43" i="1" s="1"/>
  <c r="JYP42" i="1"/>
  <c r="JYP43" i="1" s="1"/>
  <c r="JYO42" i="1"/>
  <c r="JYO43" i="1" s="1"/>
  <c r="JYN42" i="1"/>
  <c r="JYN43" i="1" s="1"/>
  <c r="JYM42" i="1"/>
  <c r="JYM43" i="1" s="1"/>
  <c r="JYL42" i="1"/>
  <c r="JYL43" i="1" s="1"/>
  <c r="JYK42" i="1"/>
  <c r="JYK43" i="1" s="1"/>
  <c r="JYJ42" i="1"/>
  <c r="JYJ43" i="1" s="1"/>
  <c r="JYI42" i="1"/>
  <c r="JYI43" i="1" s="1"/>
  <c r="JYH42" i="1"/>
  <c r="JYH43" i="1" s="1"/>
  <c r="JYG42" i="1"/>
  <c r="JYG43" i="1" s="1"/>
  <c r="JYF42" i="1"/>
  <c r="JYF43" i="1" s="1"/>
  <c r="JYE42" i="1"/>
  <c r="JYE43" i="1" s="1"/>
  <c r="JYD42" i="1"/>
  <c r="JYD43" i="1" s="1"/>
  <c r="JYC42" i="1"/>
  <c r="JYC43" i="1" s="1"/>
  <c r="JYB42" i="1"/>
  <c r="JYB43" i="1" s="1"/>
  <c r="JYA42" i="1"/>
  <c r="JYA43" i="1" s="1"/>
  <c r="JXZ42" i="1"/>
  <c r="JXZ43" i="1" s="1"/>
  <c r="JXY42" i="1"/>
  <c r="JXY43" i="1" s="1"/>
  <c r="JXX42" i="1"/>
  <c r="JXX43" i="1" s="1"/>
  <c r="JXW42" i="1"/>
  <c r="JXW43" i="1" s="1"/>
  <c r="JXV42" i="1"/>
  <c r="JXV43" i="1" s="1"/>
  <c r="JXU42" i="1"/>
  <c r="JXU43" i="1" s="1"/>
  <c r="JXT42" i="1"/>
  <c r="JXT43" i="1" s="1"/>
  <c r="JXS42" i="1"/>
  <c r="JXS43" i="1" s="1"/>
  <c r="JXR42" i="1"/>
  <c r="JXR43" i="1" s="1"/>
  <c r="JXQ42" i="1"/>
  <c r="JXQ43" i="1" s="1"/>
  <c r="JXP42" i="1"/>
  <c r="JXP43" i="1" s="1"/>
  <c r="JXO42" i="1"/>
  <c r="JXO43" i="1" s="1"/>
  <c r="JXN42" i="1"/>
  <c r="JXN43" i="1" s="1"/>
  <c r="JXM42" i="1"/>
  <c r="JXM43" i="1" s="1"/>
  <c r="JXL42" i="1"/>
  <c r="JXL43" i="1" s="1"/>
  <c r="JXK42" i="1"/>
  <c r="JXK43" i="1" s="1"/>
  <c r="JXJ42" i="1"/>
  <c r="JXJ43" i="1" s="1"/>
  <c r="JXI42" i="1"/>
  <c r="JXI43" i="1" s="1"/>
  <c r="JXH42" i="1"/>
  <c r="JXH43" i="1" s="1"/>
  <c r="JXG42" i="1"/>
  <c r="JXG43" i="1" s="1"/>
  <c r="JXF42" i="1"/>
  <c r="JXF43" i="1" s="1"/>
  <c r="JXE42" i="1"/>
  <c r="JXE43" i="1" s="1"/>
  <c r="JXD42" i="1"/>
  <c r="JXD43" i="1" s="1"/>
  <c r="JXC42" i="1"/>
  <c r="JXC43" i="1" s="1"/>
  <c r="JXB42" i="1"/>
  <c r="JXB43" i="1" s="1"/>
  <c r="JXA42" i="1"/>
  <c r="JXA43" i="1" s="1"/>
  <c r="JWZ42" i="1"/>
  <c r="JWZ43" i="1" s="1"/>
  <c r="JWY42" i="1"/>
  <c r="JWY43" i="1" s="1"/>
  <c r="JWX42" i="1"/>
  <c r="JWX43" i="1" s="1"/>
  <c r="JWW42" i="1"/>
  <c r="JWW43" i="1" s="1"/>
  <c r="JWV42" i="1"/>
  <c r="JWV43" i="1" s="1"/>
  <c r="JWU42" i="1"/>
  <c r="JWU43" i="1" s="1"/>
  <c r="JWT42" i="1"/>
  <c r="JWT43" i="1" s="1"/>
  <c r="JWS42" i="1"/>
  <c r="JWS43" i="1" s="1"/>
  <c r="JWR42" i="1"/>
  <c r="JWR43" i="1" s="1"/>
  <c r="JWQ42" i="1"/>
  <c r="JWQ43" i="1" s="1"/>
  <c r="JWP42" i="1"/>
  <c r="JWP43" i="1" s="1"/>
  <c r="JWO42" i="1"/>
  <c r="JWO43" i="1" s="1"/>
  <c r="JWN42" i="1"/>
  <c r="JWN43" i="1" s="1"/>
  <c r="JWM42" i="1"/>
  <c r="JWM43" i="1" s="1"/>
  <c r="JWL42" i="1"/>
  <c r="JWL43" i="1" s="1"/>
  <c r="JWK42" i="1"/>
  <c r="JWK43" i="1" s="1"/>
  <c r="JWJ42" i="1"/>
  <c r="JWJ43" i="1" s="1"/>
  <c r="JWI42" i="1"/>
  <c r="JWI43" i="1" s="1"/>
  <c r="JWH42" i="1"/>
  <c r="JWH43" i="1" s="1"/>
  <c r="JWG42" i="1"/>
  <c r="JWG43" i="1" s="1"/>
  <c r="JWF42" i="1"/>
  <c r="JWF43" i="1" s="1"/>
  <c r="JWE42" i="1"/>
  <c r="JWE43" i="1" s="1"/>
  <c r="JWD42" i="1"/>
  <c r="JWD43" i="1" s="1"/>
  <c r="JWC42" i="1"/>
  <c r="JWC43" i="1" s="1"/>
  <c r="JWB42" i="1"/>
  <c r="JWB43" i="1" s="1"/>
  <c r="JWA42" i="1"/>
  <c r="JWA43" i="1" s="1"/>
  <c r="JVZ42" i="1"/>
  <c r="JVZ43" i="1" s="1"/>
  <c r="JVY42" i="1"/>
  <c r="JVY43" i="1" s="1"/>
  <c r="JVX42" i="1"/>
  <c r="JVX43" i="1" s="1"/>
  <c r="JVW42" i="1"/>
  <c r="JVW43" i="1" s="1"/>
  <c r="JVV42" i="1"/>
  <c r="JVV43" i="1" s="1"/>
  <c r="JVU42" i="1"/>
  <c r="JVU43" i="1" s="1"/>
  <c r="JVT42" i="1"/>
  <c r="JVT43" i="1" s="1"/>
  <c r="JVS42" i="1"/>
  <c r="JVS43" i="1" s="1"/>
  <c r="JVR42" i="1"/>
  <c r="JVR43" i="1" s="1"/>
  <c r="JVQ42" i="1"/>
  <c r="JVQ43" i="1" s="1"/>
  <c r="JVP42" i="1"/>
  <c r="JVP43" i="1" s="1"/>
  <c r="JVO42" i="1"/>
  <c r="JVO43" i="1" s="1"/>
  <c r="JVN42" i="1"/>
  <c r="JVN43" i="1" s="1"/>
  <c r="JVM42" i="1"/>
  <c r="JVM43" i="1" s="1"/>
  <c r="JVL42" i="1"/>
  <c r="JVL43" i="1" s="1"/>
  <c r="JVK42" i="1"/>
  <c r="JVK43" i="1" s="1"/>
  <c r="JVJ42" i="1"/>
  <c r="JVJ43" i="1" s="1"/>
  <c r="JVI42" i="1"/>
  <c r="JVI43" i="1" s="1"/>
  <c r="JVH42" i="1"/>
  <c r="JVH43" i="1" s="1"/>
  <c r="JVG42" i="1"/>
  <c r="JVG43" i="1" s="1"/>
  <c r="JVF42" i="1"/>
  <c r="JVF43" i="1" s="1"/>
  <c r="JVE42" i="1"/>
  <c r="JVE43" i="1" s="1"/>
  <c r="JVD42" i="1"/>
  <c r="JVD43" i="1" s="1"/>
  <c r="JVC42" i="1"/>
  <c r="JVC43" i="1" s="1"/>
  <c r="JVB42" i="1"/>
  <c r="JVB43" i="1" s="1"/>
  <c r="JVA42" i="1"/>
  <c r="JVA43" i="1" s="1"/>
  <c r="JUZ42" i="1"/>
  <c r="JUZ43" i="1" s="1"/>
  <c r="JUY42" i="1"/>
  <c r="JUY43" i="1" s="1"/>
  <c r="JUX42" i="1"/>
  <c r="JUX43" i="1" s="1"/>
  <c r="JUW42" i="1"/>
  <c r="JUW43" i="1" s="1"/>
  <c r="JUV42" i="1"/>
  <c r="JUV43" i="1" s="1"/>
  <c r="JUU42" i="1"/>
  <c r="JUU43" i="1" s="1"/>
  <c r="JUT42" i="1"/>
  <c r="JUT43" i="1" s="1"/>
  <c r="JUS42" i="1"/>
  <c r="JUS43" i="1" s="1"/>
  <c r="JUR42" i="1"/>
  <c r="JUR43" i="1" s="1"/>
  <c r="JUQ42" i="1"/>
  <c r="JUQ43" i="1" s="1"/>
  <c r="JUP42" i="1"/>
  <c r="JUP43" i="1" s="1"/>
  <c r="JUO42" i="1"/>
  <c r="JUO43" i="1" s="1"/>
  <c r="JUN42" i="1"/>
  <c r="JUN43" i="1" s="1"/>
  <c r="JUM42" i="1"/>
  <c r="JUM43" i="1" s="1"/>
  <c r="JUL42" i="1"/>
  <c r="JUL43" i="1" s="1"/>
  <c r="JUK42" i="1"/>
  <c r="JUK43" i="1" s="1"/>
  <c r="JUJ42" i="1"/>
  <c r="JUJ43" i="1" s="1"/>
  <c r="JUI42" i="1"/>
  <c r="JUI43" i="1" s="1"/>
  <c r="JUH42" i="1"/>
  <c r="JUH43" i="1" s="1"/>
  <c r="JUG42" i="1"/>
  <c r="JUG43" i="1" s="1"/>
  <c r="JUF42" i="1"/>
  <c r="JUF43" i="1" s="1"/>
  <c r="JUE42" i="1"/>
  <c r="JUE43" i="1" s="1"/>
  <c r="JUD42" i="1"/>
  <c r="JUD43" i="1" s="1"/>
  <c r="JUC42" i="1"/>
  <c r="JUC43" i="1" s="1"/>
  <c r="JUB42" i="1"/>
  <c r="JUB43" i="1" s="1"/>
  <c r="JUA42" i="1"/>
  <c r="JUA43" i="1" s="1"/>
  <c r="JTZ42" i="1"/>
  <c r="JTZ43" i="1" s="1"/>
  <c r="JTY42" i="1"/>
  <c r="JTY43" i="1" s="1"/>
  <c r="JTX42" i="1"/>
  <c r="JTX43" i="1" s="1"/>
  <c r="JTW42" i="1"/>
  <c r="JTW43" i="1" s="1"/>
  <c r="JTV42" i="1"/>
  <c r="JTV43" i="1" s="1"/>
  <c r="JTU42" i="1"/>
  <c r="JTU43" i="1" s="1"/>
  <c r="JTT42" i="1"/>
  <c r="JTT43" i="1" s="1"/>
  <c r="JTS42" i="1"/>
  <c r="JTS43" i="1" s="1"/>
  <c r="JTR42" i="1"/>
  <c r="JTR43" i="1" s="1"/>
  <c r="JTQ42" i="1"/>
  <c r="JTQ43" i="1" s="1"/>
  <c r="JTP42" i="1"/>
  <c r="JTP43" i="1" s="1"/>
  <c r="JTO42" i="1"/>
  <c r="JTO43" i="1" s="1"/>
  <c r="JTN42" i="1"/>
  <c r="JTN43" i="1" s="1"/>
  <c r="JTM42" i="1"/>
  <c r="JTM43" i="1" s="1"/>
  <c r="JTL42" i="1"/>
  <c r="JTL43" i="1" s="1"/>
  <c r="JTK42" i="1"/>
  <c r="JTK43" i="1" s="1"/>
  <c r="JTJ42" i="1"/>
  <c r="JTJ43" i="1" s="1"/>
  <c r="JTI42" i="1"/>
  <c r="JTI43" i="1" s="1"/>
  <c r="JTH42" i="1"/>
  <c r="JTH43" i="1" s="1"/>
  <c r="JTG42" i="1"/>
  <c r="JTG43" i="1" s="1"/>
  <c r="JTF42" i="1"/>
  <c r="JTF43" i="1" s="1"/>
  <c r="JTE42" i="1"/>
  <c r="JTE43" i="1" s="1"/>
  <c r="JTD42" i="1"/>
  <c r="JTD43" i="1" s="1"/>
  <c r="JTC42" i="1"/>
  <c r="JTC43" i="1" s="1"/>
  <c r="JTB42" i="1"/>
  <c r="JTB43" i="1" s="1"/>
  <c r="JTA42" i="1"/>
  <c r="JTA43" i="1" s="1"/>
  <c r="JSZ42" i="1"/>
  <c r="JSZ43" i="1" s="1"/>
  <c r="JSY42" i="1"/>
  <c r="JSY43" i="1" s="1"/>
  <c r="JSX42" i="1"/>
  <c r="JSX43" i="1" s="1"/>
  <c r="JSW42" i="1"/>
  <c r="JSW43" i="1" s="1"/>
  <c r="JSV42" i="1"/>
  <c r="JSV43" i="1" s="1"/>
  <c r="JSU42" i="1"/>
  <c r="JSU43" i="1" s="1"/>
  <c r="JST42" i="1"/>
  <c r="JST43" i="1" s="1"/>
  <c r="JSS42" i="1"/>
  <c r="JSS43" i="1" s="1"/>
  <c r="JSR42" i="1"/>
  <c r="JSR43" i="1" s="1"/>
  <c r="JSQ42" i="1"/>
  <c r="JSQ43" i="1" s="1"/>
  <c r="JSP42" i="1"/>
  <c r="JSP43" i="1" s="1"/>
  <c r="JSO42" i="1"/>
  <c r="JSO43" i="1" s="1"/>
  <c r="JSN42" i="1"/>
  <c r="JSN43" i="1" s="1"/>
  <c r="JSM42" i="1"/>
  <c r="JSM43" i="1" s="1"/>
  <c r="JSL42" i="1"/>
  <c r="JSL43" i="1" s="1"/>
  <c r="JSK42" i="1"/>
  <c r="JSK43" i="1" s="1"/>
  <c r="JSJ42" i="1"/>
  <c r="JSJ43" i="1" s="1"/>
  <c r="JSI42" i="1"/>
  <c r="JSI43" i="1" s="1"/>
  <c r="JSH42" i="1"/>
  <c r="JSH43" i="1" s="1"/>
  <c r="JSG42" i="1"/>
  <c r="JSG43" i="1" s="1"/>
  <c r="JSF42" i="1"/>
  <c r="JSF43" i="1" s="1"/>
  <c r="JSE42" i="1"/>
  <c r="JSE43" i="1" s="1"/>
  <c r="JSD42" i="1"/>
  <c r="JSD43" i="1" s="1"/>
  <c r="JSC42" i="1"/>
  <c r="JSC43" i="1" s="1"/>
  <c r="JSB42" i="1"/>
  <c r="JSB43" i="1" s="1"/>
  <c r="JSA42" i="1"/>
  <c r="JSA43" i="1" s="1"/>
  <c r="JRZ42" i="1"/>
  <c r="JRZ43" i="1" s="1"/>
  <c r="JRY42" i="1"/>
  <c r="JRY43" i="1" s="1"/>
  <c r="JRX42" i="1"/>
  <c r="JRX43" i="1" s="1"/>
  <c r="JRW42" i="1"/>
  <c r="JRW43" i="1" s="1"/>
  <c r="JRV42" i="1"/>
  <c r="JRV43" i="1" s="1"/>
  <c r="JRU42" i="1"/>
  <c r="JRU43" i="1" s="1"/>
  <c r="JRT42" i="1"/>
  <c r="JRT43" i="1" s="1"/>
  <c r="JRS42" i="1"/>
  <c r="JRS43" i="1" s="1"/>
  <c r="JRR42" i="1"/>
  <c r="JRR43" i="1" s="1"/>
  <c r="JRQ42" i="1"/>
  <c r="JRQ43" i="1" s="1"/>
  <c r="JRP42" i="1"/>
  <c r="JRP43" i="1" s="1"/>
  <c r="JRO42" i="1"/>
  <c r="JRO43" i="1" s="1"/>
  <c r="JRN42" i="1"/>
  <c r="JRN43" i="1" s="1"/>
  <c r="JRM42" i="1"/>
  <c r="JRM43" i="1" s="1"/>
  <c r="JRL42" i="1"/>
  <c r="JRL43" i="1" s="1"/>
  <c r="JRK42" i="1"/>
  <c r="JRK43" i="1" s="1"/>
  <c r="JRJ42" i="1"/>
  <c r="JRJ43" i="1" s="1"/>
  <c r="JRI42" i="1"/>
  <c r="JRI43" i="1" s="1"/>
  <c r="JRH42" i="1"/>
  <c r="JRH43" i="1" s="1"/>
  <c r="JRG42" i="1"/>
  <c r="JRG43" i="1" s="1"/>
  <c r="JRF42" i="1"/>
  <c r="JRF43" i="1" s="1"/>
  <c r="JRE42" i="1"/>
  <c r="JRE43" i="1" s="1"/>
  <c r="JRD42" i="1"/>
  <c r="JRD43" i="1" s="1"/>
  <c r="JRC42" i="1"/>
  <c r="JRC43" i="1" s="1"/>
  <c r="JRB42" i="1"/>
  <c r="JRB43" i="1" s="1"/>
  <c r="JRA42" i="1"/>
  <c r="JRA43" i="1" s="1"/>
  <c r="JQZ42" i="1"/>
  <c r="JQZ43" i="1" s="1"/>
  <c r="JQY42" i="1"/>
  <c r="JQY43" i="1" s="1"/>
  <c r="JQX42" i="1"/>
  <c r="JQX43" i="1" s="1"/>
  <c r="JQW42" i="1"/>
  <c r="JQW43" i="1" s="1"/>
  <c r="JQV42" i="1"/>
  <c r="JQV43" i="1" s="1"/>
  <c r="JQU42" i="1"/>
  <c r="JQU43" i="1" s="1"/>
  <c r="JQT42" i="1"/>
  <c r="JQT43" i="1" s="1"/>
  <c r="JQS42" i="1"/>
  <c r="JQS43" i="1" s="1"/>
  <c r="JQR42" i="1"/>
  <c r="JQR43" i="1" s="1"/>
  <c r="JQQ42" i="1"/>
  <c r="JQQ43" i="1" s="1"/>
  <c r="JQP42" i="1"/>
  <c r="JQP43" i="1" s="1"/>
  <c r="JQO42" i="1"/>
  <c r="JQO43" i="1" s="1"/>
  <c r="JQN42" i="1"/>
  <c r="JQN43" i="1" s="1"/>
  <c r="JQM42" i="1"/>
  <c r="JQM43" i="1" s="1"/>
  <c r="JQL42" i="1"/>
  <c r="JQL43" i="1" s="1"/>
  <c r="JQK42" i="1"/>
  <c r="JQK43" i="1" s="1"/>
  <c r="JQJ42" i="1"/>
  <c r="JQJ43" i="1" s="1"/>
  <c r="JQI42" i="1"/>
  <c r="JQI43" i="1" s="1"/>
  <c r="JQH42" i="1"/>
  <c r="JQH43" i="1" s="1"/>
  <c r="JQG42" i="1"/>
  <c r="JQG43" i="1" s="1"/>
  <c r="JQF42" i="1"/>
  <c r="JQF43" i="1" s="1"/>
  <c r="JQE42" i="1"/>
  <c r="JQE43" i="1" s="1"/>
  <c r="JQD42" i="1"/>
  <c r="JQD43" i="1" s="1"/>
  <c r="JQC42" i="1"/>
  <c r="JQC43" i="1" s="1"/>
  <c r="JQB42" i="1"/>
  <c r="JQB43" i="1" s="1"/>
  <c r="JQA42" i="1"/>
  <c r="JQA43" i="1" s="1"/>
  <c r="JPZ42" i="1"/>
  <c r="JPZ43" i="1" s="1"/>
  <c r="JPY42" i="1"/>
  <c r="JPY43" i="1" s="1"/>
  <c r="JPX42" i="1"/>
  <c r="JPX43" i="1" s="1"/>
  <c r="JPW42" i="1"/>
  <c r="JPW43" i="1" s="1"/>
  <c r="JPV42" i="1"/>
  <c r="JPV43" i="1" s="1"/>
  <c r="JPU42" i="1"/>
  <c r="JPU43" i="1" s="1"/>
  <c r="JPT42" i="1"/>
  <c r="JPT43" i="1" s="1"/>
  <c r="JPS42" i="1"/>
  <c r="JPS43" i="1" s="1"/>
  <c r="JPR42" i="1"/>
  <c r="JPR43" i="1" s="1"/>
  <c r="JPQ42" i="1"/>
  <c r="JPQ43" i="1" s="1"/>
  <c r="JPP42" i="1"/>
  <c r="JPP43" i="1" s="1"/>
  <c r="JPO42" i="1"/>
  <c r="JPO43" i="1" s="1"/>
  <c r="JPN42" i="1"/>
  <c r="JPN43" i="1" s="1"/>
  <c r="JPM42" i="1"/>
  <c r="JPM43" i="1" s="1"/>
  <c r="JPL42" i="1"/>
  <c r="JPL43" i="1" s="1"/>
  <c r="JPK42" i="1"/>
  <c r="JPK43" i="1" s="1"/>
  <c r="JPJ42" i="1"/>
  <c r="JPJ43" i="1" s="1"/>
  <c r="JPI42" i="1"/>
  <c r="JPI43" i="1" s="1"/>
  <c r="JPH42" i="1"/>
  <c r="JPH43" i="1" s="1"/>
  <c r="JPG42" i="1"/>
  <c r="JPG43" i="1" s="1"/>
  <c r="JPF42" i="1"/>
  <c r="JPF43" i="1" s="1"/>
  <c r="JPE42" i="1"/>
  <c r="JPE43" i="1" s="1"/>
  <c r="JPD42" i="1"/>
  <c r="JPD43" i="1" s="1"/>
  <c r="JPC42" i="1"/>
  <c r="JPC43" i="1" s="1"/>
  <c r="JPB42" i="1"/>
  <c r="JPB43" i="1" s="1"/>
  <c r="JPA42" i="1"/>
  <c r="JPA43" i="1" s="1"/>
  <c r="JOZ42" i="1"/>
  <c r="JOZ43" i="1" s="1"/>
  <c r="JOY42" i="1"/>
  <c r="JOY43" i="1" s="1"/>
  <c r="JOX42" i="1"/>
  <c r="JOX43" i="1" s="1"/>
  <c r="JOW42" i="1"/>
  <c r="JOW43" i="1" s="1"/>
  <c r="JOV42" i="1"/>
  <c r="JOV43" i="1" s="1"/>
  <c r="JOU42" i="1"/>
  <c r="JOU43" i="1" s="1"/>
  <c r="JOT42" i="1"/>
  <c r="JOT43" i="1" s="1"/>
  <c r="JOS42" i="1"/>
  <c r="JOS43" i="1" s="1"/>
  <c r="JOR42" i="1"/>
  <c r="JOR43" i="1" s="1"/>
  <c r="JOQ42" i="1"/>
  <c r="JOQ43" i="1" s="1"/>
  <c r="JOP42" i="1"/>
  <c r="JOP43" i="1" s="1"/>
  <c r="JOO42" i="1"/>
  <c r="JOO43" i="1" s="1"/>
  <c r="JON42" i="1"/>
  <c r="JON43" i="1" s="1"/>
  <c r="JOM42" i="1"/>
  <c r="JOM43" i="1" s="1"/>
  <c r="JOL42" i="1"/>
  <c r="JOL43" i="1" s="1"/>
  <c r="JOK42" i="1"/>
  <c r="JOK43" i="1" s="1"/>
  <c r="JOJ42" i="1"/>
  <c r="JOJ43" i="1" s="1"/>
  <c r="JOI42" i="1"/>
  <c r="JOI43" i="1" s="1"/>
  <c r="JOH42" i="1"/>
  <c r="JOH43" i="1" s="1"/>
  <c r="JOG42" i="1"/>
  <c r="JOG43" i="1" s="1"/>
  <c r="JOF42" i="1"/>
  <c r="JOF43" i="1" s="1"/>
  <c r="JOE42" i="1"/>
  <c r="JOE43" i="1" s="1"/>
  <c r="JOD42" i="1"/>
  <c r="JOD43" i="1" s="1"/>
  <c r="JOC42" i="1"/>
  <c r="JOC43" i="1" s="1"/>
  <c r="JOB42" i="1"/>
  <c r="JOB43" i="1" s="1"/>
  <c r="JOA42" i="1"/>
  <c r="JOA43" i="1" s="1"/>
  <c r="JNZ42" i="1"/>
  <c r="JNZ43" i="1" s="1"/>
  <c r="JNY42" i="1"/>
  <c r="JNY43" i="1" s="1"/>
  <c r="JNX42" i="1"/>
  <c r="JNX43" i="1" s="1"/>
  <c r="JNW42" i="1"/>
  <c r="JNW43" i="1" s="1"/>
  <c r="JNV42" i="1"/>
  <c r="JNV43" i="1" s="1"/>
  <c r="JNU42" i="1"/>
  <c r="JNU43" i="1" s="1"/>
  <c r="JNT42" i="1"/>
  <c r="JNT43" i="1" s="1"/>
  <c r="JNS42" i="1"/>
  <c r="JNS43" i="1" s="1"/>
  <c r="JNR42" i="1"/>
  <c r="JNR43" i="1" s="1"/>
  <c r="JNQ42" i="1"/>
  <c r="JNQ43" i="1" s="1"/>
  <c r="JNP42" i="1"/>
  <c r="JNP43" i="1" s="1"/>
  <c r="JNO42" i="1"/>
  <c r="JNO43" i="1" s="1"/>
  <c r="JNN42" i="1"/>
  <c r="JNN43" i="1" s="1"/>
  <c r="JNM42" i="1"/>
  <c r="JNM43" i="1" s="1"/>
  <c r="JNL42" i="1"/>
  <c r="JNL43" i="1" s="1"/>
  <c r="JNK42" i="1"/>
  <c r="JNK43" i="1" s="1"/>
  <c r="JNJ42" i="1"/>
  <c r="JNJ43" i="1" s="1"/>
  <c r="JNI42" i="1"/>
  <c r="JNI43" i="1" s="1"/>
  <c r="JNH42" i="1"/>
  <c r="JNH43" i="1" s="1"/>
  <c r="JNG42" i="1"/>
  <c r="JNG43" i="1" s="1"/>
  <c r="JNF42" i="1"/>
  <c r="JNF43" i="1" s="1"/>
  <c r="JNE42" i="1"/>
  <c r="JNE43" i="1" s="1"/>
  <c r="JND42" i="1"/>
  <c r="JND43" i="1" s="1"/>
  <c r="JNC42" i="1"/>
  <c r="JNC43" i="1" s="1"/>
  <c r="JNB42" i="1"/>
  <c r="JNB43" i="1" s="1"/>
  <c r="JNA42" i="1"/>
  <c r="JNA43" i="1" s="1"/>
  <c r="JMZ42" i="1"/>
  <c r="JMZ43" i="1" s="1"/>
  <c r="JMY42" i="1"/>
  <c r="JMY43" i="1" s="1"/>
  <c r="JMX42" i="1"/>
  <c r="JMX43" i="1" s="1"/>
  <c r="JMW42" i="1"/>
  <c r="JMW43" i="1" s="1"/>
  <c r="JMV42" i="1"/>
  <c r="JMV43" i="1" s="1"/>
  <c r="JMU42" i="1"/>
  <c r="JMU43" i="1" s="1"/>
  <c r="JMT42" i="1"/>
  <c r="JMT43" i="1" s="1"/>
  <c r="JMS42" i="1"/>
  <c r="JMS43" i="1" s="1"/>
  <c r="JMR42" i="1"/>
  <c r="JMR43" i="1" s="1"/>
  <c r="JMQ42" i="1"/>
  <c r="JMQ43" i="1" s="1"/>
  <c r="JMP42" i="1"/>
  <c r="JMP43" i="1" s="1"/>
  <c r="JMO42" i="1"/>
  <c r="JMO43" i="1" s="1"/>
  <c r="JMN42" i="1"/>
  <c r="JMN43" i="1" s="1"/>
  <c r="JMM42" i="1"/>
  <c r="JMM43" i="1" s="1"/>
  <c r="JML42" i="1"/>
  <c r="JML43" i="1" s="1"/>
  <c r="JMK42" i="1"/>
  <c r="JMK43" i="1" s="1"/>
  <c r="JMJ42" i="1"/>
  <c r="JMJ43" i="1" s="1"/>
  <c r="JMI42" i="1"/>
  <c r="JMI43" i="1" s="1"/>
  <c r="JMH42" i="1"/>
  <c r="JMH43" i="1" s="1"/>
  <c r="JMG42" i="1"/>
  <c r="JMG43" i="1" s="1"/>
  <c r="JMF42" i="1"/>
  <c r="JMF43" i="1" s="1"/>
  <c r="JME42" i="1"/>
  <c r="JME43" i="1" s="1"/>
  <c r="JMD42" i="1"/>
  <c r="JMD43" i="1" s="1"/>
  <c r="JMC42" i="1"/>
  <c r="JMC43" i="1" s="1"/>
  <c r="JMB42" i="1"/>
  <c r="JMB43" i="1" s="1"/>
  <c r="JMA42" i="1"/>
  <c r="JMA43" i="1" s="1"/>
  <c r="JLZ42" i="1"/>
  <c r="JLZ43" i="1" s="1"/>
  <c r="JLY42" i="1"/>
  <c r="JLY43" i="1" s="1"/>
  <c r="JLX42" i="1"/>
  <c r="JLX43" i="1" s="1"/>
  <c r="JLW42" i="1"/>
  <c r="JLW43" i="1" s="1"/>
  <c r="JLV42" i="1"/>
  <c r="JLV43" i="1" s="1"/>
  <c r="JLU42" i="1"/>
  <c r="JLU43" i="1" s="1"/>
  <c r="JLT42" i="1"/>
  <c r="JLT43" i="1" s="1"/>
  <c r="JLS42" i="1"/>
  <c r="JLS43" i="1" s="1"/>
  <c r="JLR42" i="1"/>
  <c r="JLR43" i="1" s="1"/>
  <c r="JLQ42" i="1"/>
  <c r="JLQ43" i="1" s="1"/>
  <c r="JLP42" i="1"/>
  <c r="JLP43" i="1" s="1"/>
  <c r="JLO42" i="1"/>
  <c r="JLO43" i="1" s="1"/>
  <c r="JLN42" i="1"/>
  <c r="JLN43" i="1" s="1"/>
  <c r="JLM42" i="1"/>
  <c r="JLM43" i="1" s="1"/>
  <c r="JLL42" i="1"/>
  <c r="JLL43" i="1" s="1"/>
  <c r="JLK42" i="1"/>
  <c r="JLK43" i="1" s="1"/>
  <c r="JLJ42" i="1"/>
  <c r="JLJ43" i="1" s="1"/>
  <c r="JLI42" i="1"/>
  <c r="JLI43" i="1" s="1"/>
  <c r="JLH42" i="1"/>
  <c r="JLH43" i="1" s="1"/>
  <c r="JLG42" i="1"/>
  <c r="JLG43" i="1" s="1"/>
  <c r="JLF42" i="1"/>
  <c r="JLF43" i="1" s="1"/>
  <c r="JLE42" i="1"/>
  <c r="JLE43" i="1" s="1"/>
  <c r="JLD42" i="1"/>
  <c r="JLD43" i="1" s="1"/>
  <c r="JLC42" i="1"/>
  <c r="JLC43" i="1" s="1"/>
  <c r="JLB42" i="1"/>
  <c r="JLB43" i="1" s="1"/>
  <c r="JLA42" i="1"/>
  <c r="JLA43" i="1" s="1"/>
  <c r="JKZ42" i="1"/>
  <c r="JKZ43" i="1" s="1"/>
  <c r="JKY42" i="1"/>
  <c r="JKY43" i="1" s="1"/>
  <c r="JKX42" i="1"/>
  <c r="JKX43" i="1" s="1"/>
  <c r="JKW42" i="1"/>
  <c r="JKW43" i="1" s="1"/>
  <c r="JKV42" i="1"/>
  <c r="JKV43" i="1" s="1"/>
  <c r="JKU42" i="1"/>
  <c r="JKU43" i="1" s="1"/>
  <c r="JKT42" i="1"/>
  <c r="JKT43" i="1" s="1"/>
  <c r="JKS42" i="1"/>
  <c r="JKS43" i="1" s="1"/>
  <c r="JKR42" i="1"/>
  <c r="JKR43" i="1" s="1"/>
  <c r="JKQ42" i="1"/>
  <c r="JKQ43" i="1" s="1"/>
  <c r="JKP42" i="1"/>
  <c r="JKP43" i="1" s="1"/>
  <c r="JKO42" i="1"/>
  <c r="JKO43" i="1" s="1"/>
  <c r="JKN42" i="1"/>
  <c r="JKN43" i="1" s="1"/>
  <c r="JKM42" i="1"/>
  <c r="JKM43" i="1" s="1"/>
  <c r="JKL42" i="1"/>
  <c r="JKL43" i="1" s="1"/>
  <c r="JKK42" i="1"/>
  <c r="JKK43" i="1" s="1"/>
  <c r="JKJ42" i="1"/>
  <c r="JKJ43" i="1" s="1"/>
  <c r="JKI42" i="1"/>
  <c r="JKI43" i="1" s="1"/>
  <c r="JKH42" i="1"/>
  <c r="JKH43" i="1" s="1"/>
  <c r="JKG42" i="1"/>
  <c r="JKG43" i="1" s="1"/>
  <c r="JKF42" i="1"/>
  <c r="JKF43" i="1" s="1"/>
  <c r="JKE42" i="1"/>
  <c r="JKE43" i="1" s="1"/>
  <c r="JKD42" i="1"/>
  <c r="JKD43" i="1" s="1"/>
  <c r="JKC42" i="1"/>
  <c r="JKC43" i="1" s="1"/>
  <c r="JKB42" i="1"/>
  <c r="JKB43" i="1" s="1"/>
  <c r="JKA42" i="1"/>
  <c r="JKA43" i="1" s="1"/>
  <c r="JJZ42" i="1"/>
  <c r="JJZ43" i="1" s="1"/>
  <c r="JJY42" i="1"/>
  <c r="JJY43" i="1" s="1"/>
  <c r="JJX42" i="1"/>
  <c r="JJX43" i="1" s="1"/>
  <c r="JJW42" i="1"/>
  <c r="JJW43" i="1" s="1"/>
  <c r="JJV42" i="1"/>
  <c r="JJV43" i="1" s="1"/>
  <c r="JJU42" i="1"/>
  <c r="JJU43" i="1" s="1"/>
  <c r="JJT42" i="1"/>
  <c r="JJT43" i="1" s="1"/>
  <c r="JJS42" i="1"/>
  <c r="JJS43" i="1" s="1"/>
  <c r="JJR42" i="1"/>
  <c r="JJR43" i="1" s="1"/>
  <c r="JJQ42" i="1"/>
  <c r="JJQ43" i="1" s="1"/>
  <c r="JJP42" i="1"/>
  <c r="JJP43" i="1" s="1"/>
  <c r="JJO42" i="1"/>
  <c r="JJO43" i="1" s="1"/>
  <c r="JJN42" i="1"/>
  <c r="JJN43" i="1" s="1"/>
  <c r="JJM42" i="1"/>
  <c r="JJM43" i="1" s="1"/>
  <c r="JJL42" i="1"/>
  <c r="JJL43" i="1" s="1"/>
  <c r="JJK42" i="1"/>
  <c r="JJK43" i="1" s="1"/>
  <c r="JJJ42" i="1"/>
  <c r="JJJ43" i="1" s="1"/>
  <c r="JJI42" i="1"/>
  <c r="JJI43" i="1" s="1"/>
  <c r="JJH42" i="1"/>
  <c r="JJH43" i="1" s="1"/>
  <c r="JJG42" i="1"/>
  <c r="JJG43" i="1" s="1"/>
  <c r="JJF42" i="1"/>
  <c r="JJF43" i="1" s="1"/>
  <c r="JJE42" i="1"/>
  <c r="JJE43" i="1" s="1"/>
  <c r="JJD42" i="1"/>
  <c r="JJD43" i="1" s="1"/>
  <c r="JJC42" i="1"/>
  <c r="JJC43" i="1" s="1"/>
  <c r="JJB42" i="1"/>
  <c r="JJB43" i="1" s="1"/>
  <c r="JJA42" i="1"/>
  <c r="JJA43" i="1" s="1"/>
  <c r="JIZ42" i="1"/>
  <c r="JIZ43" i="1" s="1"/>
  <c r="JIY42" i="1"/>
  <c r="JIY43" i="1" s="1"/>
  <c r="JIX42" i="1"/>
  <c r="JIX43" i="1" s="1"/>
  <c r="JIW42" i="1"/>
  <c r="JIW43" i="1" s="1"/>
  <c r="JIV42" i="1"/>
  <c r="JIV43" i="1" s="1"/>
  <c r="JIU42" i="1"/>
  <c r="JIU43" i="1" s="1"/>
  <c r="JIT42" i="1"/>
  <c r="JIT43" i="1" s="1"/>
  <c r="JIS42" i="1"/>
  <c r="JIS43" i="1" s="1"/>
  <c r="JIR42" i="1"/>
  <c r="JIR43" i="1" s="1"/>
  <c r="JIQ42" i="1"/>
  <c r="JIQ43" i="1" s="1"/>
  <c r="JIP42" i="1"/>
  <c r="JIP43" i="1" s="1"/>
  <c r="JIO42" i="1"/>
  <c r="JIO43" i="1" s="1"/>
  <c r="JIN42" i="1"/>
  <c r="JIN43" i="1" s="1"/>
  <c r="JIM42" i="1"/>
  <c r="JIM43" i="1" s="1"/>
  <c r="JIL42" i="1"/>
  <c r="JIL43" i="1" s="1"/>
  <c r="JIK42" i="1"/>
  <c r="JIK43" i="1" s="1"/>
  <c r="JIJ42" i="1"/>
  <c r="JIJ43" i="1" s="1"/>
  <c r="JII42" i="1"/>
  <c r="JII43" i="1" s="1"/>
  <c r="JIH42" i="1"/>
  <c r="JIH43" i="1" s="1"/>
  <c r="JIG42" i="1"/>
  <c r="JIG43" i="1" s="1"/>
  <c r="JIF42" i="1"/>
  <c r="JIF43" i="1" s="1"/>
  <c r="JIE42" i="1"/>
  <c r="JIE43" i="1" s="1"/>
  <c r="JID42" i="1"/>
  <c r="JID43" i="1" s="1"/>
  <c r="JIC42" i="1"/>
  <c r="JIC43" i="1" s="1"/>
  <c r="JIB42" i="1"/>
  <c r="JIB43" i="1" s="1"/>
  <c r="JIA42" i="1"/>
  <c r="JIA43" i="1" s="1"/>
  <c r="JHZ42" i="1"/>
  <c r="JHZ43" i="1" s="1"/>
  <c r="JHY42" i="1"/>
  <c r="JHY43" i="1" s="1"/>
  <c r="JHX42" i="1"/>
  <c r="JHX43" i="1" s="1"/>
  <c r="JHW42" i="1"/>
  <c r="JHW43" i="1" s="1"/>
  <c r="JHV42" i="1"/>
  <c r="JHV43" i="1" s="1"/>
  <c r="JHU42" i="1"/>
  <c r="JHU43" i="1" s="1"/>
  <c r="JHT42" i="1"/>
  <c r="JHT43" i="1" s="1"/>
  <c r="JHS42" i="1"/>
  <c r="JHS43" i="1" s="1"/>
  <c r="JHR42" i="1"/>
  <c r="JHR43" i="1" s="1"/>
  <c r="JHQ42" i="1"/>
  <c r="JHQ43" i="1" s="1"/>
  <c r="JHP42" i="1"/>
  <c r="JHP43" i="1" s="1"/>
  <c r="JHO42" i="1"/>
  <c r="JHN42" i="1"/>
  <c r="JHN43" i="1" s="1"/>
  <c r="JHM42" i="1"/>
  <c r="JHM43" i="1" s="1"/>
  <c r="JHL42" i="1"/>
  <c r="JHL43" i="1" s="1"/>
  <c r="JHK42" i="1"/>
  <c r="JHK43" i="1" s="1"/>
  <c r="JHJ42" i="1"/>
  <c r="JHJ43" i="1" s="1"/>
  <c r="JHI42" i="1"/>
  <c r="JHI43" i="1" s="1"/>
  <c r="JHH42" i="1"/>
  <c r="JHH43" i="1" s="1"/>
  <c r="JHG42" i="1"/>
  <c r="JHG43" i="1" s="1"/>
  <c r="JHF42" i="1"/>
  <c r="JHF43" i="1" s="1"/>
  <c r="JHE42" i="1"/>
  <c r="JHE43" i="1" s="1"/>
  <c r="JHD42" i="1"/>
  <c r="JHD43" i="1" s="1"/>
  <c r="JHC42" i="1"/>
  <c r="JHC43" i="1" s="1"/>
  <c r="JHB42" i="1"/>
  <c r="JHB43" i="1" s="1"/>
  <c r="JHA42" i="1"/>
  <c r="JHA43" i="1" s="1"/>
  <c r="JGZ42" i="1"/>
  <c r="JGZ43" i="1" s="1"/>
  <c r="JGY42" i="1"/>
  <c r="JGY43" i="1" s="1"/>
  <c r="JGX42" i="1"/>
  <c r="JGX43" i="1" s="1"/>
  <c r="JGW42" i="1"/>
  <c r="JGW43" i="1" s="1"/>
  <c r="JGV42" i="1"/>
  <c r="JGV43" i="1" s="1"/>
  <c r="JGU42" i="1"/>
  <c r="JGU43" i="1" s="1"/>
  <c r="JGT42" i="1"/>
  <c r="JGT43" i="1" s="1"/>
  <c r="JGS42" i="1"/>
  <c r="JGS43" i="1" s="1"/>
  <c r="JGR42" i="1"/>
  <c r="JGR43" i="1" s="1"/>
  <c r="JGQ42" i="1"/>
  <c r="JGQ43" i="1" s="1"/>
  <c r="JGP42" i="1"/>
  <c r="JGP43" i="1" s="1"/>
  <c r="JGO42" i="1"/>
  <c r="JGO43" i="1" s="1"/>
  <c r="JGN42" i="1"/>
  <c r="JGN43" i="1" s="1"/>
  <c r="JGM42" i="1"/>
  <c r="JGM43" i="1" s="1"/>
  <c r="JGL42" i="1"/>
  <c r="JGL43" i="1" s="1"/>
  <c r="JGK42" i="1"/>
  <c r="JGK43" i="1" s="1"/>
  <c r="JGJ42" i="1"/>
  <c r="JGJ43" i="1" s="1"/>
  <c r="JGI42" i="1"/>
  <c r="JGI43" i="1" s="1"/>
  <c r="JGH42" i="1"/>
  <c r="JGH43" i="1" s="1"/>
  <c r="JGG42" i="1"/>
  <c r="JGG43" i="1" s="1"/>
  <c r="JGF42" i="1"/>
  <c r="JGF43" i="1" s="1"/>
  <c r="JGE42" i="1"/>
  <c r="JGE43" i="1" s="1"/>
  <c r="JGD42" i="1"/>
  <c r="JGD43" i="1" s="1"/>
  <c r="JGC42" i="1"/>
  <c r="JGC43" i="1" s="1"/>
  <c r="JGB42" i="1"/>
  <c r="JGB43" i="1" s="1"/>
  <c r="JGA42" i="1"/>
  <c r="JGA43" i="1" s="1"/>
  <c r="JFZ42" i="1"/>
  <c r="JFZ43" i="1" s="1"/>
  <c r="JFY42" i="1"/>
  <c r="JFY43" i="1" s="1"/>
  <c r="JFX42" i="1"/>
  <c r="JFX43" i="1" s="1"/>
  <c r="JFW42" i="1"/>
  <c r="JFW43" i="1" s="1"/>
  <c r="JFV42" i="1"/>
  <c r="JFV43" i="1" s="1"/>
  <c r="JFU42" i="1"/>
  <c r="JFU43" i="1" s="1"/>
  <c r="JFT42" i="1"/>
  <c r="JFT43" i="1" s="1"/>
  <c r="JFS42" i="1"/>
  <c r="JFS43" i="1" s="1"/>
  <c r="JFR42" i="1"/>
  <c r="JFR43" i="1" s="1"/>
  <c r="JFQ42" i="1"/>
  <c r="JFQ43" i="1" s="1"/>
  <c r="JFP42" i="1"/>
  <c r="JFP43" i="1" s="1"/>
  <c r="JFO42" i="1"/>
  <c r="JFO43" i="1" s="1"/>
  <c r="JFN42" i="1"/>
  <c r="JFN43" i="1" s="1"/>
  <c r="JFM42" i="1"/>
  <c r="JFM43" i="1" s="1"/>
  <c r="JFL42" i="1"/>
  <c r="JFL43" i="1" s="1"/>
  <c r="JFK42" i="1"/>
  <c r="JFK43" i="1" s="1"/>
  <c r="JFJ42" i="1"/>
  <c r="JFJ43" i="1" s="1"/>
  <c r="JFI42" i="1"/>
  <c r="JFI43" i="1" s="1"/>
  <c r="JFH42" i="1"/>
  <c r="JFH43" i="1" s="1"/>
  <c r="JFG42" i="1"/>
  <c r="JFG43" i="1" s="1"/>
  <c r="JFF42" i="1"/>
  <c r="JFF43" i="1" s="1"/>
  <c r="JFE42" i="1"/>
  <c r="JFE43" i="1" s="1"/>
  <c r="JFD42" i="1"/>
  <c r="JFD43" i="1" s="1"/>
  <c r="JFC42" i="1"/>
  <c r="JFC43" i="1" s="1"/>
  <c r="JFB42" i="1"/>
  <c r="JFB43" i="1" s="1"/>
  <c r="JFA42" i="1"/>
  <c r="JFA43" i="1" s="1"/>
  <c r="JEZ42" i="1"/>
  <c r="JEZ43" i="1" s="1"/>
  <c r="JEY42" i="1"/>
  <c r="JEY43" i="1" s="1"/>
  <c r="JEX42" i="1"/>
  <c r="JEX43" i="1" s="1"/>
  <c r="JEW42" i="1"/>
  <c r="JEW43" i="1" s="1"/>
  <c r="JEV42" i="1"/>
  <c r="JEV43" i="1" s="1"/>
  <c r="JEU42" i="1"/>
  <c r="JEU43" i="1" s="1"/>
  <c r="JET42" i="1"/>
  <c r="JET43" i="1" s="1"/>
  <c r="JES42" i="1"/>
  <c r="JES43" i="1" s="1"/>
  <c r="JER42" i="1"/>
  <c r="JER43" i="1" s="1"/>
  <c r="JEQ42" i="1"/>
  <c r="JEQ43" i="1" s="1"/>
  <c r="JEP42" i="1"/>
  <c r="JEP43" i="1" s="1"/>
  <c r="JEO42" i="1"/>
  <c r="JEO43" i="1" s="1"/>
  <c r="JEN42" i="1"/>
  <c r="JEN43" i="1" s="1"/>
  <c r="JEM42" i="1"/>
  <c r="JEM43" i="1" s="1"/>
  <c r="JEL42" i="1"/>
  <c r="JEL43" i="1" s="1"/>
  <c r="JEK42" i="1"/>
  <c r="JEK43" i="1" s="1"/>
  <c r="JEJ42" i="1"/>
  <c r="JEJ43" i="1" s="1"/>
  <c r="JEI42" i="1"/>
  <c r="JEI43" i="1" s="1"/>
  <c r="JEH42" i="1"/>
  <c r="JEH43" i="1" s="1"/>
  <c r="JEG42" i="1"/>
  <c r="JEG43" i="1" s="1"/>
  <c r="JEF42" i="1"/>
  <c r="JEF43" i="1" s="1"/>
  <c r="JEE42" i="1"/>
  <c r="JEE43" i="1" s="1"/>
  <c r="JED42" i="1"/>
  <c r="JED43" i="1" s="1"/>
  <c r="JEC42" i="1"/>
  <c r="JEC43" i="1" s="1"/>
  <c r="JEB42" i="1"/>
  <c r="JEB43" i="1" s="1"/>
  <c r="JEA42" i="1"/>
  <c r="JEA43" i="1" s="1"/>
  <c r="JDZ42" i="1"/>
  <c r="JDZ43" i="1" s="1"/>
  <c r="JDY42" i="1"/>
  <c r="JDY43" i="1" s="1"/>
  <c r="JDX42" i="1"/>
  <c r="JDX43" i="1" s="1"/>
  <c r="JDW42" i="1"/>
  <c r="JDW43" i="1" s="1"/>
  <c r="JDV42" i="1"/>
  <c r="JDV43" i="1" s="1"/>
  <c r="JDU42" i="1"/>
  <c r="JDU43" i="1" s="1"/>
  <c r="JDT42" i="1"/>
  <c r="JDT43" i="1" s="1"/>
  <c r="JDS42" i="1"/>
  <c r="JDS43" i="1" s="1"/>
  <c r="JDR42" i="1"/>
  <c r="JDR43" i="1" s="1"/>
  <c r="JDQ42" i="1"/>
  <c r="JDQ43" i="1" s="1"/>
  <c r="JDP42" i="1"/>
  <c r="JDP43" i="1" s="1"/>
  <c r="JDO42" i="1"/>
  <c r="JDO43" i="1" s="1"/>
  <c r="JDN42" i="1"/>
  <c r="JDN43" i="1" s="1"/>
  <c r="JDM42" i="1"/>
  <c r="JDM43" i="1" s="1"/>
  <c r="JDL42" i="1"/>
  <c r="JDL43" i="1" s="1"/>
  <c r="JDK42" i="1"/>
  <c r="JDK43" i="1" s="1"/>
  <c r="JDJ42" i="1"/>
  <c r="JDJ43" i="1" s="1"/>
  <c r="JDI42" i="1"/>
  <c r="JDI43" i="1" s="1"/>
  <c r="JDH42" i="1"/>
  <c r="JDH43" i="1" s="1"/>
  <c r="JDG42" i="1"/>
  <c r="JDG43" i="1" s="1"/>
  <c r="JDF42" i="1"/>
  <c r="JDF43" i="1" s="1"/>
  <c r="JDE42" i="1"/>
  <c r="JDE43" i="1" s="1"/>
  <c r="JDD42" i="1"/>
  <c r="JDD43" i="1" s="1"/>
  <c r="JDC42" i="1"/>
  <c r="JDC43" i="1" s="1"/>
  <c r="JDB42" i="1"/>
  <c r="JDB43" i="1" s="1"/>
  <c r="JDA42" i="1"/>
  <c r="JDA43" i="1" s="1"/>
  <c r="JCZ42" i="1"/>
  <c r="JCZ43" i="1" s="1"/>
  <c r="JCY42" i="1"/>
  <c r="JCY43" i="1" s="1"/>
  <c r="JCX42" i="1"/>
  <c r="JCX43" i="1" s="1"/>
  <c r="JCW42" i="1"/>
  <c r="JCW43" i="1" s="1"/>
  <c r="JCV42" i="1"/>
  <c r="JCV43" i="1" s="1"/>
  <c r="JCU42" i="1"/>
  <c r="JCU43" i="1" s="1"/>
  <c r="JCT42" i="1"/>
  <c r="JCT43" i="1" s="1"/>
  <c r="JCS42" i="1"/>
  <c r="JCS43" i="1" s="1"/>
  <c r="JCR42" i="1"/>
  <c r="JCR43" i="1" s="1"/>
  <c r="JCQ42" i="1"/>
  <c r="JCQ43" i="1" s="1"/>
  <c r="JCP42" i="1"/>
  <c r="JCP43" i="1" s="1"/>
  <c r="JCO42" i="1"/>
  <c r="JCO43" i="1" s="1"/>
  <c r="JCN42" i="1"/>
  <c r="JCN43" i="1" s="1"/>
  <c r="JCM42" i="1"/>
  <c r="JCM43" i="1" s="1"/>
  <c r="JCL42" i="1"/>
  <c r="JCL43" i="1" s="1"/>
  <c r="JCK42" i="1"/>
  <c r="JCK43" i="1" s="1"/>
  <c r="JCJ42" i="1"/>
  <c r="JCJ43" i="1" s="1"/>
  <c r="JCI42" i="1"/>
  <c r="JCI43" i="1" s="1"/>
  <c r="JCH42" i="1"/>
  <c r="JCH43" i="1" s="1"/>
  <c r="JCG42" i="1"/>
  <c r="JCG43" i="1" s="1"/>
  <c r="JCF42" i="1"/>
  <c r="JCF43" i="1" s="1"/>
  <c r="JCE42" i="1"/>
  <c r="JCE43" i="1" s="1"/>
  <c r="JCD42" i="1"/>
  <c r="JCD43" i="1" s="1"/>
  <c r="JCC42" i="1"/>
  <c r="JCC43" i="1" s="1"/>
  <c r="JCB42" i="1"/>
  <c r="JCB43" i="1" s="1"/>
  <c r="JCA42" i="1"/>
  <c r="JCA43" i="1" s="1"/>
  <c r="JBZ42" i="1"/>
  <c r="JBZ43" i="1" s="1"/>
  <c r="JBY42" i="1"/>
  <c r="JBY43" i="1" s="1"/>
  <c r="JBX42" i="1"/>
  <c r="JBX43" i="1" s="1"/>
  <c r="JBW42" i="1"/>
  <c r="JBW43" i="1" s="1"/>
  <c r="JBV42" i="1"/>
  <c r="JBV43" i="1" s="1"/>
  <c r="JBU42" i="1"/>
  <c r="JBU43" i="1" s="1"/>
  <c r="JBT42" i="1"/>
  <c r="JBT43" i="1" s="1"/>
  <c r="JBS42" i="1"/>
  <c r="JBS43" i="1" s="1"/>
  <c r="JBR42" i="1"/>
  <c r="JBR43" i="1" s="1"/>
  <c r="JBQ42" i="1"/>
  <c r="JBQ43" i="1" s="1"/>
  <c r="JBP42" i="1"/>
  <c r="JBP43" i="1" s="1"/>
  <c r="JBO42" i="1"/>
  <c r="JBO43" i="1" s="1"/>
  <c r="JBN42" i="1"/>
  <c r="JBN43" i="1" s="1"/>
  <c r="JBM42" i="1"/>
  <c r="JBM43" i="1" s="1"/>
  <c r="JBL42" i="1"/>
  <c r="JBL43" i="1" s="1"/>
  <c r="JBK42" i="1"/>
  <c r="JBK43" i="1" s="1"/>
  <c r="JBJ42" i="1"/>
  <c r="JBJ43" i="1" s="1"/>
  <c r="JBI42" i="1"/>
  <c r="JBI43" i="1" s="1"/>
  <c r="JBH42" i="1"/>
  <c r="JBH43" i="1" s="1"/>
  <c r="JBG42" i="1"/>
  <c r="JBG43" i="1" s="1"/>
  <c r="JBF42" i="1"/>
  <c r="JBF43" i="1" s="1"/>
  <c r="JBE42" i="1"/>
  <c r="JBE43" i="1" s="1"/>
  <c r="JBD42" i="1"/>
  <c r="JBD43" i="1" s="1"/>
  <c r="JBC42" i="1"/>
  <c r="JBC43" i="1" s="1"/>
  <c r="JBB42" i="1"/>
  <c r="JBB43" i="1" s="1"/>
  <c r="JBA42" i="1"/>
  <c r="JBA43" i="1" s="1"/>
  <c r="JAZ42" i="1"/>
  <c r="JAZ43" i="1" s="1"/>
  <c r="JAY42" i="1"/>
  <c r="JAY43" i="1" s="1"/>
  <c r="JAX42" i="1"/>
  <c r="JAX43" i="1" s="1"/>
  <c r="JAW42" i="1"/>
  <c r="JAW43" i="1" s="1"/>
  <c r="JAV42" i="1"/>
  <c r="JAV43" i="1" s="1"/>
  <c r="JAU42" i="1"/>
  <c r="JAU43" i="1" s="1"/>
  <c r="JAT42" i="1"/>
  <c r="JAT43" i="1" s="1"/>
  <c r="JAS42" i="1"/>
  <c r="JAS43" i="1" s="1"/>
  <c r="JAR42" i="1"/>
  <c r="JAR43" i="1" s="1"/>
  <c r="JAQ42" i="1"/>
  <c r="JAQ43" i="1" s="1"/>
  <c r="JAP42" i="1"/>
  <c r="JAP43" i="1" s="1"/>
  <c r="JAO42" i="1"/>
  <c r="JAO43" i="1" s="1"/>
  <c r="JAN42" i="1"/>
  <c r="JAN43" i="1" s="1"/>
  <c r="JAM42" i="1"/>
  <c r="JAM43" i="1" s="1"/>
  <c r="JAL42" i="1"/>
  <c r="JAL43" i="1" s="1"/>
  <c r="JAK42" i="1"/>
  <c r="JAK43" i="1" s="1"/>
  <c r="JAJ42" i="1"/>
  <c r="JAJ43" i="1" s="1"/>
  <c r="JAI42" i="1"/>
  <c r="JAI43" i="1" s="1"/>
  <c r="JAH42" i="1"/>
  <c r="JAH43" i="1" s="1"/>
  <c r="JAG42" i="1"/>
  <c r="JAG43" i="1" s="1"/>
  <c r="JAF42" i="1"/>
  <c r="JAF43" i="1" s="1"/>
  <c r="JAE42" i="1"/>
  <c r="JAE43" i="1" s="1"/>
  <c r="JAD42" i="1"/>
  <c r="JAD43" i="1" s="1"/>
  <c r="JAC42" i="1"/>
  <c r="JAC43" i="1" s="1"/>
  <c r="JAB42" i="1"/>
  <c r="JAB43" i="1" s="1"/>
  <c r="JAA42" i="1"/>
  <c r="JAA43" i="1" s="1"/>
  <c r="IZZ42" i="1"/>
  <c r="IZZ43" i="1" s="1"/>
  <c r="IZY42" i="1"/>
  <c r="IZY43" i="1" s="1"/>
  <c r="IZX42" i="1"/>
  <c r="IZX43" i="1" s="1"/>
  <c r="IZW42" i="1"/>
  <c r="IZW43" i="1" s="1"/>
  <c r="IZV42" i="1"/>
  <c r="IZV43" i="1" s="1"/>
  <c r="IZU42" i="1"/>
  <c r="IZU43" i="1" s="1"/>
  <c r="IZT42" i="1"/>
  <c r="IZT43" i="1" s="1"/>
  <c r="IZS42" i="1"/>
  <c r="IZS43" i="1" s="1"/>
  <c r="IZR42" i="1"/>
  <c r="IZR43" i="1" s="1"/>
  <c r="IZQ42" i="1"/>
  <c r="IZQ43" i="1" s="1"/>
  <c r="IZP42" i="1"/>
  <c r="IZP43" i="1" s="1"/>
  <c r="IZO42" i="1"/>
  <c r="IZO43" i="1" s="1"/>
  <c r="IZN42" i="1"/>
  <c r="IZN43" i="1" s="1"/>
  <c r="IZM42" i="1"/>
  <c r="IZM43" i="1" s="1"/>
  <c r="IZL42" i="1"/>
  <c r="IZL43" i="1" s="1"/>
  <c r="IZK42" i="1"/>
  <c r="IZK43" i="1" s="1"/>
  <c r="IZJ42" i="1"/>
  <c r="IZJ43" i="1" s="1"/>
  <c r="IZI42" i="1"/>
  <c r="IZI43" i="1" s="1"/>
  <c r="IZH42" i="1"/>
  <c r="IZH43" i="1" s="1"/>
  <c r="IZG42" i="1"/>
  <c r="IZG43" i="1" s="1"/>
  <c r="IZF42" i="1"/>
  <c r="IZF43" i="1" s="1"/>
  <c r="IZE42" i="1"/>
  <c r="IZE43" i="1" s="1"/>
  <c r="IZD42" i="1"/>
  <c r="IZD43" i="1" s="1"/>
  <c r="IZC42" i="1"/>
  <c r="IZC43" i="1" s="1"/>
  <c r="IZB42" i="1"/>
  <c r="IZB43" i="1" s="1"/>
  <c r="IZA42" i="1"/>
  <c r="IZA43" i="1" s="1"/>
  <c r="IYZ42" i="1"/>
  <c r="IYZ43" i="1" s="1"/>
  <c r="IYY42" i="1"/>
  <c r="IYY43" i="1" s="1"/>
  <c r="IYX42" i="1"/>
  <c r="IYX43" i="1" s="1"/>
  <c r="IYW42" i="1"/>
  <c r="IYW43" i="1" s="1"/>
  <c r="IYV42" i="1"/>
  <c r="IYV43" i="1" s="1"/>
  <c r="IYU42" i="1"/>
  <c r="IYU43" i="1" s="1"/>
  <c r="IYT42" i="1"/>
  <c r="IYT43" i="1" s="1"/>
  <c r="IYS42" i="1"/>
  <c r="IYS43" i="1" s="1"/>
  <c r="IYR42" i="1"/>
  <c r="IYR43" i="1" s="1"/>
  <c r="IYQ42" i="1"/>
  <c r="IYQ43" i="1" s="1"/>
  <c r="IYP42" i="1"/>
  <c r="IYP43" i="1" s="1"/>
  <c r="IYO42" i="1"/>
  <c r="IYO43" i="1" s="1"/>
  <c r="IYN42" i="1"/>
  <c r="IYN43" i="1" s="1"/>
  <c r="IYM42" i="1"/>
  <c r="IYM43" i="1" s="1"/>
  <c r="IYL42" i="1"/>
  <c r="IYL43" i="1" s="1"/>
  <c r="IYK42" i="1"/>
  <c r="IYK43" i="1" s="1"/>
  <c r="IYJ42" i="1"/>
  <c r="IYJ43" i="1" s="1"/>
  <c r="IYI42" i="1"/>
  <c r="IYI43" i="1" s="1"/>
  <c r="IYH42" i="1"/>
  <c r="IYH43" i="1" s="1"/>
  <c r="IYG42" i="1"/>
  <c r="IYG43" i="1" s="1"/>
  <c r="IYF42" i="1"/>
  <c r="IYF43" i="1" s="1"/>
  <c r="IYE42" i="1"/>
  <c r="IYE43" i="1" s="1"/>
  <c r="IYD42" i="1"/>
  <c r="IYD43" i="1" s="1"/>
  <c r="IYC42" i="1"/>
  <c r="IYC43" i="1" s="1"/>
  <c r="IYB42" i="1"/>
  <c r="IYB43" i="1" s="1"/>
  <c r="IYA42" i="1"/>
  <c r="IYA43" i="1" s="1"/>
  <c r="IXZ42" i="1"/>
  <c r="IXZ43" i="1" s="1"/>
  <c r="IXY42" i="1"/>
  <c r="IXY43" i="1" s="1"/>
  <c r="IXX42" i="1"/>
  <c r="IXX43" i="1" s="1"/>
  <c r="IXW42" i="1"/>
  <c r="IXW43" i="1" s="1"/>
  <c r="IXV42" i="1"/>
  <c r="IXV43" i="1" s="1"/>
  <c r="IXU42" i="1"/>
  <c r="IXU43" i="1" s="1"/>
  <c r="IXT42" i="1"/>
  <c r="IXT43" i="1" s="1"/>
  <c r="IXS42" i="1"/>
  <c r="IXS43" i="1" s="1"/>
  <c r="IXR42" i="1"/>
  <c r="IXR43" i="1" s="1"/>
  <c r="IXQ42" i="1"/>
  <c r="IXQ43" i="1" s="1"/>
  <c r="IXP42" i="1"/>
  <c r="IXP43" i="1" s="1"/>
  <c r="IXO42" i="1"/>
  <c r="IXO43" i="1" s="1"/>
  <c r="IXN42" i="1"/>
  <c r="IXN43" i="1" s="1"/>
  <c r="IXM42" i="1"/>
  <c r="IXM43" i="1" s="1"/>
  <c r="IXL42" i="1"/>
  <c r="IXL43" i="1" s="1"/>
  <c r="IXK42" i="1"/>
  <c r="IXK43" i="1" s="1"/>
  <c r="IXJ42" i="1"/>
  <c r="IXJ43" i="1" s="1"/>
  <c r="IXI42" i="1"/>
  <c r="IXI43" i="1" s="1"/>
  <c r="IXH42" i="1"/>
  <c r="IXH43" i="1" s="1"/>
  <c r="IXG42" i="1"/>
  <c r="IXG43" i="1" s="1"/>
  <c r="IXF42" i="1"/>
  <c r="IXF43" i="1" s="1"/>
  <c r="IXE42" i="1"/>
  <c r="IXE43" i="1" s="1"/>
  <c r="IXD42" i="1"/>
  <c r="IXD43" i="1" s="1"/>
  <c r="IXC42" i="1"/>
  <c r="IXC43" i="1" s="1"/>
  <c r="IXB42" i="1"/>
  <c r="IXB43" i="1" s="1"/>
  <c r="IXA42" i="1"/>
  <c r="IXA43" i="1" s="1"/>
  <c r="IWZ42" i="1"/>
  <c r="IWZ43" i="1" s="1"/>
  <c r="IWY42" i="1"/>
  <c r="IWY43" i="1" s="1"/>
  <c r="IWX42" i="1"/>
  <c r="IWX43" i="1" s="1"/>
  <c r="IWW42" i="1"/>
  <c r="IWW43" i="1" s="1"/>
  <c r="IWV42" i="1"/>
  <c r="IWV43" i="1" s="1"/>
  <c r="IWU42" i="1"/>
  <c r="IWU43" i="1" s="1"/>
  <c r="IWT42" i="1"/>
  <c r="IWT43" i="1" s="1"/>
  <c r="IWS42" i="1"/>
  <c r="IWS43" i="1" s="1"/>
  <c r="IWR42" i="1"/>
  <c r="IWR43" i="1" s="1"/>
  <c r="IWQ42" i="1"/>
  <c r="IWQ43" i="1" s="1"/>
  <c r="IWP42" i="1"/>
  <c r="IWP43" i="1" s="1"/>
  <c r="IWO42" i="1"/>
  <c r="IWO43" i="1" s="1"/>
  <c r="IWN42" i="1"/>
  <c r="IWN43" i="1" s="1"/>
  <c r="IWM42" i="1"/>
  <c r="IWM43" i="1" s="1"/>
  <c r="IWL42" i="1"/>
  <c r="IWL43" i="1" s="1"/>
  <c r="IWK42" i="1"/>
  <c r="IWK43" i="1" s="1"/>
  <c r="IWJ42" i="1"/>
  <c r="IWJ43" i="1" s="1"/>
  <c r="IWI42" i="1"/>
  <c r="IWI43" i="1" s="1"/>
  <c r="IWH42" i="1"/>
  <c r="IWH43" i="1" s="1"/>
  <c r="IWG42" i="1"/>
  <c r="IWG43" i="1" s="1"/>
  <c r="IWF42" i="1"/>
  <c r="IWF43" i="1" s="1"/>
  <c r="IWE42" i="1"/>
  <c r="IWE43" i="1" s="1"/>
  <c r="IWD42" i="1"/>
  <c r="IWD43" i="1" s="1"/>
  <c r="IWC42" i="1"/>
  <c r="IWC43" i="1" s="1"/>
  <c r="IWB42" i="1"/>
  <c r="IWB43" i="1" s="1"/>
  <c r="IWA42" i="1"/>
  <c r="IWA43" i="1" s="1"/>
  <c r="IVZ42" i="1"/>
  <c r="IVZ43" i="1" s="1"/>
  <c r="IVY42" i="1"/>
  <c r="IVY43" i="1" s="1"/>
  <c r="IVX42" i="1"/>
  <c r="IVX43" i="1" s="1"/>
  <c r="IVW42" i="1"/>
  <c r="IVW43" i="1" s="1"/>
  <c r="IVV42" i="1"/>
  <c r="IVV43" i="1" s="1"/>
  <c r="IVU42" i="1"/>
  <c r="IVU43" i="1" s="1"/>
  <c r="IVT42" i="1"/>
  <c r="IVT43" i="1" s="1"/>
  <c r="IVS42" i="1"/>
  <c r="IVS43" i="1" s="1"/>
  <c r="IVR42" i="1"/>
  <c r="IVR43" i="1" s="1"/>
  <c r="IVQ42" i="1"/>
  <c r="IVQ43" i="1" s="1"/>
  <c r="IVP42" i="1"/>
  <c r="IVP43" i="1" s="1"/>
  <c r="IVO42" i="1"/>
  <c r="IVO43" i="1" s="1"/>
  <c r="IVN42" i="1"/>
  <c r="IVN43" i="1" s="1"/>
  <c r="IVM42" i="1"/>
  <c r="IVM43" i="1" s="1"/>
  <c r="IVL42" i="1"/>
  <c r="IVL43" i="1" s="1"/>
  <c r="IVK42" i="1"/>
  <c r="IVK43" i="1" s="1"/>
  <c r="IVJ42" i="1"/>
  <c r="IVJ43" i="1" s="1"/>
  <c r="IVI42" i="1"/>
  <c r="IVI43" i="1" s="1"/>
  <c r="IVH42" i="1"/>
  <c r="IVH43" i="1" s="1"/>
  <c r="IVG42" i="1"/>
  <c r="IVG43" i="1" s="1"/>
  <c r="IVF42" i="1"/>
  <c r="IVF43" i="1" s="1"/>
  <c r="IVE42" i="1"/>
  <c r="IVE43" i="1" s="1"/>
  <c r="IVD42" i="1"/>
  <c r="IVD43" i="1" s="1"/>
  <c r="IVC42" i="1"/>
  <c r="IVC43" i="1" s="1"/>
  <c r="IVB42" i="1"/>
  <c r="IVB43" i="1" s="1"/>
  <c r="IVA42" i="1"/>
  <c r="IVA43" i="1" s="1"/>
  <c r="IUZ42" i="1"/>
  <c r="IUZ43" i="1" s="1"/>
  <c r="IUY42" i="1"/>
  <c r="IUY43" i="1" s="1"/>
  <c r="IUX42" i="1"/>
  <c r="IUX43" i="1" s="1"/>
  <c r="IUW42" i="1"/>
  <c r="IUW43" i="1" s="1"/>
  <c r="IUV42" i="1"/>
  <c r="IUV43" i="1" s="1"/>
  <c r="IUU42" i="1"/>
  <c r="IUU43" i="1" s="1"/>
  <c r="IUT42" i="1"/>
  <c r="IUT43" i="1" s="1"/>
  <c r="IUS42" i="1"/>
  <c r="IUS43" i="1" s="1"/>
  <c r="IUR42" i="1"/>
  <c r="IUR43" i="1" s="1"/>
  <c r="IUQ42" i="1"/>
  <c r="IUQ43" i="1" s="1"/>
  <c r="IUP42" i="1"/>
  <c r="IUP43" i="1" s="1"/>
  <c r="IUO42" i="1"/>
  <c r="IUO43" i="1" s="1"/>
  <c r="IUN42" i="1"/>
  <c r="IUN43" i="1" s="1"/>
  <c r="IUM42" i="1"/>
  <c r="IUM43" i="1" s="1"/>
  <c r="IUL42" i="1"/>
  <c r="IUL43" i="1" s="1"/>
  <c r="IUK42" i="1"/>
  <c r="IUK43" i="1" s="1"/>
  <c r="IUJ42" i="1"/>
  <c r="IUJ43" i="1" s="1"/>
  <c r="IUI42" i="1"/>
  <c r="IUI43" i="1" s="1"/>
  <c r="IUH42" i="1"/>
  <c r="IUH43" i="1" s="1"/>
  <c r="IUG42" i="1"/>
  <c r="IUG43" i="1" s="1"/>
  <c r="IUF42" i="1"/>
  <c r="IUF43" i="1" s="1"/>
  <c r="IUE42" i="1"/>
  <c r="IUE43" i="1" s="1"/>
  <c r="IUD42" i="1"/>
  <c r="IUD43" i="1" s="1"/>
  <c r="IUC42" i="1"/>
  <c r="IUC43" i="1" s="1"/>
  <c r="IUB42" i="1"/>
  <c r="IUB43" i="1" s="1"/>
  <c r="IUA42" i="1"/>
  <c r="IUA43" i="1" s="1"/>
  <c r="ITZ42" i="1"/>
  <c r="ITZ43" i="1" s="1"/>
  <c r="ITY42" i="1"/>
  <c r="ITY43" i="1" s="1"/>
  <c r="ITX42" i="1"/>
  <c r="ITX43" i="1" s="1"/>
  <c r="ITW42" i="1"/>
  <c r="ITW43" i="1" s="1"/>
  <c r="ITV42" i="1"/>
  <c r="ITV43" i="1" s="1"/>
  <c r="ITU42" i="1"/>
  <c r="ITU43" i="1" s="1"/>
  <c r="ITT42" i="1"/>
  <c r="ITT43" i="1" s="1"/>
  <c r="ITS42" i="1"/>
  <c r="ITS43" i="1" s="1"/>
  <c r="ITR42" i="1"/>
  <c r="ITR43" i="1" s="1"/>
  <c r="ITQ42" i="1"/>
  <c r="ITQ43" i="1" s="1"/>
  <c r="ITP42" i="1"/>
  <c r="ITP43" i="1" s="1"/>
  <c r="ITO42" i="1"/>
  <c r="ITO43" i="1" s="1"/>
  <c r="ITN42" i="1"/>
  <c r="ITN43" i="1" s="1"/>
  <c r="ITM42" i="1"/>
  <c r="ITM43" i="1" s="1"/>
  <c r="ITL42" i="1"/>
  <c r="ITL43" i="1" s="1"/>
  <c r="ITK42" i="1"/>
  <c r="ITK43" i="1" s="1"/>
  <c r="ITJ42" i="1"/>
  <c r="ITJ43" i="1" s="1"/>
  <c r="ITI42" i="1"/>
  <c r="ITI43" i="1" s="1"/>
  <c r="ITH42" i="1"/>
  <c r="ITH43" i="1" s="1"/>
  <c r="ITG42" i="1"/>
  <c r="ITG43" i="1" s="1"/>
  <c r="ITF42" i="1"/>
  <c r="ITF43" i="1" s="1"/>
  <c r="ITE42" i="1"/>
  <c r="ITE43" i="1" s="1"/>
  <c r="ITD42" i="1"/>
  <c r="ITD43" i="1" s="1"/>
  <c r="ITC42" i="1"/>
  <c r="ITC43" i="1" s="1"/>
  <c r="ITB42" i="1"/>
  <c r="ITB43" i="1" s="1"/>
  <c r="ITA42" i="1"/>
  <c r="ITA43" i="1" s="1"/>
  <c r="ISZ42" i="1"/>
  <c r="ISZ43" i="1" s="1"/>
  <c r="ISY42" i="1"/>
  <c r="ISY43" i="1" s="1"/>
  <c r="ISX42" i="1"/>
  <c r="ISX43" i="1" s="1"/>
  <c r="ISW42" i="1"/>
  <c r="ISW43" i="1" s="1"/>
  <c r="ISV42" i="1"/>
  <c r="ISV43" i="1" s="1"/>
  <c r="ISU42" i="1"/>
  <c r="ISU43" i="1" s="1"/>
  <c r="IST42" i="1"/>
  <c r="IST43" i="1" s="1"/>
  <c r="ISS42" i="1"/>
  <c r="ISS43" i="1" s="1"/>
  <c r="ISR42" i="1"/>
  <c r="ISR43" i="1" s="1"/>
  <c r="ISQ42" i="1"/>
  <c r="ISQ43" i="1" s="1"/>
  <c r="ISP42" i="1"/>
  <c r="ISP43" i="1" s="1"/>
  <c r="ISO42" i="1"/>
  <c r="ISO43" i="1" s="1"/>
  <c r="ISN42" i="1"/>
  <c r="ISN43" i="1" s="1"/>
  <c r="ISM42" i="1"/>
  <c r="ISM43" i="1" s="1"/>
  <c r="ISL42" i="1"/>
  <c r="ISL43" i="1" s="1"/>
  <c r="ISK42" i="1"/>
  <c r="ISK43" i="1" s="1"/>
  <c r="ISJ42" i="1"/>
  <c r="ISJ43" i="1" s="1"/>
  <c r="ISI42" i="1"/>
  <c r="ISI43" i="1" s="1"/>
  <c r="ISH42" i="1"/>
  <c r="ISH43" i="1" s="1"/>
  <c r="ISG42" i="1"/>
  <c r="ISG43" i="1" s="1"/>
  <c r="ISF42" i="1"/>
  <c r="ISF43" i="1" s="1"/>
  <c r="ISE42" i="1"/>
  <c r="ISE43" i="1" s="1"/>
  <c r="ISD42" i="1"/>
  <c r="ISD43" i="1" s="1"/>
  <c r="ISC42" i="1"/>
  <c r="ISC43" i="1" s="1"/>
  <c r="ISB42" i="1"/>
  <c r="ISB43" i="1" s="1"/>
  <c r="ISA42" i="1"/>
  <c r="ISA43" i="1" s="1"/>
  <c r="IRZ42" i="1"/>
  <c r="IRZ43" i="1" s="1"/>
  <c r="IRY42" i="1"/>
  <c r="IRY43" i="1" s="1"/>
  <c r="IRX42" i="1"/>
  <c r="IRX43" i="1" s="1"/>
  <c r="IRW42" i="1"/>
  <c r="IRW43" i="1" s="1"/>
  <c r="IRV42" i="1"/>
  <c r="IRV43" i="1" s="1"/>
  <c r="IRU42" i="1"/>
  <c r="IRU43" i="1" s="1"/>
  <c r="IRT42" i="1"/>
  <c r="IRT43" i="1" s="1"/>
  <c r="IRS42" i="1"/>
  <c r="IRS43" i="1" s="1"/>
  <c r="IRR42" i="1"/>
  <c r="IRR43" i="1" s="1"/>
  <c r="IRQ42" i="1"/>
  <c r="IRQ43" i="1" s="1"/>
  <c r="IRP42" i="1"/>
  <c r="IRP43" i="1" s="1"/>
  <c r="IRO42" i="1"/>
  <c r="IRO43" i="1" s="1"/>
  <c r="IRN42" i="1"/>
  <c r="IRN43" i="1" s="1"/>
  <c r="IRM42" i="1"/>
  <c r="IRM43" i="1" s="1"/>
  <c r="IRL42" i="1"/>
  <c r="IRL43" i="1" s="1"/>
  <c r="IRK42" i="1"/>
  <c r="IRK43" i="1" s="1"/>
  <c r="IRJ42" i="1"/>
  <c r="IRJ43" i="1" s="1"/>
  <c r="IRI42" i="1"/>
  <c r="IRI43" i="1" s="1"/>
  <c r="IRH42" i="1"/>
  <c r="IRH43" i="1" s="1"/>
  <c r="IRG42" i="1"/>
  <c r="IRG43" i="1" s="1"/>
  <c r="IRF42" i="1"/>
  <c r="IRF43" i="1" s="1"/>
  <c r="IRE42" i="1"/>
  <c r="IRE43" i="1" s="1"/>
  <c r="IRD42" i="1"/>
  <c r="IRD43" i="1" s="1"/>
  <c r="IRC42" i="1"/>
  <c r="IRC43" i="1" s="1"/>
  <c r="IRB42" i="1"/>
  <c r="IRB43" i="1" s="1"/>
  <c r="IRA42" i="1"/>
  <c r="IRA43" i="1" s="1"/>
  <c r="IQZ42" i="1"/>
  <c r="IQZ43" i="1" s="1"/>
  <c r="IQY42" i="1"/>
  <c r="IQY43" i="1" s="1"/>
  <c r="IQX42" i="1"/>
  <c r="IQX43" i="1" s="1"/>
  <c r="IQW42" i="1"/>
  <c r="IQW43" i="1" s="1"/>
  <c r="IQV42" i="1"/>
  <c r="IQV43" i="1" s="1"/>
  <c r="IQU42" i="1"/>
  <c r="IQU43" i="1" s="1"/>
  <c r="IQT42" i="1"/>
  <c r="IQT43" i="1" s="1"/>
  <c r="IQS42" i="1"/>
  <c r="IQS43" i="1" s="1"/>
  <c r="IQR42" i="1"/>
  <c r="IQR43" i="1" s="1"/>
  <c r="IQQ42" i="1"/>
  <c r="IQQ43" i="1" s="1"/>
  <c r="IQP42" i="1"/>
  <c r="IQP43" i="1" s="1"/>
  <c r="IQO42" i="1"/>
  <c r="IQO43" i="1" s="1"/>
  <c r="IQN42" i="1"/>
  <c r="IQN43" i="1" s="1"/>
  <c r="IQM42" i="1"/>
  <c r="IQM43" i="1" s="1"/>
  <c r="IQL42" i="1"/>
  <c r="IQL43" i="1" s="1"/>
  <c r="IQK42" i="1"/>
  <c r="IQK43" i="1" s="1"/>
  <c r="IQJ42" i="1"/>
  <c r="IQJ43" i="1" s="1"/>
  <c r="IQI42" i="1"/>
  <c r="IQI43" i="1" s="1"/>
  <c r="IQH42" i="1"/>
  <c r="IQH43" i="1" s="1"/>
  <c r="IQG42" i="1"/>
  <c r="IQG43" i="1" s="1"/>
  <c r="IQF42" i="1"/>
  <c r="IQF43" i="1" s="1"/>
  <c r="IQE42" i="1"/>
  <c r="IQE43" i="1" s="1"/>
  <c r="IQD42" i="1"/>
  <c r="IQD43" i="1" s="1"/>
  <c r="IQC42" i="1"/>
  <c r="IQC43" i="1" s="1"/>
  <c r="IQB42" i="1"/>
  <c r="IQB43" i="1" s="1"/>
  <c r="IQA42" i="1"/>
  <c r="IQA43" i="1" s="1"/>
  <c r="IPZ42" i="1"/>
  <c r="IPZ43" i="1" s="1"/>
  <c r="IPY42" i="1"/>
  <c r="IPY43" i="1" s="1"/>
  <c r="IPX42" i="1"/>
  <c r="IPX43" i="1" s="1"/>
  <c r="IPW42" i="1"/>
  <c r="IPW43" i="1" s="1"/>
  <c r="IPV42" i="1"/>
  <c r="IPV43" i="1" s="1"/>
  <c r="IPU42" i="1"/>
  <c r="IPU43" i="1" s="1"/>
  <c r="IPT42" i="1"/>
  <c r="IPT43" i="1" s="1"/>
  <c r="IPS42" i="1"/>
  <c r="IPS43" i="1" s="1"/>
  <c r="IPR42" i="1"/>
  <c r="IPR43" i="1" s="1"/>
  <c r="IPQ42" i="1"/>
  <c r="IPQ43" i="1" s="1"/>
  <c r="IPP42" i="1"/>
  <c r="IPP43" i="1" s="1"/>
  <c r="IPO42" i="1"/>
  <c r="IPO43" i="1" s="1"/>
  <c r="IPN42" i="1"/>
  <c r="IPN43" i="1" s="1"/>
  <c r="IPM42" i="1"/>
  <c r="IPM43" i="1" s="1"/>
  <c r="IPL42" i="1"/>
  <c r="IPL43" i="1" s="1"/>
  <c r="IPK42" i="1"/>
  <c r="IPK43" i="1" s="1"/>
  <c r="IPJ42" i="1"/>
  <c r="IPJ43" i="1" s="1"/>
  <c r="IPI42" i="1"/>
  <c r="IPI43" i="1" s="1"/>
  <c r="IPH42" i="1"/>
  <c r="IPH43" i="1" s="1"/>
  <c r="IPG42" i="1"/>
  <c r="IPG43" i="1" s="1"/>
  <c r="IPF42" i="1"/>
  <c r="IPF43" i="1" s="1"/>
  <c r="IPE42" i="1"/>
  <c r="IPE43" i="1" s="1"/>
  <c r="IPD42" i="1"/>
  <c r="IPD43" i="1" s="1"/>
  <c r="IPC42" i="1"/>
  <c r="IPC43" i="1" s="1"/>
  <c r="IPB42" i="1"/>
  <c r="IPB43" i="1" s="1"/>
  <c r="IPA42" i="1"/>
  <c r="IPA43" i="1" s="1"/>
  <c r="IOZ42" i="1"/>
  <c r="IOZ43" i="1" s="1"/>
  <c r="IOY42" i="1"/>
  <c r="IOY43" i="1" s="1"/>
  <c r="IOX42" i="1"/>
  <c r="IOX43" i="1" s="1"/>
  <c r="IOW42" i="1"/>
  <c r="IOW43" i="1" s="1"/>
  <c r="IOV42" i="1"/>
  <c r="IOV43" i="1" s="1"/>
  <c r="IOU42" i="1"/>
  <c r="IOU43" i="1" s="1"/>
  <c r="IOT42" i="1"/>
  <c r="IOT43" i="1" s="1"/>
  <c r="IOS42" i="1"/>
  <c r="IOS43" i="1" s="1"/>
  <c r="IOR42" i="1"/>
  <c r="IOR43" i="1" s="1"/>
  <c r="IOQ42" i="1"/>
  <c r="IOQ43" i="1" s="1"/>
  <c r="IOP42" i="1"/>
  <c r="IOP43" i="1" s="1"/>
  <c r="IOO42" i="1"/>
  <c r="IOO43" i="1" s="1"/>
  <c r="ION42" i="1"/>
  <c r="ION43" i="1" s="1"/>
  <c r="IOM42" i="1"/>
  <c r="IOM43" i="1" s="1"/>
  <c r="IOL42" i="1"/>
  <c r="IOL43" i="1" s="1"/>
  <c r="IOK42" i="1"/>
  <c r="IOK43" i="1" s="1"/>
  <c r="IOJ42" i="1"/>
  <c r="IOJ43" i="1" s="1"/>
  <c r="IOI42" i="1"/>
  <c r="IOI43" i="1" s="1"/>
  <c r="IOH42" i="1"/>
  <c r="IOH43" i="1" s="1"/>
  <c r="IOG42" i="1"/>
  <c r="IOG43" i="1" s="1"/>
  <c r="IOF42" i="1"/>
  <c r="IOF43" i="1" s="1"/>
  <c r="IOE42" i="1"/>
  <c r="IOE43" i="1" s="1"/>
  <c r="IOD42" i="1"/>
  <c r="IOD43" i="1" s="1"/>
  <c r="IOC42" i="1"/>
  <c r="IOC43" i="1" s="1"/>
  <c r="IOB42" i="1"/>
  <c r="IOB43" i="1" s="1"/>
  <c r="IOA42" i="1"/>
  <c r="IOA43" i="1" s="1"/>
  <c r="INZ42" i="1"/>
  <c r="INZ43" i="1" s="1"/>
  <c r="INY42" i="1"/>
  <c r="INY43" i="1" s="1"/>
  <c r="INX42" i="1"/>
  <c r="INX43" i="1" s="1"/>
  <c r="INW42" i="1"/>
  <c r="INW43" i="1" s="1"/>
  <c r="INV42" i="1"/>
  <c r="INV43" i="1" s="1"/>
  <c r="INU42" i="1"/>
  <c r="INU43" i="1" s="1"/>
  <c r="INT42" i="1"/>
  <c r="INT43" i="1" s="1"/>
  <c r="INS42" i="1"/>
  <c r="INS43" i="1" s="1"/>
  <c r="INR42" i="1"/>
  <c r="INR43" i="1" s="1"/>
  <c r="INQ42" i="1"/>
  <c r="INQ43" i="1" s="1"/>
  <c r="INP42" i="1"/>
  <c r="INP43" i="1" s="1"/>
  <c r="INO42" i="1"/>
  <c r="INO43" i="1" s="1"/>
  <c r="INN42" i="1"/>
  <c r="INN43" i="1" s="1"/>
  <c r="INM42" i="1"/>
  <c r="INM43" i="1" s="1"/>
  <c r="INL42" i="1"/>
  <c r="INL43" i="1" s="1"/>
  <c r="INK42" i="1"/>
  <c r="INK43" i="1" s="1"/>
  <c r="INJ42" i="1"/>
  <c r="INJ43" i="1" s="1"/>
  <c r="INI42" i="1"/>
  <c r="INI43" i="1" s="1"/>
  <c r="INH42" i="1"/>
  <c r="INH43" i="1" s="1"/>
  <c r="ING42" i="1"/>
  <c r="ING43" i="1" s="1"/>
  <c r="INF42" i="1"/>
  <c r="INF43" i="1" s="1"/>
  <c r="INE42" i="1"/>
  <c r="INE43" i="1" s="1"/>
  <c r="IND42" i="1"/>
  <c r="IND43" i="1" s="1"/>
  <c r="INC42" i="1"/>
  <c r="INC43" i="1" s="1"/>
  <c r="INB42" i="1"/>
  <c r="INB43" i="1" s="1"/>
  <c r="INA42" i="1"/>
  <c r="INA43" i="1" s="1"/>
  <c r="IMZ42" i="1"/>
  <c r="IMZ43" i="1" s="1"/>
  <c r="IMY42" i="1"/>
  <c r="IMY43" i="1" s="1"/>
  <c r="IMX42" i="1"/>
  <c r="IMX43" i="1" s="1"/>
  <c r="IMW42" i="1"/>
  <c r="IMW43" i="1" s="1"/>
  <c r="IMV42" i="1"/>
  <c r="IMV43" i="1" s="1"/>
  <c r="IMU42" i="1"/>
  <c r="IMU43" i="1" s="1"/>
  <c r="IMT42" i="1"/>
  <c r="IMT43" i="1" s="1"/>
  <c r="IMS42" i="1"/>
  <c r="IMS43" i="1" s="1"/>
  <c r="IMR42" i="1"/>
  <c r="IMR43" i="1" s="1"/>
  <c r="IMQ42" i="1"/>
  <c r="IMQ43" i="1" s="1"/>
  <c r="IMP42" i="1"/>
  <c r="IMP43" i="1" s="1"/>
  <c r="IMO42" i="1"/>
  <c r="IMO43" i="1" s="1"/>
  <c r="IMN42" i="1"/>
  <c r="IMN43" i="1" s="1"/>
  <c r="IMM42" i="1"/>
  <c r="IMM43" i="1" s="1"/>
  <c r="IML42" i="1"/>
  <c r="IML43" i="1" s="1"/>
  <c r="IMK42" i="1"/>
  <c r="IMK43" i="1" s="1"/>
  <c r="IMJ42" i="1"/>
  <c r="IMJ43" i="1" s="1"/>
  <c r="IMI42" i="1"/>
  <c r="IMI43" i="1" s="1"/>
  <c r="IMH42" i="1"/>
  <c r="IMH43" i="1" s="1"/>
  <c r="IMG42" i="1"/>
  <c r="IMG43" i="1" s="1"/>
  <c r="IMF42" i="1"/>
  <c r="IMF43" i="1" s="1"/>
  <c r="IME42" i="1"/>
  <c r="IME43" i="1" s="1"/>
  <c r="IMD42" i="1"/>
  <c r="IMD43" i="1" s="1"/>
  <c r="IMC42" i="1"/>
  <c r="IMC43" i="1" s="1"/>
  <c r="IMB42" i="1"/>
  <c r="IMB43" i="1" s="1"/>
  <c r="IMA42" i="1"/>
  <c r="IMA43" i="1" s="1"/>
  <c r="ILZ42" i="1"/>
  <c r="ILZ43" i="1" s="1"/>
  <c r="ILY42" i="1"/>
  <c r="ILY43" i="1" s="1"/>
  <c r="ILX42" i="1"/>
  <c r="ILX43" i="1" s="1"/>
  <c r="ILW42" i="1"/>
  <c r="ILW43" i="1" s="1"/>
  <c r="ILV42" i="1"/>
  <c r="ILV43" i="1" s="1"/>
  <c r="ILU42" i="1"/>
  <c r="ILU43" i="1" s="1"/>
  <c r="ILT42" i="1"/>
  <c r="ILT43" i="1" s="1"/>
  <c r="ILS42" i="1"/>
  <c r="ILS43" i="1" s="1"/>
  <c r="ILR42" i="1"/>
  <c r="ILR43" i="1" s="1"/>
  <c r="ILQ42" i="1"/>
  <c r="ILQ43" i="1" s="1"/>
  <c r="ILP42" i="1"/>
  <c r="ILP43" i="1" s="1"/>
  <c r="ILO42" i="1"/>
  <c r="ILO43" i="1" s="1"/>
  <c r="ILN42" i="1"/>
  <c r="ILN43" i="1" s="1"/>
  <c r="ILM42" i="1"/>
  <c r="ILM43" i="1" s="1"/>
  <c r="ILL42" i="1"/>
  <c r="ILL43" i="1" s="1"/>
  <c r="ILK42" i="1"/>
  <c r="ILK43" i="1" s="1"/>
  <c r="ILJ42" i="1"/>
  <c r="ILJ43" i="1" s="1"/>
  <c r="ILI42" i="1"/>
  <c r="ILI43" i="1" s="1"/>
  <c r="ILH42" i="1"/>
  <c r="ILH43" i="1" s="1"/>
  <c r="ILG42" i="1"/>
  <c r="ILG43" i="1" s="1"/>
  <c r="ILF42" i="1"/>
  <c r="ILF43" i="1" s="1"/>
  <c r="ILE42" i="1"/>
  <c r="ILE43" i="1" s="1"/>
  <c r="ILD42" i="1"/>
  <c r="ILD43" i="1" s="1"/>
  <c r="ILC42" i="1"/>
  <c r="ILC43" i="1" s="1"/>
  <c r="ILB42" i="1"/>
  <c r="ILB43" i="1" s="1"/>
  <c r="ILA42" i="1"/>
  <c r="ILA43" i="1" s="1"/>
  <c r="IKZ42" i="1"/>
  <c r="IKZ43" i="1" s="1"/>
  <c r="IKY42" i="1"/>
  <c r="IKY43" i="1" s="1"/>
  <c r="IKX42" i="1"/>
  <c r="IKX43" i="1" s="1"/>
  <c r="IKW42" i="1"/>
  <c r="IKW43" i="1" s="1"/>
  <c r="IKV42" i="1"/>
  <c r="IKV43" i="1" s="1"/>
  <c r="IKU42" i="1"/>
  <c r="IKU43" i="1" s="1"/>
  <c r="IKT42" i="1"/>
  <c r="IKT43" i="1" s="1"/>
  <c r="IKS42" i="1"/>
  <c r="IKS43" i="1" s="1"/>
  <c r="IKR42" i="1"/>
  <c r="IKR43" i="1" s="1"/>
  <c r="IKQ42" i="1"/>
  <c r="IKQ43" i="1" s="1"/>
  <c r="IKP42" i="1"/>
  <c r="IKP43" i="1" s="1"/>
  <c r="IKO42" i="1"/>
  <c r="IKO43" i="1" s="1"/>
  <c r="IKN42" i="1"/>
  <c r="IKN43" i="1" s="1"/>
  <c r="IKM42" i="1"/>
  <c r="IKM43" i="1" s="1"/>
  <c r="IKL42" i="1"/>
  <c r="IKL43" i="1" s="1"/>
  <c r="IKK42" i="1"/>
  <c r="IKK43" i="1" s="1"/>
  <c r="IKJ42" i="1"/>
  <c r="IKJ43" i="1" s="1"/>
  <c r="IKI42" i="1"/>
  <c r="IKI43" i="1" s="1"/>
  <c r="IKH42" i="1"/>
  <c r="IKH43" i="1" s="1"/>
  <c r="IKG42" i="1"/>
  <c r="IKG43" i="1" s="1"/>
  <c r="IKF42" i="1"/>
  <c r="IKF43" i="1" s="1"/>
  <c r="IKE42" i="1"/>
  <c r="IKE43" i="1" s="1"/>
  <c r="IKD42" i="1"/>
  <c r="IKD43" i="1" s="1"/>
  <c r="IKC42" i="1"/>
  <c r="IKC43" i="1" s="1"/>
  <c r="IKB42" i="1"/>
  <c r="IKB43" i="1" s="1"/>
  <c r="IKA42" i="1"/>
  <c r="IKA43" i="1" s="1"/>
  <c r="IJZ42" i="1"/>
  <c r="IJZ43" i="1" s="1"/>
  <c r="IJY42" i="1"/>
  <c r="IJY43" i="1" s="1"/>
  <c r="IJX42" i="1"/>
  <c r="IJX43" i="1" s="1"/>
  <c r="IJW42" i="1"/>
  <c r="IJW43" i="1" s="1"/>
  <c r="IJV42" i="1"/>
  <c r="IJV43" i="1" s="1"/>
  <c r="IJU42" i="1"/>
  <c r="IJU43" i="1" s="1"/>
  <c r="IJT42" i="1"/>
  <c r="IJT43" i="1" s="1"/>
  <c r="IJS42" i="1"/>
  <c r="IJS43" i="1" s="1"/>
  <c r="IJR42" i="1"/>
  <c r="IJR43" i="1" s="1"/>
  <c r="IJQ42" i="1"/>
  <c r="IJQ43" i="1" s="1"/>
  <c r="IJP42" i="1"/>
  <c r="IJP43" i="1" s="1"/>
  <c r="IJO42" i="1"/>
  <c r="IJO43" i="1" s="1"/>
  <c r="IJN42" i="1"/>
  <c r="IJN43" i="1" s="1"/>
  <c r="IJM42" i="1"/>
  <c r="IJM43" i="1" s="1"/>
  <c r="IJL42" i="1"/>
  <c r="IJL43" i="1" s="1"/>
  <c r="IJK42" i="1"/>
  <c r="IJK43" i="1" s="1"/>
  <c r="IJJ42" i="1"/>
  <c r="IJJ43" i="1" s="1"/>
  <c r="IJI42" i="1"/>
  <c r="IJI43" i="1" s="1"/>
  <c r="IJH42" i="1"/>
  <c r="IJH43" i="1" s="1"/>
  <c r="IJG42" i="1"/>
  <c r="IJG43" i="1" s="1"/>
  <c r="IJF42" i="1"/>
  <c r="IJF43" i="1" s="1"/>
  <c r="IJE42" i="1"/>
  <c r="IJE43" i="1" s="1"/>
  <c r="IJD42" i="1"/>
  <c r="IJD43" i="1" s="1"/>
  <c r="IJC42" i="1"/>
  <c r="IJC43" i="1" s="1"/>
  <c r="IJB42" i="1"/>
  <c r="IJB43" i="1" s="1"/>
  <c r="IJA42" i="1"/>
  <c r="IJA43" i="1" s="1"/>
  <c r="IIZ42" i="1"/>
  <c r="IIZ43" i="1" s="1"/>
  <c r="IIY42" i="1"/>
  <c r="IIY43" i="1" s="1"/>
  <c r="IIX42" i="1"/>
  <c r="IIX43" i="1" s="1"/>
  <c r="IIW42" i="1"/>
  <c r="IIW43" i="1" s="1"/>
  <c r="IIV42" i="1"/>
  <c r="IIV43" i="1" s="1"/>
  <c r="IIU42" i="1"/>
  <c r="IIU43" i="1" s="1"/>
  <c r="IIT42" i="1"/>
  <c r="IIT43" i="1" s="1"/>
  <c r="IIS42" i="1"/>
  <c r="IIS43" i="1" s="1"/>
  <c r="IIR42" i="1"/>
  <c r="IIR43" i="1" s="1"/>
  <c r="IIQ42" i="1"/>
  <c r="IIQ43" i="1" s="1"/>
  <c r="IIP42" i="1"/>
  <c r="IIP43" i="1" s="1"/>
  <c r="IIO42" i="1"/>
  <c r="IIO43" i="1" s="1"/>
  <c r="IIN42" i="1"/>
  <c r="IIN43" i="1" s="1"/>
  <c r="IIM42" i="1"/>
  <c r="IIM43" i="1" s="1"/>
  <c r="IIL42" i="1"/>
  <c r="IIL43" i="1" s="1"/>
  <c r="IIK42" i="1"/>
  <c r="IIK43" i="1" s="1"/>
  <c r="IIJ42" i="1"/>
  <c r="IIJ43" i="1" s="1"/>
  <c r="III42" i="1"/>
  <c r="III43" i="1" s="1"/>
  <c r="IIH42" i="1"/>
  <c r="IIH43" i="1" s="1"/>
  <c r="IIG42" i="1"/>
  <c r="IIG43" i="1" s="1"/>
  <c r="IIF42" i="1"/>
  <c r="IIF43" i="1" s="1"/>
  <c r="IIE42" i="1"/>
  <c r="IIE43" i="1" s="1"/>
  <c r="IID42" i="1"/>
  <c r="IID43" i="1" s="1"/>
  <c r="IIC42" i="1"/>
  <c r="IIC43" i="1" s="1"/>
  <c r="IIB42" i="1"/>
  <c r="IIB43" i="1" s="1"/>
  <c r="IIA42" i="1"/>
  <c r="IIA43" i="1" s="1"/>
  <c r="IHZ42" i="1"/>
  <c r="IHZ43" i="1" s="1"/>
  <c r="IHY42" i="1"/>
  <c r="IHY43" i="1" s="1"/>
  <c r="IHX42" i="1"/>
  <c r="IHX43" i="1" s="1"/>
  <c r="IHW42" i="1"/>
  <c r="IHW43" i="1" s="1"/>
  <c r="IHV42" i="1"/>
  <c r="IHV43" i="1" s="1"/>
  <c r="IHU42" i="1"/>
  <c r="IHU43" i="1" s="1"/>
  <c r="IHT42" i="1"/>
  <c r="IHT43" i="1" s="1"/>
  <c r="IHS42" i="1"/>
  <c r="IHS43" i="1" s="1"/>
  <c r="IHR42" i="1"/>
  <c r="IHR43" i="1" s="1"/>
  <c r="IHQ42" i="1"/>
  <c r="IHQ43" i="1" s="1"/>
  <c r="IHP42" i="1"/>
  <c r="IHP43" i="1" s="1"/>
  <c r="IHO42" i="1"/>
  <c r="IHO43" i="1" s="1"/>
  <c r="IHN42" i="1"/>
  <c r="IHN43" i="1" s="1"/>
  <c r="IHM42" i="1"/>
  <c r="IHM43" i="1" s="1"/>
  <c r="IHL42" i="1"/>
  <c r="IHL43" i="1" s="1"/>
  <c r="IHK42" i="1"/>
  <c r="IHK43" i="1" s="1"/>
  <c r="IHJ42" i="1"/>
  <c r="IHJ43" i="1" s="1"/>
  <c r="IHI42" i="1"/>
  <c r="IHI43" i="1" s="1"/>
  <c r="IHH42" i="1"/>
  <c r="IHH43" i="1" s="1"/>
  <c r="IHG42" i="1"/>
  <c r="IHG43" i="1" s="1"/>
  <c r="IHF42" i="1"/>
  <c r="IHF43" i="1" s="1"/>
  <c r="IHE42" i="1"/>
  <c r="IHE43" i="1" s="1"/>
  <c r="IHD42" i="1"/>
  <c r="IHD43" i="1" s="1"/>
  <c r="IHC42" i="1"/>
  <c r="IHC43" i="1" s="1"/>
  <c r="IHB42" i="1"/>
  <c r="IHB43" i="1" s="1"/>
  <c r="IHA42" i="1"/>
  <c r="IHA43" i="1" s="1"/>
  <c r="IGZ42" i="1"/>
  <c r="IGZ43" i="1" s="1"/>
  <c r="IGY42" i="1"/>
  <c r="IGY43" i="1" s="1"/>
  <c r="IGX42" i="1"/>
  <c r="IGX43" i="1" s="1"/>
  <c r="IGW42" i="1"/>
  <c r="IGW43" i="1" s="1"/>
  <c r="IGV42" i="1"/>
  <c r="IGV43" i="1" s="1"/>
  <c r="IGU42" i="1"/>
  <c r="IGU43" i="1" s="1"/>
  <c r="IGT42" i="1"/>
  <c r="IGT43" i="1" s="1"/>
  <c r="IGS42" i="1"/>
  <c r="IGS43" i="1" s="1"/>
  <c r="IGR42" i="1"/>
  <c r="IGR43" i="1" s="1"/>
  <c r="IGQ42" i="1"/>
  <c r="IGQ43" i="1" s="1"/>
  <c r="IGP42" i="1"/>
  <c r="IGP43" i="1" s="1"/>
  <c r="IGO42" i="1"/>
  <c r="IGO43" i="1" s="1"/>
  <c r="IGN42" i="1"/>
  <c r="IGN43" i="1" s="1"/>
  <c r="IGM42" i="1"/>
  <c r="IGM43" i="1" s="1"/>
  <c r="IGL42" i="1"/>
  <c r="IGL43" i="1" s="1"/>
  <c r="IGK42" i="1"/>
  <c r="IGK43" i="1" s="1"/>
  <c r="IGJ42" i="1"/>
  <c r="IGJ43" i="1" s="1"/>
  <c r="IGI42" i="1"/>
  <c r="IGI43" i="1" s="1"/>
  <c r="IGH42" i="1"/>
  <c r="IGH43" i="1" s="1"/>
  <c r="IGG42" i="1"/>
  <c r="IGG43" i="1" s="1"/>
  <c r="IGF42" i="1"/>
  <c r="IGF43" i="1" s="1"/>
  <c r="IGE42" i="1"/>
  <c r="IGE43" i="1" s="1"/>
  <c r="IGD42" i="1"/>
  <c r="IGD43" i="1" s="1"/>
  <c r="IGC42" i="1"/>
  <c r="IGC43" i="1" s="1"/>
  <c r="IGB42" i="1"/>
  <c r="IGB43" i="1" s="1"/>
  <c r="IGA42" i="1"/>
  <c r="IGA43" i="1" s="1"/>
  <c r="IFZ42" i="1"/>
  <c r="IFZ43" i="1" s="1"/>
  <c r="IFY42" i="1"/>
  <c r="IFY43" i="1" s="1"/>
  <c r="IFX42" i="1"/>
  <c r="IFX43" i="1" s="1"/>
  <c r="IFW42" i="1"/>
  <c r="IFW43" i="1" s="1"/>
  <c r="IFV42" i="1"/>
  <c r="IFV43" i="1" s="1"/>
  <c r="IFU42" i="1"/>
  <c r="IFU43" i="1" s="1"/>
  <c r="IFT42" i="1"/>
  <c r="IFT43" i="1" s="1"/>
  <c r="IFS42" i="1"/>
  <c r="IFS43" i="1" s="1"/>
  <c r="IFR42" i="1"/>
  <c r="IFR43" i="1" s="1"/>
  <c r="IFQ42" i="1"/>
  <c r="IFQ43" i="1" s="1"/>
  <c r="IFP42" i="1"/>
  <c r="IFP43" i="1" s="1"/>
  <c r="IFO42" i="1"/>
  <c r="IFO43" i="1" s="1"/>
  <c r="IFN42" i="1"/>
  <c r="IFN43" i="1" s="1"/>
  <c r="IFM42" i="1"/>
  <c r="IFM43" i="1" s="1"/>
  <c r="IFL42" i="1"/>
  <c r="IFL43" i="1" s="1"/>
  <c r="IFK42" i="1"/>
  <c r="IFK43" i="1" s="1"/>
  <c r="IFJ42" i="1"/>
  <c r="IFJ43" i="1" s="1"/>
  <c r="IFI42" i="1"/>
  <c r="IFI43" i="1" s="1"/>
  <c r="IFH42" i="1"/>
  <c r="IFH43" i="1" s="1"/>
  <c r="IFG42" i="1"/>
  <c r="IFG43" i="1" s="1"/>
  <c r="IFF42" i="1"/>
  <c r="IFF43" i="1" s="1"/>
  <c r="IFE42" i="1"/>
  <c r="IFE43" i="1" s="1"/>
  <c r="IFD42" i="1"/>
  <c r="IFD43" i="1" s="1"/>
  <c r="IFC42" i="1"/>
  <c r="IFC43" i="1" s="1"/>
  <c r="IFB42" i="1"/>
  <c r="IFB43" i="1" s="1"/>
  <c r="IFA42" i="1"/>
  <c r="IFA43" i="1" s="1"/>
  <c r="IEZ42" i="1"/>
  <c r="IEZ43" i="1" s="1"/>
  <c r="IEY42" i="1"/>
  <c r="IEY43" i="1" s="1"/>
  <c r="IEX42" i="1"/>
  <c r="IEX43" i="1" s="1"/>
  <c r="IEW42" i="1"/>
  <c r="IEW43" i="1" s="1"/>
  <c r="IEV42" i="1"/>
  <c r="IEV43" i="1" s="1"/>
  <c r="IEU42" i="1"/>
  <c r="IEU43" i="1" s="1"/>
  <c r="IET42" i="1"/>
  <c r="IET43" i="1" s="1"/>
  <c r="IES42" i="1"/>
  <c r="IES43" i="1" s="1"/>
  <c r="IER42" i="1"/>
  <c r="IER43" i="1" s="1"/>
  <c r="IEQ42" i="1"/>
  <c r="IEQ43" i="1" s="1"/>
  <c r="IEP42" i="1"/>
  <c r="IEP43" i="1" s="1"/>
  <c r="IEO42" i="1"/>
  <c r="IEO43" i="1" s="1"/>
  <c r="IEN42" i="1"/>
  <c r="IEN43" i="1" s="1"/>
  <c r="IEM42" i="1"/>
  <c r="IEM43" i="1" s="1"/>
  <c r="IEL42" i="1"/>
  <c r="IEL43" i="1" s="1"/>
  <c r="IEK42" i="1"/>
  <c r="IEK43" i="1" s="1"/>
  <c r="IEJ42" i="1"/>
  <c r="IEJ43" i="1" s="1"/>
  <c r="IEI42" i="1"/>
  <c r="IEI43" i="1" s="1"/>
  <c r="IEH42" i="1"/>
  <c r="IEH43" i="1" s="1"/>
  <c r="IEG42" i="1"/>
  <c r="IEG43" i="1" s="1"/>
  <c r="IEF42" i="1"/>
  <c r="IEF43" i="1" s="1"/>
  <c r="IEE42" i="1"/>
  <c r="IEE43" i="1" s="1"/>
  <c r="IED42" i="1"/>
  <c r="IED43" i="1" s="1"/>
  <c r="IEC42" i="1"/>
  <c r="IEC43" i="1" s="1"/>
  <c r="IEB42" i="1"/>
  <c r="IEB43" i="1" s="1"/>
  <c r="IEA42" i="1"/>
  <c r="IEA43" i="1" s="1"/>
  <c r="IDZ42" i="1"/>
  <c r="IDZ43" i="1" s="1"/>
  <c r="IDY42" i="1"/>
  <c r="IDY43" i="1" s="1"/>
  <c r="IDX42" i="1"/>
  <c r="IDX43" i="1" s="1"/>
  <c r="IDW42" i="1"/>
  <c r="IDW43" i="1" s="1"/>
  <c r="IDV42" i="1"/>
  <c r="IDV43" i="1" s="1"/>
  <c r="IDU42" i="1"/>
  <c r="IDU43" i="1" s="1"/>
  <c r="IDT42" i="1"/>
  <c r="IDT43" i="1" s="1"/>
  <c r="IDS42" i="1"/>
  <c r="IDS43" i="1" s="1"/>
  <c r="IDR42" i="1"/>
  <c r="IDR43" i="1" s="1"/>
  <c r="IDQ42" i="1"/>
  <c r="IDQ43" i="1" s="1"/>
  <c r="IDP42" i="1"/>
  <c r="IDP43" i="1" s="1"/>
  <c r="IDO42" i="1"/>
  <c r="IDO43" i="1" s="1"/>
  <c r="IDN42" i="1"/>
  <c r="IDN43" i="1" s="1"/>
  <c r="IDM42" i="1"/>
  <c r="IDM43" i="1" s="1"/>
  <c r="IDL42" i="1"/>
  <c r="IDL43" i="1" s="1"/>
  <c r="IDK42" i="1"/>
  <c r="IDK43" i="1" s="1"/>
  <c r="IDJ42" i="1"/>
  <c r="IDJ43" i="1" s="1"/>
  <c r="IDI42" i="1"/>
  <c r="IDI43" i="1" s="1"/>
  <c r="IDH42" i="1"/>
  <c r="IDH43" i="1" s="1"/>
  <c r="IDG42" i="1"/>
  <c r="IDG43" i="1" s="1"/>
  <c r="IDF42" i="1"/>
  <c r="IDF43" i="1" s="1"/>
  <c r="IDE42" i="1"/>
  <c r="IDE43" i="1" s="1"/>
  <c r="IDD42" i="1"/>
  <c r="IDD43" i="1" s="1"/>
  <c r="IDC42" i="1"/>
  <c r="IDC43" i="1" s="1"/>
  <c r="IDB42" i="1"/>
  <c r="IDB43" i="1" s="1"/>
  <c r="IDA42" i="1"/>
  <c r="IDA43" i="1" s="1"/>
  <c r="ICZ42" i="1"/>
  <c r="ICZ43" i="1" s="1"/>
  <c r="ICY42" i="1"/>
  <c r="ICY43" i="1" s="1"/>
  <c r="ICX42" i="1"/>
  <c r="ICX43" i="1" s="1"/>
  <c r="ICW42" i="1"/>
  <c r="ICW43" i="1" s="1"/>
  <c r="ICV42" i="1"/>
  <c r="ICV43" i="1" s="1"/>
  <c r="ICU42" i="1"/>
  <c r="ICU43" i="1" s="1"/>
  <c r="ICT42" i="1"/>
  <c r="ICT43" i="1" s="1"/>
  <c r="ICS42" i="1"/>
  <c r="ICS43" i="1" s="1"/>
  <c r="ICR42" i="1"/>
  <c r="ICR43" i="1" s="1"/>
  <c r="ICQ42" i="1"/>
  <c r="ICQ43" i="1" s="1"/>
  <c r="ICP42" i="1"/>
  <c r="ICP43" i="1" s="1"/>
  <c r="ICO42" i="1"/>
  <c r="ICO43" i="1" s="1"/>
  <c r="ICN42" i="1"/>
  <c r="ICN43" i="1" s="1"/>
  <c r="ICM42" i="1"/>
  <c r="ICM43" i="1" s="1"/>
  <c r="ICL42" i="1"/>
  <c r="ICL43" i="1" s="1"/>
  <c r="ICK42" i="1"/>
  <c r="ICK43" i="1" s="1"/>
  <c r="ICJ42" i="1"/>
  <c r="ICJ43" i="1" s="1"/>
  <c r="ICI42" i="1"/>
  <c r="ICI43" i="1" s="1"/>
  <c r="ICH42" i="1"/>
  <c r="ICH43" i="1" s="1"/>
  <c r="ICG42" i="1"/>
  <c r="ICG43" i="1" s="1"/>
  <c r="ICF42" i="1"/>
  <c r="ICF43" i="1" s="1"/>
  <c r="ICE42" i="1"/>
  <c r="ICE43" i="1" s="1"/>
  <c r="ICD42" i="1"/>
  <c r="ICD43" i="1" s="1"/>
  <c r="ICC42" i="1"/>
  <c r="ICC43" i="1" s="1"/>
  <c r="ICB42" i="1"/>
  <c r="ICB43" i="1" s="1"/>
  <c r="ICA42" i="1"/>
  <c r="ICA43" i="1" s="1"/>
  <c r="IBZ42" i="1"/>
  <c r="IBZ43" i="1" s="1"/>
  <c r="IBY42" i="1"/>
  <c r="IBY43" i="1" s="1"/>
  <c r="IBX42" i="1"/>
  <c r="IBX43" i="1" s="1"/>
  <c r="IBW42" i="1"/>
  <c r="IBW43" i="1" s="1"/>
  <c r="IBV42" i="1"/>
  <c r="IBV43" i="1" s="1"/>
  <c r="IBU42" i="1"/>
  <c r="IBU43" i="1" s="1"/>
  <c r="IBT42" i="1"/>
  <c r="IBT43" i="1" s="1"/>
  <c r="IBS42" i="1"/>
  <c r="IBS43" i="1" s="1"/>
  <c r="IBR42" i="1"/>
  <c r="IBR43" i="1" s="1"/>
  <c r="IBQ42" i="1"/>
  <c r="IBQ43" i="1" s="1"/>
  <c r="IBP42" i="1"/>
  <c r="IBP43" i="1" s="1"/>
  <c r="IBO42" i="1"/>
  <c r="IBO43" i="1" s="1"/>
  <c r="IBN42" i="1"/>
  <c r="IBM42" i="1"/>
  <c r="IBM43" i="1" s="1"/>
  <c r="IBL42" i="1"/>
  <c r="IBL43" i="1" s="1"/>
  <c r="IBK42" i="1"/>
  <c r="IBK43" i="1" s="1"/>
  <c r="IBJ42" i="1"/>
  <c r="IBJ43" i="1" s="1"/>
  <c r="IBI42" i="1"/>
  <c r="IBI43" i="1" s="1"/>
  <c r="IBH42" i="1"/>
  <c r="IBH43" i="1" s="1"/>
  <c r="IBG42" i="1"/>
  <c r="IBG43" i="1" s="1"/>
  <c r="IBF42" i="1"/>
  <c r="IBF43" i="1" s="1"/>
  <c r="IBE42" i="1"/>
  <c r="IBE43" i="1" s="1"/>
  <c r="IBD42" i="1"/>
  <c r="IBD43" i="1" s="1"/>
  <c r="IBC42" i="1"/>
  <c r="IBC43" i="1" s="1"/>
  <c r="IBB42" i="1"/>
  <c r="IBB43" i="1" s="1"/>
  <c r="IBA42" i="1"/>
  <c r="IBA43" i="1" s="1"/>
  <c r="IAZ42" i="1"/>
  <c r="IAZ43" i="1" s="1"/>
  <c r="IAY42" i="1"/>
  <c r="IAY43" i="1" s="1"/>
  <c r="IAX42" i="1"/>
  <c r="IAX43" i="1" s="1"/>
  <c r="IAW42" i="1"/>
  <c r="IAW43" i="1" s="1"/>
  <c r="IAV42" i="1"/>
  <c r="IAV43" i="1" s="1"/>
  <c r="IAU42" i="1"/>
  <c r="IAU43" i="1" s="1"/>
  <c r="IAT42" i="1"/>
  <c r="IAT43" i="1" s="1"/>
  <c r="IAS42" i="1"/>
  <c r="IAS43" i="1" s="1"/>
  <c r="IAR42" i="1"/>
  <c r="IAR43" i="1" s="1"/>
  <c r="IAQ42" i="1"/>
  <c r="IAQ43" i="1" s="1"/>
  <c r="IAP42" i="1"/>
  <c r="IAP43" i="1" s="1"/>
  <c r="IAO42" i="1"/>
  <c r="IAO43" i="1" s="1"/>
  <c r="IAN42" i="1"/>
  <c r="IAN43" i="1" s="1"/>
  <c r="IAM42" i="1"/>
  <c r="IAM43" i="1" s="1"/>
  <c r="IAL42" i="1"/>
  <c r="IAL43" i="1" s="1"/>
  <c r="IAK42" i="1"/>
  <c r="IAK43" i="1" s="1"/>
  <c r="IAJ42" i="1"/>
  <c r="IAJ43" i="1" s="1"/>
  <c r="IAI42" i="1"/>
  <c r="IAI43" i="1" s="1"/>
  <c r="IAH42" i="1"/>
  <c r="IAH43" i="1" s="1"/>
  <c r="IAG42" i="1"/>
  <c r="IAG43" i="1" s="1"/>
  <c r="IAF42" i="1"/>
  <c r="IAF43" i="1" s="1"/>
  <c r="IAE42" i="1"/>
  <c r="IAE43" i="1" s="1"/>
  <c r="IAD42" i="1"/>
  <c r="IAD43" i="1" s="1"/>
  <c r="IAC42" i="1"/>
  <c r="IAC43" i="1" s="1"/>
  <c r="IAB42" i="1"/>
  <c r="IAB43" i="1" s="1"/>
  <c r="IAA42" i="1"/>
  <c r="IAA43" i="1" s="1"/>
  <c r="HZZ42" i="1"/>
  <c r="HZZ43" i="1" s="1"/>
  <c r="HZY42" i="1"/>
  <c r="HZY43" i="1" s="1"/>
  <c r="HZX42" i="1"/>
  <c r="HZX43" i="1" s="1"/>
  <c r="HZW42" i="1"/>
  <c r="HZW43" i="1" s="1"/>
  <c r="HZV42" i="1"/>
  <c r="HZV43" i="1" s="1"/>
  <c r="HZU42" i="1"/>
  <c r="HZU43" i="1" s="1"/>
  <c r="HZT42" i="1"/>
  <c r="HZT43" i="1" s="1"/>
  <c r="HZS42" i="1"/>
  <c r="HZS43" i="1" s="1"/>
  <c r="HZR42" i="1"/>
  <c r="HZR43" i="1" s="1"/>
  <c r="HZQ42" i="1"/>
  <c r="HZQ43" i="1" s="1"/>
  <c r="HZP42" i="1"/>
  <c r="HZP43" i="1" s="1"/>
  <c r="HZO42" i="1"/>
  <c r="HZO43" i="1" s="1"/>
  <c r="HZN42" i="1"/>
  <c r="HZN43" i="1" s="1"/>
  <c r="HZM42" i="1"/>
  <c r="HZM43" i="1" s="1"/>
  <c r="HZL42" i="1"/>
  <c r="HZL43" i="1" s="1"/>
  <c r="HZK42" i="1"/>
  <c r="HZK43" i="1" s="1"/>
  <c r="HZJ42" i="1"/>
  <c r="HZJ43" i="1" s="1"/>
  <c r="HZI42" i="1"/>
  <c r="HZI43" i="1" s="1"/>
  <c r="HZH42" i="1"/>
  <c r="HZH43" i="1" s="1"/>
  <c r="HZG42" i="1"/>
  <c r="HZG43" i="1" s="1"/>
  <c r="HZF42" i="1"/>
  <c r="HZF43" i="1" s="1"/>
  <c r="HZE42" i="1"/>
  <c r="HZE43" i="1" s="1"/>
  <c r="HZD42" i="1"/>
  <c r="HZD43" i="1" s="1"/>
  <c r="HZC42" i="1"/>
  <c r="HZC43" i="1" s="1"/>
  <c r="HZB42" i="1"/>
  <c r="HZB43" i="1" s="1"/>
  <c r="HZA42" i="1"/>
  <c r="HZA43" i="1" s="1"/>
  <c r="HYZ42" i="1"/>
  <c r="HYZ43" i="1" s="1"/>
  <c r="HYY42" i="1"/>
  <c r="HYY43" i="1" s="1"/>
  <c r="HYX42" i="1"/>
  <c r="HYX43" i="1" s="1"/>
  <c r="HYW42" i="1"/>
  <c r="HYW43" i="1" s="1"/>
  <c r="HYV42" i="1"/>
  <c r="HYV43" i="1" s="1"/>
  <c r="HYU42" i="1"/>
  <c r="HYU43" i="1" s="1"/>
  <c r="HYT42" i="1"/>
  <c r="HYT43" i="1" s="1"/>
  <c r="HYS42" i="1"/>
  <c r="HYS43" i="1" s="1"/>
  <c r="HYR42" i="1"/>
  <c r="HYR43" i="1" s="1"/>
  <c r="HYQ42" i="1"/>
  <c r="HYQ43" i="1" s="1"/>
  <c r="HYP42" i="1"/>
  <c r="HYP43" i="1" s="1"/>
  <c r="HYO42" i="1"/>
  <c r="HYO43" i="1" s="1"/>
  <c r="HYN42" i="1"/>
  <c r="HYN43" i="1" s="1"/>
  <c r="HYM42" i="1"/>
  <c r="HYM43" i="1" s="1"/>
  <c r="HYL42" i="1"/>
  <c r="HYL43" i="1" s="1"/>
  <c r="HYK42" i="1"/>
  <c r="HYK43" i="1" s="1"/>
  <c r="HYJ42" i="1"/>
  <c r="HYJ43" i="1" s="1"/>
  <c r="HYI42" i="1"/>
  <c r="HYI43" i="1" s="1"/>
  <c r="HYH42" i="1"/>
  <c r="HYH43" i="1" s="1"/>
  <c r="HYG42" i="1"/>
  <c r="HYG43" i="1" s="1"/>
  <c r="HYF42" i="1"/>
  <c r="HYF43" i="1" s="1"/>
  <c r="HYE42" i="1"/>
  <c r="HYE43" i="1" s="1"/>
  <c r="HYD42" i="1"/>
  <c r="HYD43" i="1" s="1"/>
  <c r="HYC42" i="1"/>
  <c r="HYC43" i="1" s="1"/>
  <c r="HYB42" i="1"/>
  <c r="HYB43" i="1" s="1"/>
  <c r="HYA42" i="1"/>
  <c r="HYA43" i="1" s="1"/>
  <c r="HXZ42" i="1"/>
  <c r="HXZ43" i="1" s="1"/>
  <c r="HXY42" i="1"/>
  <c r="HXY43" i="1" s="1"/>
  <c r="HXX42" i="1"/>
  <c r="HXX43" i="1" s="1"/>
  <c r="HXW42" i="1"/>
  <c r="HXW43" i="1" s="1"/>
  <c r="HXV42" i="1"/>
  <c r="HXV43" i="1" s="1"/>
  <c r="HXU42" i="1"/>
  <c r="HXU43" i="1" s="1"/>
  <c r="HXT42" i="1"/>
  <c r="HXT43" i="1" s="1"/>
  <c r="HXS42" i="1"/>
  <c r="HXS43" i="1" s="1"/>
  <c r="HXR42" i="1"/>
  <c r="HXR43" i="1" s="1"/>
  <c r="HXQ42" i="1"/>
  <c r="HXQ43" i="1" s="1"/>
  <c r="HXP42" i="1"/>
  <c r="HXP43" i="1" s="1"/>
  <c r="HXO42" i="1"/>
  <c r="HXO43" i="1" s="1"/>
  <c r="HXN42" i="1"/>
  <c r="HXN43" i="1" s="1"/>
  <c r="HXM42" i="1"/>
  <c r="HXM43" i="1" s="1"/>
  <c r="HXL42" i="1"/>
  <c r="HXL43" i="1" s="1"/>
  <c r="HXK42" i="1"/>
  <c r="HXK43" i="1" s="1"/>
  <c r="HXJ42" i="1"/>
  <c r="HXJ43" i="1" s="1"/>
  <c r="HXI42" i="1"/>
  <c r="HXI43" i="1" s="1"/>
  <c r="HXH42" i="1"/>
  <c r="HXH43" i="1" s="1"/>
  <c r="HXG42" i="1"/>
  <c r="HXG43" i="1" s="1"/>
  <c r="HXF42" i="1"/>
  <c r="HXF43" i="1" s="1"/>
  <c r="HXE42" i="1"/>
  <c r="HXE43" i="1" s="1"/>
  <c r="HXD42" i="1"/>
  <c r="HXD43" i="1" s="1"/>
  <c r="HXC42" i="1"/>
  <c r="HXC43" i="1" s="1"/>
  <c r="HXB42" i="1"/>
  <c r="HXB43" i="1" s="1"/>
  <c r="HXA42" i="1"/>
  <c r="HXA43" i="1" s="1"/>
  <c r="HWZ42" i="1"/>
  <c r="HWZ43" i="1" s="1"/>
  <c r="HWY42" i="1"/>
  <c r="HWY43" i="1" s="1"/>
  <c r="HWX42" i="1"/>
  <c r="HWX43" i="1" s="1"/>
  <c r="HWW42" i="1"/>
  <c r="HWW43" i="1" s="1"/>
  <c r="HWV42" i="1"/>
  <c r="HWV43" i="1" s="1"/>
  <c r="HWU42" i="1"/>
  <c r="HWU43" i="1" s="1"/>
  <c r="HWT42" i="1"/>
  <c r="HWT43" i="1" s="1"/>
  <c r="HWS42" i="1"/>
  <c r="HWS43" i="1" s="1"/>
  <c r="HWR42" i="1"/>
  <c r="HWR43" i="1" s="1"/>
  <c r="HWQ42" i="1"/>
  <c r="HWQ43" i="1" s="1"/>
  <c r="HWP42" i="1"/>
  <c r="HWP43" i="1" s="1"/>
  <c r="HWO42" i="1"/>
  <c r="HWO43" i="1" s="1"/>
  <c r="HWN42" i="1"/>
  <c r="HWN43" i="1" s="1"/>
  <c r="HWM42" i="1"/>
  <c r="HWM43" i="1" s="1"/>
  <c r="HWL42" i="1"/>
  <c r="HWL43" i="1" s="1"/>
  <c r="HWK42" i="1"/>
  <c r="HWK43" i="1" s="1"/>
  <c r="HWJ42" i="1"/>
  <c r="HWJ43" i="1" s="1"/>
  <c r="HWI42" i="1"/>
  <c r="HWI43" i="1" s="1"/>
  <c r="HWH42" i="1"/>
  <c r="HWH43" i="1" s="1"/>
  <c r="HWG42" i="1"/>
  <c r="HWG43" i="1" s="1"/>
  <c r="HWF42" i="1"/>
  <c r="HWF43" i="1" s="1"/>
  <c r="HWE42" i="1"/>
  <c r="HWE43" i="1" s="1"/>
  <c r="HWD42" i="1"/>
  <c r="HWD43" i="1" s="1"/>
  <c r="HWC42" i="1"/>
  <c r="HWC43" i="1" s="1"/>
  <c r="HWB42" i="1"/>
  <c r="HWB43" i="1" s="1"/>
  <c r="HWA42" i="1"/>
  <c r="HWA43" i="1" s="1"/>
  <c r="HVZ42" i="1"/>
  <c r="HVZ43" i="1" s="1"/>
  <c r="HVY42" i="1"/>
  <c r="HVY43" i="1" s="1"/>
  <c r="HVX42" i="1"/>
  <c r="HVX43" i="1" s="1"/>
  <c r="HVW42" i="1"/>
  <c r="HVW43" i="1" s="1"/>
  <c r="HVV42" i="1"/>
  <c r="HVV43" i="1" s="1"/>
  <c r="HVU42" i="1"/>
  <c r="HVU43" i="1" s="1"/>
  <c r="HVT42" i="1"/>
  <c r="HVT43" i="1" s="1"/>
  <c r="HVS42" i="1"/>
  <c r="HVS43" i="1" s="1"/>
  <c r="HVR42" i="1"/>
  <c r="HVR43" i="1" s="1"/>
  <c r="HVQ42" i="1"/>
  <c r="HVQ43" i="1" s="1"/>
  <c r="HVP42" i="1"/>
  <c r="HVP43" i="1" s="1"/>
  <c r="HVO42" i="1"/>
  <c r="HVO43" i="1" s="1"/>
  <c r="HVN42" i="1"/>
  <c r="HVN43" i="1" s="1"/>
  <c r="HVM42" i="1"/>
  <c r="HVM43" i="1" s="1"/>
  <c r="HVL42" i="1"/>
  <c r="HVL43" i="1" s="1"/>
  <c r="HVK42" i="1"/>
  <c r="HVK43" i="1" s="1"/>
  <c r="HVJ42" i="1"/>
  <c r="HVJ43" i="1" s="1"/>
  <c r="HVI42" i="1"/>
  <c r="HVI43" i="1" s="1"/>
  <c r="HVH42" i="1"/>
  <c r="HVH43" i="1" s="1"/>
  <c r="HVG42" i="1"/>
  <c r="HVG43" i="1" s="1"/>
  <c r="HVF42" i="1"/>
  <c r="HVF43" i="1" s="1"/>
  <c r="HVE42" i="1"/>
  <c r="HVE43" i="1" s="1"/>
  <c r="HVD42" i="1"/>
  <c r="HVD43" i="1" s="1"/>
  <c r="HVC42" i="1"/>
  <c r="HVC43" i="1" s="1"/>
  <c r="HVB42" i="1"/>
  <c r="HVB43" i="1" s="1"/>
  <c r="HVA42" i="1"/>
  <c r="HVA43" i="1" s="1"/>
  <c r="HUZ42" i="1"/>
  <c r="HUZ43" i="1" s="1"/>
  <c r="HUY42" i="1"/>
  <c r="HUY43" i="1" s="1"/>
  <c r="HUX42" i="1"/>
  <c r="HUX43" i="1" s="1"/>
  <c r="HUW42" i="1"/>
  <c r="HUW43" i="1" s="1"/>
  <c r="HUV42" i="1"/>
  <c r="HUV43" i="1" s="1"/>
  <c r="HUU42" i="1"/>
  <c r="HUU43" i="1" s="1"/>
  <c r="HUT42" i="1"/>
  <c r="HUT43" i="1" s="1"/>
  <c r="HUS42" i="1"/>
  <c r="HUS43" i="1" s="1"/>
  <c r="HUR42" i="1"/>
  <c r="HUR43" i="1" s="1"/>
  <c r="HUQ42" i="1"/>
  <c r="HUQ43" i="1" s="1"/>
  <c r="HUP42" i="1"/>
  <c r="HUP43" i="1" s="1"/>
  <c r="HUO42" i="1"/>
  <c r="HUO43" i="1" s="1"/>
  <c r="HUN42" i="1"/>
  <c r="HUN43" i="1" s="1"/>
  <c r="HUM42" i="1"/>
  <c r="HUM43" i="1" s="1"/>
  <c r="HUL42" i="1"/>
  <c r="HUL43" i="1" s="1"/>
  <c r="HUK42" i="1"/>
  <c r="HUK43" i="1" s="1"/>
  <c r="HUJ42" i="1"/>
  <c r="HUJ43" i="1" s="1"/>
  <c r="HUI42" i="1"/>
  <c r="HUI43" i="1" s="1"/>
  <c r="HUH42" i="1"/>
  <c r="HUH43" i="1" s="1"/>
  <c r="HUG42" i="1"/>
  <c r="HUG43" i="1" s="1"/>
  <c r="HUF42" i="1"/>
  <c r="HUF43" i="1" s="1"/>
  <c r="HUE42" i="1"/>
  <c r="HUE43" i="1" s="1"/>
  <c r="HUD42" i="1"/>
  <c r="HUD43" i="1" s="1"/>
  <c r="HUC42" i="1"/>
  <c r="HUC43" i="1" s="1"/>
  <c r="HUB42" i="1"/>
  <c r="HUB43" i="1" s="1"/>
  <c r="HUA42" i="1"/>
  <c r="HUA43" i="1" s="1"/>
  <c r="HTZ42" i="1"/>
  <c r="HTZ43" i="1" s="1"/>
  <c r="HTY42" i="1"/>
  <c r="HTY43" i="1" s="1"/>
  <c r="HTX42" i="1"/>
  <c r="HTX43" i="1" s="1"/>
  <c r="HTW42" i="1"/>
  <c r="HTW43" i="1" s="1"/>
  <c r="HTV42" i="1"/>
  <c r="HTV43" i="1" s="1"/>
  <c r="HTU42" i="1"/>
  <c r="HTU43" i="1" s="1"/>
  <c r="HTT42" i="1"/>
  <c r="HTT43" i="1" s="1"/>
  <c r="HTS42" i="1"/>
  <c r="HTS43" i="1" s="1"/>
  <c r="HTR42" i="1"/>
  <c r="HTR43" i="1" s="1"/>
  <c r="HTQ42" i="1"/>
  <c r="HTQ43" i="1" s="1"/>
  <c r="HTP42" i="1"/>
  <c r="HTP43" i="1" s="1"/>
  <c r="HTO42" i="1"/>
  <c r="HTO43" i="1" s="1"/>
  <c r="HTN42" i="1"/>
  <c r="HTN43" i="1" s="1"/>
  <c r="HTM42" i="1"/>
  <c r="HTM43" i="1" s="1"/>
  <c r="HTL42" i="1"/>
  <c r="HTL43" i="1" s="1"/>
  <c r="HTK42" i="1"/>
  <c r="HTK43" i="1" s="1"/>
  <c r="HTJ42" i="1"/>
  <c r="HTJ43" i="1" s="1"/>
  <c r="HTI42" i="1"/>
  <c r="HTI43" i="1" s="1"/>
  <c r="HTH42" i="1"/>
  <c r="HTH43" i="1" s="1"/>
  <c r="HTG42" i="1"/>
  <c r="HTG43" i="1" s="1"/>
  <c r="HTF42" i="1"/>
  <c r="HTF43" i="1" s="1"/>
  <c r="HTE42" i="1"/>
  <c r="HTE43" i="1" s="1"/>
  <c r="HTD42" i="1"/>
  <c r="HTD43" i="1" s="1"/>
  <c r="HTC42" i="1"/>
  <c r="HTC43" i="1" s="1"/>
  <c r="HTB42" i="1"/>
  <c r="HTB43" i="1" s="1"/>
  <c r="HTA42" i="1"/>
  <c r="HTA43" i="1" s="1"/>
  <c r="HSZ42" i="1"/>
  <c r="HSZ43" i="1" s="1"/>
  <c r="HSY42" i="1"/>
  <c r="HSY43" i="1" s="1"/>
  <c r="HSX42" i="1"/>
  <c r="HSX43" i="1" s="1"/>
  <c r="HSW42" i="1"/>
  <c r="HSW43" i="1" s="1"/>
  <c r="HSV42" i="1"/>
  <c r="HSV43" i="1" s="1"/>
  <c r="HSU42" i="1"/>
  <c r="HSU43" i="1" s="1"/>
  <c r="HST42" i="1"/>
  <c r="HST43" i="1" s="1"/>
  <c r="HSS42" i="1"/>
  <c r="HSS43" i="1" s="1"/>
  <c r="HSR42" i="1"/>
  <c r="HSR43" i="1" s="1"/>
  <c r="HSQ42" i="1"/>
  <c r="HSQ43" i="1" s="1"/>
  <c r="HSP42" i="1"/>
  <c r="HSP43" i="1" s="1"/>
  <c r="HSO42" i="1"/>
  <c r="HSO43" i="1" s="1"/>
  <c r="HSN42" i="1"/>
  <c r="HSN43" i="1" s="1"/>
  <c r="HSM42" i="1"/>
  <c r="HSM43" i="1" s="1"/>
  <c r="HSL42" i="1"/>
  <c r="HSL43" i="1" s="1"/>
  <c r="HSK42" i="1"/>
  <c r="HSK43" i="1" s="1"/>
  <c r="HSJ42" i="1"/>
  <c r="HSJ43" i="1" s="1"/>
  <c r="HSI42" i="1"/>
  <c r="HSI43" i="1" s="1"/>
  <c r="HSH42" i="1"/>
  <c r="HSH43" i="1" s="1"/>
  <c r="HSG42" i="1"/>
  <c r="HSG43" i="1" s="1"/>
  <c r="HSF42" i="1"/>
  <c r="HSF43" i="1" s="1"/>
  <c r="HSE42" i="1"/>
  <c r="HSE43" i="1" s="1"/>
  <c r="HSD42" i="1"/>
  <c r="HSD43" i="1" s="1"/>
  <c r="HSC42" i="1"/>
  <c r="HSC43" i="1" s="1"/>
  <c r="HSB42" i="1"/>
  <c r="HSB43" i="1" s="1"/>
  <c r="HSA42" i="1"/>
  <c r="HSA43" i="1" s="1"/>
  <c r="HRZ42" i="1"/>
  <c r="HRZ43" i="1" s="1"/>
  <c r="HRY42" i="1"/>
  <c r="HRY43" i="1" s="1"/>
  <c r="HRX42" i="1"/>
  <c r="HRX43" i="1" s="1"/>
  <c r="HRW42" i="1"/>
  <c r="HRW43" i="1" s="1"/>
  <c r="HRV42" i="1"/>
  <c r="HRV43" i="1" s="1"/>
  <c r="HRU42" i="1"/>
  <c r="HRU43" i="1" s="1"/>
  <c r="HRT42" i="1"/>
  <c r="HRT43" i="1" s="1"/>
  <c r="HRS42" i="1"/>
  <c r="HRS43" i="1" s="1"/>
  <c r="HRR42" i="1"/>
  <c r="HRR43" i="1" s="1"/>
  <c r="HRQ42" i="1"/>
  <c r="HRQ43" i="1" s="1"/>
  <c r="HRP42" i="1"/>
  <c r="HRP43" i="1" s="1"/>
  <c r="HRO42" i="1"/>
  <c r="HRO43" i="1" s="1"/>
  <c r="HRN42" i="1"/>
  <c r="HRN43" i="1" s="1"/>
  <c r="HRM42" i="1"/>
  <c r="HRM43" i="1" s="1"/>
  <c r="HRL42" i="1"/>
  <c r="HRL43" i="1" s="1"/>
  <c r="HRK42" i="1"/>
  <c r="HRK43" i="1" s="1"/>
  <c r="HRJ42" i="1"/>
  <c r="HRJ43" i="1" s="1"/>
  <c r="HRI42" i="1"/>
  <c r="HRI43" i="1" s="1"/>
  <c r="HRH42" i="1"/>
  <c r="HRH43" i="1" s="1"/>
  <c r="HRG42" i="1"/>
  <c r="HRG43" i="1" s="1"/>
  <c r="HRF42" i="1"/>
  <c r="HRF43" i="1" s="1"/>
  <c r="HRE42" i="1"/>
  <c r="HRE43" i="1" s="1"/>
  <c r="HRD42" i="1"/>
  <c r="HRD43" i="1" s="1"/>
  <c r="HRC42" i="1"/>
  <c r="HRC43" i="1" s="1"/>
  <c r="HRB42" i="1"/>
  <c r="HRB43" i="1" s="1"/>
  <c r="HRA42" i="1"/>
  <c r="HRA43" i="1" s="1"/>
  <c r="HQZ42" i="1"/>
  <c r="HQZ43" i="1" s="1"/>
  <c r="HQY42" i="1"/>
  <c r="HQY43" i="1" s="1"/>
  <c r="HQX42" i="1"/>
  <c r="HQX43" i="1" s="1"/>
  <c r="HQW42" i="1"/>
  <c r="HQW43" i="1" s="1"/>
  <c r="HQV42" i="1"/>
  <c r="HQV43" i="1" s="1"/>
  <c r="HQU42" i="1"/>
  <c r="HQU43" i="1" s="1"/>
  <c r="HQT42" i="1"/>
  <c r="HQT43" i="1" s="1"/>
  <c r="HQS42" i="1"/>
  <c r="HQS43" i="1" s="1"/>
  <c r="HQR42" i="1"/>
  <c r="HQR43" i="1" s="1"/>
  <c r="HQQ42" i="1"/>
  <c r="HQQ43" i="1" s="1"/>
  <c r="HQP42" i="1"/>
  <c r="HQP43" i="1" s="1"/>
  <c r="HQO42" i="1"/>
  <c r="HQO43" i="1" s="1"/>
  <c r="HQN42" i="1"/>
  <c r="HQN43" i="1" s="1"/>
  <c r="HQM42" i="1"/>
  <c r="HQM43" i="1" s="1"/>
  <c r="HQL42" i="1"/>
  <c r="HQL43" i="1" s="1"/>
  <c r="HQK42" i="1"/>
  <c r="HQK43" i="1" s="1"/>
  <c r="HQJ42" i="1"/>
  <c r="HQJ43" i="1" s="1"/>
  <c r="HQI42" i="1"/>
  <c r="HQI43" i="1" s="1"/>
  <c r="HQH42" i="1"/>
  <c r="HQH43" i="1" s="1"/>
  <c r="HQG42" i="1"/>
  <c r="HQG43" i="1" s="1"/>
  <c r="HQF42" i="1"/>
  <c r="HQF43" i="1" s="1"/>
  <c r="HQE42" i="1"/>
  <c r="HQE43" i="1" s="1"/>
  <c r="HQD42" i="1"/>
  <c r="HQD43" i="1" s="1"/>
  <c r="HQC42" i="1"/>
  <c r="HQC43" i="1" s="1"/>
  <c r="HQB42" i="1"/>
  <c r="HQB43" i="1" s="1"/>
  <c r="HQA42" i="1"/>
  <c r="HQA43" i="1" s="1"/>
  <c r="HPZ42" i="1"/>
  <c r="HPZ43" i="1" s="1"/>
  <c r="HPY42" i="1"/>
  <c r="HPY43" i="1" s="1"/>
  <c r="HPX42" i="1"/>
  <c r="HPX43" i="1" s="1"/>
  <c r="HPW42" i="1"/>
  <c r="HPW43" i="1" s="1"/>
  <c r="HPV42" i="1"/>
  <c r="HPV43" i="1" s="1"/>
  <c r="HPU42" i="1"/>
  <c r="HPU43" i="1" s="1"/>
  <c r="HPT42" i="1"/>
  <c r="HPT43" i="1" s="1"/>
  <c r="HPS42" i="1"/>
  <c r="HPS43" i="1" s="1"/>
  <c r="HPR42" i="1"/>
  <c r="HPR43" i="1" s="1"/>
  <c r="HPQ42" i="1"/>
  <c r="HPQ43" i="1" s="1"/>
  <c r="HPP42" i="1"/>
  <c r="HPP43" i="1" s="1"/>
  <c r="HPO42" i="1"/>
  <c r="HPO43" i="1" s="1"/>
  <c r="HPN42" i="1"/>
  <c r="HPN43" i="1" s="1"/>
  <c r="HPM42" i="1"/>
  <c r="HPM43" i="1" s="1"/>
  <c r="HPL42" i="1"/>
  <c r="HPL43" i="1" s="1"/>
  <c r="HPK42" i="1"/>
  <c r="HPK43" i="1" s="1"/>
  <c r="HPJ42" i="1"/>
  <c r="HPJ43" i="1" s="1"/>
  <c r="HPI42" i="1"/>
  <c r="HPI43" i="1" s="1"/>
  <c r="HPH42" i="1"/>
  <c r="HPH43" i="1" s="1"/>
  <c r="HPG42" i="1"/>
  <c r="HPG43" i="1" s="1"/>
  <c r="HPF42" i="1"/>
  <c r="HPF43" i="1" s="1"/>
  <c r="HPE42" i="1"/>
  <c r="HPE43" i="1" s="1"/>
  <c r="HPD42" i="1"/>
  <c r="HPD43" i="1" s="1"/>
  <c r="HPC42" i="1"/>
  <c r="HPC43" i="1" s="1"/>
  <c r="HPB42" i="1"/>
  <c r="HPB43" i="1" s="1"/>
  <c r="HPA42" i="1"/>
  <c r="HPA43" i="1" s="1"/>
  <c r="HOZ42" i="1"/>
  <c r="HOZ43" i="1" s="1"/>
  <c r="HOY42" i="1"/>
  <c r="HOY43" i="1" s="1"/>
  <c r="HOX42" i="1"/>
  <c r="HOX43" i="1" s="1"/>
  <c r="HOW42" i="1"/>
  <c r="HOW43" i="1" s="1"/>
  <c r="HOV42" i="1"/>
  <c r="HOV43" i="1" s="1"/>
  <c r="HOU42" i="1"/>
  <c r="HOU43" i="1" s="1"/>
  <c r="HOT42" i="1"/>
  <c r="HOT43" i="1" s="1"/>
  <c r="HOS42" i="1"/>
  <c r="HOS43" i="1" s="1"/>
  <c r="HOR42" i="1"/>
  <c r="HOR43" i="1" s="1"/>
  <c r="HOQ42" i="1"/>
  <c r="HOQ43" i="1" s="1"/>
  <c r="HOP42" i="1"/>
  <c r="HOP43" i="1" s="1"/>
  <c r="HOO42" i="1"/>
  <c r="HOO43" i="1" s="1"/>
  <c r="HON42" i="1"/>
  <c r="HON43" i="1" s="1"/>
  <c r="HOM42" i="1"/>
  <c r="HOM43" i="1" s="1"/>
  <c r="HOL42" i="1"/>
  <c r="HOL43" i="1" s="1"/>
  <c r="HOK42" i="1"/>
  <c r="HOK43" i="1" s="1"/>
  <c r="HOJ42" i="1"/>
  <c r="HOJ43" i="1" s="1"/>
  <c r="HOI42" i="1"/>
  <c r="HOI43" i="1" s="1"/>
  <c r="HOH42" i="1"/>
  <c r="HOH43" i="1" s="1"/>
  <c r="HOG42" i="1"/>
  <c r="HOG43" i="1" s="1"/>
  <c r="HOF42" i="1"/>
  <c r="HOF43" i="1" s="1"/>
  <c r="HOE42" i="1"/>
  <c r="HOE43" i="1" s="1"/>
  <c r="HOD42" i="1"/>
  <c r="HOD43" i="1" s="1"/>
  <c r="HOC42" i="1"/>
  <c r="HOC43" i="1" s="1"/>
  <c r="HOB42" i="1"/>
  <c r="HOB43" i="1" s="1"/>
  <c r="HOA42" i="1"/>
  <c r="HOA43" i="1" s="1"/>
  <c r="HNZ42" i="1"/>
  <c r="HNZ43" i="1" s="1"/>
  <c r="HNY42" i="1"/>
  <c r="HNY43" i="1" s="1"/>
  <c r="HNX42" i="1"/>
  <c r="HNX43" i="1" s="1"/>
  <c r="HNW42" i="1"/>
  <c r="HNW43" i="1" s="1"/>
  <c r="HNV42" i="1"/>
  <c r="HNV43" i="1" s="1"/>
  <c r="HNU42" i="1"/>
  <c r="HNU43" i="1" s="1"/>
  <c r="HNT42" i="1"/>
  <c r="HNT43" i="1" s="1"/>
  <c r="HNS42" i="1"/>
  <c r="HNS43" i="1" s="1"/>
  <c r="HNR42" i="1"/>
  <c r="HNR43" i="1" s="1"/>
  <c r="HNQ42" i="1"/>
  <c r="HNQ43" i="1" s="1"/>
  <c r="HNP42" i="1"/>
  <c r="HNP43" i="1" s="1"/>
  <c r="HNO42" i="1"/>
  <c r="HNO43" i="1" s="1"/>
  <c r="HNN42" i="1"/>
  <c r="HNN43" i="1" s="1"/>
  <c r="HNM42" i="1"/>
  <c r="HNM43" i="1" s="1"/>
  <c r="HNL42" i="1"/>
  <c r="HNL43" i="1" s="1"/>
  <c r="HNK42" i="1"/>
  <c r="HNK43" i="1" s="1"/>
  <c r="HNJ42" i="1"/>
  <c r="HNJ43" i="1" s="1"/>
  <c r="HNI42" i="1"/>
  <c r="HNI43" i="1" s="1"/>
  <c r="HNH42" i="1"/>
  <c r="HNH43" i="1" s="1"/>
  <c r="HNG42" i="1"/>
  <c r="HNG43" i="1" s="1"/>
  <c r="HNF42" i="1"/>
  <c r="HNF43" i="1" s="1"/>
  <c r="HNE42" i="1"/>
  <c r="HNE43" i="1" s="1"/>
  <c r="HND42" i="1"/>
  <c r="HND43" i="1" s="1"/>
  <c r="HNC42" i="1"/>
  <c r="HNC43" i="1" s="1"/>
  <c r="HNB42" i="1"/>
  <c r="HNB43" i="1" s="1"/>
  <c r="HNA42" i="1"/>
  <c r="HNA43" i="1" s="1"/>
  <c r="HMZ42" i="1"/>
  <c r="HMZ43" i="1" s="1"/>
  <c r="HMY42" i="1"/>
  <c r="HMY43" i="1" s="1"/>
  <c r="HMX42" i="1"/>
  <c r="HMX43" i="1" s="1"/>
  <c r="HMW42" i="1"/>
  <c r="HMW43" i="1" s="1"/>
  <c r="HMV42" i="1"/>
  <c r="HMV43" i="1" s="1"/>
  <c r="HMU42" i="1"/>
  <c r="HMU43" i="1" s="1"/>
  <c r="HMT42" i="1"/>
  <c r="HMT43" i="1" s="1"/>
  <c r="HMS42" i="1"/>
  <c r="HMS43" i="1" s="1"/>
  <c r="HMR42" i="1"/>
  <c r="HMR43" i="1" s="1"/>
  <c r="HMQ42" i="1"/>
  <c r="HMQ43" i="1" s="1"/>
  <c r="HMP42" i="1"/>
  <c r="HMP43" i="1" s="1"/>
  <c r="HMO42" i="1"/>
  <c r="HMO43" i="1" s="1"/>
  <c r="HMN42" i="1"/>
  <c r="HMN43" i="1" s="1"/>
  <c r="HMM42" i="1"/>
  <c r="HMM43" i="1" s="1"/>
  <c r="HML42" i="1"/>
  <c r="HML43" i="1" s="1"/>
  <c r="HMK42" i="1"/>
  <c r="HMK43" i="1" s="1"/>
  <c r="HMJ42" i="1"/>
  <c r="HMJ43" i="1" s="1"/>
  <c r="HMI42" i="1"/>
  <c r="HMI43" i="1" s="1"/>
  <c r="HMH42" i="1"/>
  <c r="HMH43" i="1" s="1"/>
  <c r="HMG42" i="1"/>
  <c r="HMG43" i="1" s="1"/>
  <c r="HMF42" i="1"/>
  <c r="HMF43" i="1" s="1"/>
  <c r="HME42" i="1"/>
  <c r="HME43" i="1" s="1"/>
  <c r="HMD42" i="1"/>
  <c r="HMD43" i="1" s="1"/>
  <c r="HMC42" i="1"/>
  <c r="HMC43" i="1" s="1"/>
  <c r="HMB42" i="1"/>
  <c r="HMB43" i="1" s="1"/>
  <c r="HMA42" i="1"/>
  <c r="HMA43" i="1" s="1"/>
  <c r="HLZ42" i="1"/>
  <c r="HLZ43" i="1" s="1"/>
  <c r="HLY42" i="1"/>
  <c r="HLY43" i="1" s="1"/>
  <c r="HLX42" i="1"/>
  <c r="HLX43" i="1" s="1"/>
  <c r="HLW42" i="1"/>
  <c r="HLW43" i="1" s="1"/>
  <c r="HLV42" i="1"/>
  <c r="HLV43" i="1" s="1"/>
  <c r="HLU42" i="1"/>
  <c r="HLU43" i="1" s="1"/>
  <c r="HLT42" i="1"/>
  <c r="HLT43" i="1" s="1"/>
  <c r="HLS42" i="1"/>
  <c r="HLS43" i="1" s="1"/>
  <c r="HLR42" i="1"/>
  <c r="HLR43" i="1" s="1"/>
  <c r="HLQ42" i="1"/>
  <c r="HLQ43" i="1" s="1"/>
  <c r="HLP42" i="1"/>
  <c r="HLP43" i="1" s="1"/>
  <c r="HLO42" i="1"/>
  <c r="HLO43" i="1" s="1"/>
  <c r="HLN42" i="1"/>
  <c r="HLN43" i="1" s="1"/>
  <c r="HLM42" i="1"/>
  <c r="HLM43" i="1" s="1"/>
  <c r="HLL42" i="1"/>
  <c r="HLL43" i="1" s="1"/>
  <c r="HLK42" i="1"/>
  <c r="HLK43" i="1" s="1"/>
  <c r="HLJ42" i="1"/>
  <c r="HLJ43" i="1" s="1"/>
  <c r="HLI42" i="1"/>
  <c r="HLI43" i="1" s="1"/>
  <c r="HLH42" i="1"/>
  <c r="HLH43" i="1" s="1"/>
  <c r="HLG42" i="1"/>
  <c r="HLG43" i="1" s="1"/>
  <c r="HLF42" i="1"/>
  <c r="HLF43" i="1" s="1"/>
  <c r="HLE42" i="1"/>
  <c r="HLE43" i="1" s="1"/>
  <c r="HLD42" i="1"/>
  <c r="HLD43" i="1" s="1"/>
  <c r="HLC42" i="1"/>
  <c r="HLC43" i="1" s="1"/>
  <c r="HLB42" i="1"/>
  <c r="HLB43" i="1" s="1"/>
  <c r="HLA42" i="1"/>
  <c r="HLA43" i="1" s="1"/>
  <c r="HKZ42" i="1"/>
  <c r="HKZ43" i="1" s="1"/>
  <c r="HKY42" i="1"/>
  <c r="HKY43" i="1" s="1"/>
  <c r="HKX42" i="1"/>
  <c r="HKX43" i="1" s="1"/>
  <c r="HKW42" i="1"/>
  <c r="HKW43" i="1" s="1"/>
  <c r="HKV42" i="1"/>
  <c r="HKV43" i="1" s="1"/>
  <c r="HKU42" i="1"/>
  <c r="HKU43" i="1" s="1"/>
  <c r="HKT42" i="1"/>
  <c r="HKT43" i="1" s="1"/>
  <c r="HKS42" i="1"/>
  <c r="HKS43" i="1" s="1"/>
  <c r="HKR42" i="1"/>
  <c r="HKR43" i="1" s="1"/>
  <c r="HKQ42" i="1"/>
  <c r="HKQ43" i="1" s="1"/>
  <c r="HKP42" i="1"/>
  <c r="HKP43" i="1" s="1"/>
  <c r="HKO42" i="1"/>
  <c r="HKO43" i="1" s="1"/>
  <c r="HKN42" i="1"/>
  <c r="HKN43" i="1" s="1"/>
  <c r="HKM42" i="1"/>
  <c r="HKM43" i="1" s="1"/>
  <c r="HKL42" i="1"/>
  <c r="HKL43" i="1" s="1"/>
  <c r="HKK42" i="1"/>
  <c r="HKK43" i="1" s="1"/>
  <c r="HKJ42" i="1"/>
  <c r="HKJ43" i="1" s="1"/>
  <c r="HKI42" i="1"/>
  <c r="HKI43" i="1" s="1"/>
  <c r="HKH42" i="1"/>
  <c r="HKH43" i="1" s="1"/>
  <c r="HKG42" i="1"/>
  <c r="HKG43" i="1" s="1"/>
  <c r="HKF42" i="1"/>
  <c r="HKF43" i="1" s="1"/>
  <c r="HKE42" i="1"/>
  <c r="HKE43" i="1" s="1"/>
  <c r="HKD42" i="1"/>
  <c r="HKD43" i="1" s="1"/>
  <c r="HKC42" i="1"/>
  <c r="HKC43" i="1" s="1"/>
  <c r="HKB42" i="1"/>
  <c r="HKB43" i="1" s="1"/>
  <c r="HKA42" i="1"/>
  <c r="HKA43" i="1" s="1"/>
  <c r="HJZ42" i="1"/>
  <c r="HJZ43" i="1" s="1"/>
  <c r="HJY42" i="1"/>
  <c r="HJY43" i="1" s="1"/>
  <c r="HJX42" i="1"/>
  <c r="HJX43" i="1" s="1"/>
  <c r="HJW42" i="1"/>
  <c r="HJW43" i="1" s="1"/>
  <c r="HJV42" i="1"/>
  <c r="HJV43" i="1" s="1"/>
  <c r="HJU42" i="1"/>
  <c r="HJU43" i="1" s="1"/>
  <c r="HJT42" i="1"/>
  <c r="HJT43" i="1" s="1"/>
  <c r="HJS42" i="1"/>
  <c r="HJS43" i="1" s="1"/>
  <c r="HJR42" i="1"/>
  <c r="HJR43" i="1" s="1"/>
  <c r="HJQ42" i="1"/>
  <c r="HJQ43" i="1" s="1"/>
  <c r="HJP42" i="1"/>
  <c r="HJP43" i="1" s="1"/>
  <c r="HJO42" i="1"/>
  <c r="HJO43" i="1" s="1"/>
  <c r="HJN42" i="1"/>
  <c r="HJN43" i="1" s="1"/>
  <c r="HJM42" i="1"/>
  <c r="HJM43" i="1" s="1"/>
  <c r="HJL42" i="1"/>
  <c r="HJL43" i="1" s="1"/>
  <c r="HJK42" i="1"/>
  <c r="HJK43" i="1" s="1"/>
  <c r="HJJ42" i="1"/>
  <c r="HJJ43" i="1" s="1"/>
  <c r="HJI42" i="1"/>
  <c r="HJI43" i="1" s="1"/>
  <c r="HJH42" i="1"/>
  <c r="HJH43" i="1" s="1"/>
  <c r="HJG42" i="1"/>
  <c r="HJG43" i="1" s="1"/>
  <c r="HJF42" i="1"/>
  <c r="HJF43" i="1" s="1"/>
  <c r="HJE42" i="1"/>
  <c r="HJE43" i="1" s="1"/>
  <c r="HJD42" i="1"/>
  <c r="HJD43" i="1" s="1"/>
  <c r="HJC42" i="1"/>
  <c r="HJC43" i="1" s="1"/>
  <c r="HJB42" i="1"/>
  <c r="HJB43" i="1" s="1"/>
  <c r="HJA42" i="1"/>
  <c r="HJA43" i="1" s="1"/>
  <c r="HIZ42" i="1"/>
  <c r="HIZ43" i="1" s="1"/>
  <c r="HIY42" i="1"/>
  <c r="HIY43" i="1" s="1"/>
  <c r="HIX42" i="1"/>
  <c r="HIX43" i="1" s="1"/>
  <c r="HIW42" i="1"/>
  <c r="HIW43" i="1" s="1"/>
  <c r="HIV42" i="1"/>
  <c r="HIV43" i="1" s="1"/>
  <c r="HIU42" i="1"/>
  <c r="HIU43" i="1" s="1"/>
  <c r="HIT42" i="1"/>
  <c r="HIT43" i="1" s="1"/>
  <c r="HIS42" i="1"/>
  <c r="HIS43" i="1" s="1"/>
  <c r="HIR42" i="1"/>
  <c r="HIR43" i="1" s="1"/>
  <c r="HIQ42" i="1"/>
  <c r="HIQ43" i="1" s="1"/>
  <c r="HIP42" i="1"/>
  <c r="HIP43" i="1" s="1"/>
  <c r="HIO42" i="1"/>
  <c r="HIO43" i="1" s="1"/>
  <c r="HIN42" i="1"/>
  <c r="HIN43" i="1" s="1"/>
  <c r="HIM42" i="1"/>
  <c r="HIM43" i="1" s="1"/>
  <c r="HIL42" i="1"/>
  <c r="HIL43" i="1" s="1"/>
  <c r="HIK42" i="1"/>
  <c r="HIK43" i="1" s="1"/>
  <c r="HIJ42" i="1"/>
  <c r="HIJ43" i="1" s="1"/>
  <c r="HII42" i="1"/>
  <c r="HII43" i="1" s="1"/>
  <c r="HIH42" i="1"/>
  <c r="HIH43" i="1" s="1"/>
  <c r="HIG42" i="1"/>
  <c r="HIG43" i="1" s="1"/>
  <c r="HIF42" i="1"/>
  <c r="HIF43" i="1" s="1"/>
  <c r="HIE42" i="1"/>
  <c r="HIE43" i="1" s="1"/>
  <c r="HID42" i="1"/>
  <c r="HID43" i="1" s="1"/>
  <c r="HIC42" i="1"/>
  <c r="HIC43" i="1" s="1"/>
  <c r="HIB42" i="1"/>
  <c r="HIB43" i="1" s="1"/>
  <c r="HIA42" i="1"/>
  <c r="HIA43" i="1" s="1"/>
  <c r="HHZ42" i="1"/>
  <c r="HHZ43" i="1" s="1"/>
  <c r="HHY42" i="1"/>
  <c r="HHY43" i="1" s="1"/>
  <c r="HHX42" i="1"/>
  <c r="HHX43" i="1" s="1"/>
  <c r="HHW42" i="1"/>
  <c r="HHW43" i="1" s="1"/>
  <c r="HHV42" i="1"/>
  <c r="HHV43" i="1" s="1"/>
  <c r="HHU42" i="1"/>
  <c r="HHU43" i="1" s="1"/>
  <c r="HHT42" i="1"/>
  <c r="HHT43" i="1" s="1"/>
  <c r="HHS42" i="1"/>
  <c r="HHS43" i="1" s="1"/>
  <c r="HHR42" i="1"/>
  <c r="HHR43" i="1" s="1"/>
  <c r="HHQ42" i="1"/>
  <c r="HHQ43" i="1" s="1"/>
  <c r="HHP42" i="1"/>
  <c r="HHP43" i="1" s="1"/>
  <c r="HHO42" i="1"/>
  <c r="HHO43" i="1" s="1"/>
  <c r="HHN42" i="1"/>
  <c r="HHN43" i="1" s="1"/>
  <c r="HHM42" i="1"/>
  <c r="HHM43" i="1" s="1"/>
  <c r="HHL42" i="1"/>
  <c r="HHL43" i="1" s="1"/>
  <c r="HHK42" i="1"/>
  <c r="HHK43" i="1" s="1"/>
  <c r="HHJ42" i="1"/>
  <c r="HHJ43" i="1" s="1"/>
  <c r="HHI42" i="1"/>
  <c r="HHI43" i="1" s="1"/>
  <c r="HHH42" i="1"/>
  <c r="HHH43" i="1" s="1"/>
  <c r="HHG42" i="1"/>
  <c r="HHG43" i="1" s="1"/>
  <c r="HHF42" i="1"/>
  <c r="HHF43" i="1" s="1"/>
  <c r="HHE42" i="1"/>
  <c r="HHE43" i="1" s="1"/>
  <c r="HHD42" i="1"/>
  <c r="HHD43" i="1" s="1"/>
  <c r="HHC42" i="1"/>
  <c r="HHC43" i="1" s="1"/>
  <c r="HHB42" i="1"/>
  <c r="HHB43" i="1" s="1"/>
  <c r="HHA42" i="1"/>
  <c r="HHA43" i="1" s="1"/>
  <c r="HGZ42" i="1"/>
  <c r="HGZ43" i="1" s="1"/>
  <c r="HGY42" i="1"/>
  <c r="HGY43" i="1" s="1"/>
  <c r="HGX42" i="1"/>
  <c r="HGX43" i="1" s="1"/>
  <c r="HGW42" i="1"/>
  <c r="HGW43" i="1" s="1"/>
  <c r="HGV42" i="1"/>
  <c r="HGV43" i="1" s="1"/>
  <c r="HGU42" i="1"/>
  <c r="HGU43" i="1" s="1"/>
  <c r="HGT42" i="1"/>
  <c r="HGT43" i="1" s="1"/>
  <c r="HGS42" i="1"/>
  <c r="HGS43" i="1" s="1"/>
  <c r="HGR42" i="1"/>
  <c r="HGR43" i="1" s="1"/>
  <c r="HGQ42" i="1"/>
  <c r="HGQ43" i="1" s="1"/>
  <c r="HGP42" i="1"/>
  <c r="HGP43" i="1" s="1"/>
  <c r="HGO42" i="1"/>
  <c r="HGO43" i="1" s="1"/>
  <c r="HGN42" i="1"/>
  <c r="HGN43" i="1" s="1"/>
  <c r="HGM42" i="1"/>
  <c r="HGM43" i="1" s="1"/>
  <c r="HGL42" i="1"/>
  <c r="HGL43" i="1" s="1"/>
  <c r="HGK42" i="1"/>
  <c r="HGK43" i="1" s="1"/>
  <c r="HGJ42" i="1"/>
  <c r="HGJ43" i="1" s="1"/>
  <c r="HGI42" i="1"/>
  <c r="HGI43" i="1" s="1"/>
  <c r="HGH42" i="1"/>
  <c r="HGH43" i="1" s="1"/>
  <c r="HGG42" i="1"/>
  <c r="HGG43" i="1" s="1"/>
  <c r="HGF42" i="1"/>
  <c r="HGF43" i="1" s="1"/>
  <c r="HGE42" i="1"/>
  <c r="HGE43" i="1" s="1"/>
  <c r="HGD42" i="1"/>
  <c r="HGD43" i="1" s="1"/>
  <c r="HGC42" i="1"/>
  <c r="HGC43" i="1" s="1"/>
  <c r="HGB42" i="1"/>
  <c r="HGB43" i="1" s="1"/>
  <c r="HGA42" i="1"/>
  <c r="HGA43" i="1" s="1"/>
  <c r="HFZ42" i="1"/>
  <c r="HFZ43" i="1" s="1"/>
  <c r="HFY42" i="1"/>
  <c r="HFY43" i="1" s="1"/>
  <c r="HFX42" i="1"/>
  <c r="HFX43" i="1" s="1"/>
  <c r="HFW42" i="1"/>
  <c r="HFW43" i="1" s="1"/>
  <c r="HFV42" i="1"/>
  <c r="HFV43" i="1" s="1"/>
  <c r="HFU42" i="1"/>
  <c r="HFU43" i="1" s="1"/>
  <c r="HFT42" i="1"/>
  <c r="HFT43" i="1" s="1"/>
  <c r="HFS42" i="1"/>
  <c r="HFS43" i="1" s="1"/>
  <c r="HFR42" i="1"/>
  <c r="HFR43" i="1" s="1"/>
  <c r="HFQ42" i="1"/>
  <c r="HFQ43" i="1" s="1"/>
  <c r="HFP42" i="1"/>
  <c r="HFP43" i="1" s="1"/>
  <c r="HFO42" i="1"/>
  <c r="HFO43" i="1" s="1"/>
  <c r="HFN42" i="1"/>
  <c r="HFN43" i="1" s="1"/>
  <c r="HFM42" i="1"/>
  <c r="HFM43" i="1" s="1"/>
  <c r="HFL42" i="1"/>
  <c r="HFL43" i="1" s="1"/>
  <c r="HFK42" i="1"/>
  <c r="HFK43" i="1" s="1"/>
  <c r="HFJ42" i="1"/>
  <c r="HFI42" i="1"/>
  <c r="HFI43" i="1" s="1"/>
  <c r="HFH42" i="1"/>
  <c r="HFH43" i="1" s="1"/>
  <c r="HFG42" i="1"/>
  <c r="HFG43" i="1" s="1"/>
  <c r="HFF42" i="1"/>
  <c r="HFF43" i="1" s="1"/>
  <c r="HFE42" i="1"/>
  <c r="HFE43" i="1" s="1"/>
  <c r="HFD42" i="1"/>
  <c r="HFD43" i="1" s="1"/>
  <c r="HFC42" i="1"/>
  <c r="HFC43" i="1" s="1"/>
  <c r="HFB42" i="1"/>
  <c r="HFB43" i="1" s="1"/>
  <c r="HFA42" i="1"/>
  <c r="HFA43" i="1" s="1"/>
  <c r="HEZ42" i="1"/>
  <c r="HEZ43" i="1" s="1"/>
  <c r="HEY42" i="1"/>
  <c r="HEY43" i="1" s="1"/>
  <c r="HEX42" i="1"/>
  <c r="HEX43" i="1" s="1"/>
  <c r="HEW42" i="1"/>
  <c r="HEW43" i="1" s="1"/>
  <c r="HEV42" i="1"/>
  <c r="HEV43" i="1" s="1"/>
  <c r="HEU42" i="1"/>
  <c r="HEU43" i="1" s="1"/>
  <c r="HET42" i="1"/>
  <c r="HET43" i="1" s="1"/>
  <c r="HES42" i="1"/>
  <c r="HES43" i="1" s="1"/>
  <c r="HER42" i="1"/>
  <c r="HER43" i="1" s="1"/>
  <c r="HEQ42" i="1"/>
  <c r="HEQ43" i="1" s="1"/>
  <c r="HEP42" i="1"/>
  <c r="HEP43" i="1" s="1"/>
  <c r="HEO42" i="1"/>
  <c r="HEO43" i="1" s="1"/>
  <c r="HEN42" i="1"/>
  <c r="HEN43" i="1" s="1"/>
  <c r="HEM42" i="1"/>
  <c r="HEM43" i="1" s="1"/>
  <c r="HEL42" i="1"/>
  <c r="HEL43" i="1" s="1"/>
  <c r="HEK42" i="1"/>
  <c r="HEK43" i="1" s="1"/>
  <c r="HEJ42" i="1"/>
  <c r="HEJ43" i="1" s="1"/>
  <c r="HEI42" i="1"/>
  <c r="HEI43" i="1" s="1"/>
  <c r="HEH42" i="1"/>
  <c r="HEH43" i="1" s="1"/>
  <c r="HEG42" i="1"/>
  <c r="HEG43" i="1" s="1"/>
  <c r="HEF42" i="1"/>
  <c r="HEF43" i="1" s="1"/>
  <c r="HEE42" i="1"/>
  <c r="HEE43" i="1" s="1"/>
  <c r="HED42" i="1"/>
  <c r="HED43" i="1" s="1"/>
  <c r="HEC42" i="1"/>
  <c r="HEC43" i="1" s="1"/>
  <c r="HEB42" i="1"/>
  <c r="HEB43" i="1" s="1"/>
  <c r="HEA42" i="1"/>
  <c r="HEA43" i="1" s="1"/>
  <c r="HDZ42" i="1"/>
  <c r="HDZ43" i="1" s="1"/>
  <c r="HDY42" i="1"/>
  <c r="HDY43" i="1" s="1"/>
  <c r="HDX42" i="1"/>
  <c r="HDX43" i="1" s="1"/>
  <c r="HDW42" i="1"/>
  <c r="HDW43" i="1" s="1"/>
  <c r="HDV42" i="1"/>
  <c r="HDV43" i="1" s="1"/>
  <c r="HDU42" i="1"/>
  <c r="HDU43" i="1" s="1"/>
  <c r="HDT42" i="1"/>
  <c r="HDT43" i="1" s="1"/>
  <c r="HDS42" i="1"/>
  <c r="HDS43" i="1" s="1"/>
  <c r="HDR42" i="1"/>
  <c r="HDR43" i="1" s="1"/>
  <c r="HDQ42" i="1"/>
  <c r="HDQ43" i="1" s="1"/>
  <c r="HDP42" i="1"/>
  <c r="HDP43" i="1" s="1"/>
  <c r="HDO42" i="1"/>
  <c r="HDO43" i="1" s="1"/>
  <c r="HDN42" i="1"/>
  <c r="HDN43" i="1" s="1"/>
  <c r="HDM42" i="1"/>
  <c r="HDM43" i="1" s="1"/>
  <c r="HDL42" i="1"/>
  <c r="HDL43" i="1" s="1"/>
  <c r="HDK42" i="1"/>
  <c r="HDK43" i="1" s="1"/>
  <c r="HDJ42" i="1"/>
  <c r="HDJ43" i="1" s="1"/>
  <c r="HDI42" i="1"/>
  <c r="HDI43" i="1" s="1"/>
  <c r="HDH42" i="1"/>
  <c r="HDH43" i="1" s="1"/>
  <c r="HDG42" i="1"/>
  <c r="HDG43" i="1" s="1"/>
  <c r="HDF42" i="1"/>
  <c r="HDF43" i="1" s="1"/>
  <c r="HDE42" i="1"/>
  <c r="HDE43" i="1" s="1"/>
  <c r="HDD42" i="1"/>
  <c r="HDD43" i="1" s="1"/>
  <c r="HDC42" i="1"/>
  <c r="HDC43" i="1" s="1"/>
  <c r="HDB42" i="1"/>
  <c r="HDB43" i="1" s="1"/>
  <c r="HDA42" i="1"/>
  <c r="HDA43" i="1" s="1"/>
  <c r="HCZ42" i="1"/>
  <c r="HCZ43" i="1" s="1"/>
  <c r="HCY42" i="1"/>
  <c r="HCY43" i="1" s="1"/>
  <c r="HCX42" i="1"/>
  <c r="HCX43" i="1" s="1"/>
  <c r="HCW42" i="1"/>
  <c r="HCW43" i="1" s="1"/>
  <c r="HCV42" i="1"/>
  <c r="HCV43" i="1" s="1"/>
  <c r="HCU42" i="1"/>
  <c r="HCU43" i="1" s="1"/>
  <c r="HCT42" i="1"/>
  <c r="HCT43" i="1" s="1"/>
  <c r="HCS42" i="1"/>
  <c r="HCS43" i="1" s="1"/>
  <c r="HCR42" i="1"/>
  <c r="HCR43" i="1" s="1"/>
  <c r="HCQ42" i="1"/>
  <c r="HCQ43" i="1" s="1"/>
  <c r="HCP42" i="1"/>
  <c r="HCP43" i="1" s="1"/>
  <c r="HCO42" i="1"/>
  <c r="HCO43" i="1" s="1"/>
  <c r="HCN42" i="1"/>
  <c r="HCN43" i="1" s="1"/>
  <c r="HCM42" i="1"/>
  <c r="HCM43" i="1" s="1"/>
  <c r="HCL42" i="1"/>
  <c r="HCL43" i="1" s="1"/>
  <c r="HCK42" i="1"/>
  <c r="HCK43" i="1" s="1"/>
  <c r="HCJ42" i="1"/>
  <c r="HCJ43" i="1" s="1"/>
  <c r="HCI42" i="1"/>
  <c r="HCI43" i="1" s="1"/>
  <c r="HCH42" i="1"/>
  <c r="HCH43" i="1" s="1"/>
  <c r="HCG42" i="1"/>
  <c r="HCG43" i="1" s="1"/>
  <c r="HCF42" i="1"/>
  <c r="HCF43" i="1" s="1"/>
  <c r="HCE42" i="1"/>
  <c r="HCE43" i="1" s="1"/>
  <c r="HCD42" i="1"/>
  <c r="HCD43" i="1" s="1"/>
  <c r="HCC42" i="1"/>
  <c r="HCC43" i="1" s="1"/>
  <c r="HCB42" i="1"/>
  <c r="HCB43" i="1" s="1"/>
  <c r="HCA42" i="1"/>
  <c r="HCA43" i="1" s="1"/>
  <c r="HBZ42" i="1"/>
  <c r="HBZ43" i="1" s="1"/>
  <c r="HBY42" i="1"/>
  <c r="HBY43" i="1" s="1"/>
  <c r="HBX42" i="1"/>
  <c r="HBX43" i="1" s="1"/>
  <c r="HBW42" i="1"/>
  <c r="HBW43" i="1" s="1"/>
  <c r="HBV42" i="1"/>
  <c r="HBV43" i="1" s="1"/>
  <c r="HBU42" i="1"/>
  <c r="HBU43" i="1" s="1"/>
  <c r="HBT42" i="1"/>
  <c r="HBT43" i="1" s="1"/>
  <c r="HBS42" i="1"/>
  <c r="HBS43" i="1" s="1"/>
  <c r="HBR42" i="1"/>
  <c r="HBR43" i="1" s="1"/>
  <c r="HBQ42" i="1"/>
  <c r="HBQ43" i="1" s="1"/>
  <c r="HBP42" i="1"/>
  <c r="HBP43" i="1" s="1"/>
  <c r="HBO42" i="1"/>
  <c r="HBO43" i="1" s="1"/>
  <c r="HBN42" i="1"/>
  <c r="HBN43" i="1" s="1"/>
  <c r="HBM42" i="1"/>
  <c r="HBM43" i="1" s="1"/>
  <c r="HBL42" i="1"/>
  <c r="HBL43" i="1" s="1"/>
  <c r="HBK42" i="1"/>
  <c r="HBK43" i="1" s="1"/>
  <c r="HBJ42" i="1"/>
  <c r="HBJ43" i="1" s="1"/>
  <c r="HBI42" i="1"/>
  <c r="HBI43" i="1" s="1"/>
  <c r="HBH42" i="1"/>
  <c r="HBH43" i="1" s="1"/>
  <c r="HBG42" i="1"/>
  <c r="HBG43" i="1" s="1"/>
  <c r="HBF42" i="1"/>
  <c r="HBF43" i="1" s="1"/>
  <c r="HBE42" i="1"/>
  <c r="HBE43" i="1" s="1"/>
  <c r="HBD42" i="1"/>
  <c r="HBD43" i="1" s="1"/>
  <c r="HBC42" i="1"/>
  <c r="HBC43" i="1" s="1"/>
  <c r="HBB42" i="1"/>
  <c r="HBB43" i="1" s="1"/>
  <c r="HBA42" i="1"/>
  <c r="HBA43" i="1" s="1"/>
  <c r="HAZ42" i="1"/>
  <c r="HAZ43" i="1" s="1"/>
  <c r="HAY42" i="1"/>
  <c r="HAY43" i="1" s="1"/>
  <c r="HAX42" i="1"/>
  <c r="HAX43" i="1" s="1"/>
  <c r="HAW42" i="1"/>
  <c r="HAW43" i="1" s="1"/>
  <c r="HAV42" i="1"/>
  <c r="HAV43" i="1" s="1"/>
  <c r="HAU42" i="1"/>
  <c r="HAU43" i="1" s="1"/>
  <c r="HAT42" i="1"/>
  <c r="HAT43" i="1" s="1"/>
  <c r="HAS42" i="1"/>
  <c r="HAS43" i="1" s="1"/>
  <c r="HAR42" i="1"/>
  <c r="HAR43" i="1" s="1"/>
  <c r="HAQ42" i="1"/>
  <c r="HAQ43" i="1" s="1"/>
  <c r="HAP42" i="1"/>
  <c r="HAP43" i="1" s="1"/>
  <c r="HAO42" i="1"/>
  <c r="HAO43" i="1" s="1"/>
  <c r="HAN42" i="1"/>
  <c r="HAN43" i="1" s="1"/>
  <c r="HAM42" i="1"/>
  <c r="HAM43" i="1" s="1"/>
  <c r="HAL42" i="1"/>
  <c r="HAL43" i="1" s="1"/>
  <c r="HAK42" i="1"/>
  <c r="HAK43" i="1" s="1"/>
  <c r="HAJ42" i="1"/>
  <c r="HAJ43" i="1" s="1"/>
  <c r="HAI42" i="1"/>
  <c r="HAI43" i="1" s="1"/>
  <c r="HAH42" i="1"/>
  <c r="HAH43" i="1" s="1"/>
  <c r="HAG42" i="1"/>
  <c r="HAG43" i="1" s="1"/>
  <c r="HAF42" i="1"/>
  <c r="HAF43" i="1" s="1"/>
  <c r="HAE42" i="1"/>
  <c r="HAE43" i="1" s="1"/>
  <c r="HAD42" i="1"/>
  <c r="HAD43" i="1" s="1"/>
  <c r="HAC42" i="1"/>
  <c r="HAC43" i="1" s="1"/>
  <c r="HAB42" i="1"/>
  <c r="HAB43" i="1" s="1"/>
  <c r="HAA42" i="1"/>
  <c r="HAA43" i="1" s="1"/>
  <c r="GZZ42" i="1"/>
  <c r="GZZ43" i="1" s="1"/>
  <c r="GZY42" i="1"/>
  <c r="GZY43" i="1" s="1"/>
  <c r="GZX42" i="1"/>
  <c r="GZX43" i="1" s="1"/>
  <c r="GZW42" i="1"/>
  <c r="GZW43" i="1" s="1"/>
  <c r="GZV42" i="1"/>
  <c r="GZV43" i="1" s="1"/>
  <c r="GZU42" i="1"/>
  <c r="GZU43" i="1" s="1"/>
  <c r="GZT42" i="1"/>
  <c r="GZT43" i="1" s="1"/>
  <c r="GZS42" i="1"/>
  <c r="GZS43" i="1" s="1"/>
  <c r="GZR42" i="1"/>
  <c r="GZR43" i="1" s="1"/>
  <c r="GZQ42" i="1"/>
  <c r="GZQ43" i="1" s="1"/>
  <c r="GZP42" i="1"/>
  <c r="GZP43" i="1" s="1"/>
  <c r="GZO42" i="1"/>
  <c r="GZO43" i="1" s="1"/>
  <c r="GZN42" i="1"/>
  <c r="GZN43" i="1" s="1"/>
  <c r="GZM42" i="1"/>
  <c r="GZM43" i="1" s="1"/>
  <c r="GZL42" i="1"/>
  <c r="GZL43" i="1" s="1"/>
  <c r="GZK42" i="1"/>
  <c r="GZK43" i="1" s="1"/>
  <c r="GZJ42" i="1"/>
  <c r="GZJ43" i="1" s="1"/>
  <c r="GZI42" i="1"/>
  <c r="GZI43" i="1" s="1"/>
  <c r="GZH42" i="1"/>
  <c r="GZH43" i="1" s="1"/>
  <c r="GZG42" i="1"/>
  <c r="GZG43" i="1" s="1"/>
  <c r="GZF42" i="1"/>
  <c r="GZF43" i="1" s="1"/>
  <c r="GZE42" i="1"/>
  <c r="GZE43" i="1" s="1"/>
  <c r="GZD42" i="1"/>
  <c r="GZD43" i="1" s="1"/>
  <c r="GZC42" i="1"/>
  <c r="GZC43" i="1" s="1"/>
  <c r="GZB42" i="1"/>
  <c r="GZB43" i="1" s="1"/>
  <c r="GZA42" i="1"/>
  <c r="GZA43" i="1" s="1"/>
  <c r="GYZ42" i="1"/>
  <c r="GYZ43" i="1" s="1"/>
  <c r="GYY42" i="1"/>
  <c r="GYY43" i="1" s="1"/>
  <c r="GYX42" i="1"/>
  <c r="GYX43" i="1" s="1"/>
  <c r="GYW42" i="1"/>
  <c r="GYW43" i="1" s="1"/>
  <c r="GYV42" i="1"/>
  <c r="GYV43" i="1" s="1"/>
  <c r="GYU42" i="1"/>
  <c r="GYU43" i="1" s="1"/>
  <c r="GYT42" i="1"/>
  <c r="GYT43" i="1" s="1"/>
  <c r="GYS42" i="1"/>
  <c r="GYS43" i="1" s="1"/>
  <c r="GYR42" i="1"/>
  <c r="GYR43" i="1" s="1"/>
  <c r="GYQ42" i="1"/>
  <c r="GYQ43" i="1" s="1"/>
  <c r="GYP42" i="1"/>
  <c r="GYP43" i="1" s="1"/>
  <c r="GYO42" i="1"/>
  <c r="GYO43" i="1" s="1"/>
  <c r="GYN42" i="1"/>
  <c r="GYN43" i="1" s="1"/>
  <c r="GYM42" i="1"/>
  <c r="GYM43" i="1" s="1"/>
  <c r="GYL42" i="1"/>
  <c r="GYL43" i="1" s="1"/>
  <c r="GYK42" i="1"/>
  <c r="GYK43" i="1" s="1"/>
  <c r="GYJ42" i="1"/>
  <c r="GYJ43" i="1" s="1"/>
  <c r="GYI42" i="1"/>
  <c r="GYI43" i="1" s="1"/>
  <c r="GYH42" i="1"/>
  <c r="GYH43" i="1" s="1"/>
  <c r="GYG42" i="1"/>
  <c r="GYG43" i="1" s="1"/>
  <c r="GYF42" i="1"/>
  <c r="GYF43" i="1" s="1"/>
  <c r="GYE42" i="1"/>
  <c r="GYE43" i="1" s="1"/>
  <c r="GYD42" i="1"/>
  <c r="GYD43" i="1" s="1"/>
  <c r="GYC42" i="1"/>
  <c r="GYC43" i="1" s="1"/>
  <c r="GYB42" i="1"/>
  <c r="GYB43" i="1" s="1"/>
  <c r="GYA42" i="1"/>
  <c r="GYA43" i="1" s="1"/>
  <c r="GXZ42" i="1"/>
  <c r="GXZ43" i="1" s="1"/>
  <c r="GXY42" i="1"/>
  <c r="GXY43" i="1" s="1"/>
  <c r="GXX42" i="1"/>
  <c r="GXX43" i="1" s="1"/>
  <c r="GXW42" i="1"/>
  <c r="GXW43" i="1" s="1"/>
  <c r="GXV42" i="1"/>
  <c r="GXV43" i="1" s="1"/>
  <c r="GXU42" i="1"/>
  <c r="GXU43" i="1" s="1"/>
  <c r="GXT42" i="1"/>
  <c r="GXT43" i="1" s="1"/>
  <c r="GXS42" i="1"/>
  <c r="GXS43" i="1" s="1"/>
  <c r="GXR42" i="1"/>
  <c r="GXR43" i="1" s="1"/>
  <c r="GXQ42" i="1"/>
  <c r="GXQ43" i="1" s="1"/>
  <c r="GXP42" i="1"/>
  <c r="GXP43" i="1" s="1"/>
  <c r="GXO42" i="1"/>
  <c r="GXO43" i="1" s="1"/>
  <c r="GXN42" i="1"/>
  <c r="GXN43" i="1" s="1"/>
  <c r="GXM42" i="1"/>
  <c r="GXM43" i="1" s="1"/>
  <c r="GXL42" i="1"/>
  <c r="GXL43" i="1" s="1"/>
  <c r="GXK42" i="1"/>
  <c r="GXK43" i="1" s="1"/>
  <c r="GXJ42" i="1"/>
  <c r="GXJ43" i="1" s="1"/>
  <c r="GXI42" i="1"/>
  <c r="GXI43" i="1" s="1"/>
  <c r="GXH42" i="1"/>
  <c r="GXH43" i="1" s="1"/>
  <c r="GXG42" i="1"/>
  <c r="GXG43" i="1" s="1"/>
  <c r="GXF42" i="1"/>
  <c r="GXF43" i="1" s="1"/>
  <c r="GXE42" i="1"/>
  <c r="GXE43" i="1" s="1"/>
  <c r="GXD42" i="1"/>
  <c r="GXD43" i="1" s="1"/>
  <c r="GXC42" i="1"/>
  <c r="GXC43" i="1" s="1"/>
  <c r="GXB42" i="1"/>
  <c r="GXB43" i="1" s="1"/>
  <c r="GXA42" i="1"/>
  <c r="GXA43" i="1" s="1"/>
  <c r="GWZ42" i="1"/>
  <c r="GWZ43" i="1" s="1"/>
  <c r="GWY42" i="1"/>
  <c r="GWY43" i="1" s="1"/>
  <c r="GWX42" i="1"/>
  <c r="GWX43" i="1" s="1"/>
  <c r="GWW42" i="1"/>
  <c r="GWW43" i="1" s="1"/>
  <c r="GWV42" i="1"/>
  <c r="GWV43" i="1" s="1"/>
  <c r="GWU42" i="1"/>
  <c r="GWU43" i="1" s="1"/>
  <c r="GWT42" i="1"/>
  <c r="GWT43" i="1" s="1"/>
  <c r="GWS42" i="1"/>
  <c r="GWS43" i="1" s="1"/>
  <c r="GWR42" i="1"/>
  <c r="GWR43" i="1" s="1"/>
  <c r="GWQ42" i="1"/>
  <c r="GWQ43" i="1" s="1"/>
  <c r="GWP42" i="1"/>
  <c r="GWP43" i="1" s="1"/>
  <c r="GWO42" i="1"/>
  <c r="GWO43" i="1" s="1"/>
  <c r="GWN42" i="1"/>
  <c r="GWN43" i="1" s="1"/>
  <c r="GWM42" i="1"/>
  <c r="GWM43" i="1" s="1"/>
  <c r="GWL42" i="1"/>
  <c r="GWL43" i="1" s="1"/>
  <c r="GWK42" i="1"/>
  <c r="GWK43" i="1" s="1"/>
  <c r="GWJ42" i="1"/>
  <c r="GWJ43" i="1" s="1"/>
  <c r="GWI42" i="1"/>
  <c r="GWI43" i="1" s="1"/>
  <c r="GWH42" i="1"/>
  <c r="GWH43" i="1" s="1"/>
  <c r="GWG42" i="1"/>
  <c r="GWG43" i="1" s="1"/>
  <c r="GWF42" i="1"/>
  <c r="GWF43" i="1" s="1"/>
  <c r="GWE42" i="1"/>
  <c r="GWE43" i="1" s="1"/>
  <c r="GWD42" i="1"/>
  <c r="GWD43" i="1" s="1"/>
  <c r="GWC42" i="1"/>
  <c r="GWC43" i="1" s="1"/>
  <c r="GWB42" i="1"/>
  <c r="GWB43" i="1" s="1"/>
  <c r="GWA42" i="1"/>
  <c r="GWA43" i="1" s="1"/>
  <c r="GVZ42" i="1"/>
  <c r="GVZ43" i="1" s="1"/>
  <c r="GVY42" i="1"/>
  <c r="GVY43" i="1" s="1"/>
  <c r="GVX42" i="1"/>
  <c r="GVX43" i="1" s="1"/>
  <c r="GVW42" i="1"/>
  <c r="GVW43" i="1" s="1"/>
  <c r="GVV42" i="1"/>
  <c r="GVV43" i="1" s="1"/>
  <c r="GVU42" i="1"/>
  <c r="GVU43" i="1" s="1"/>
  <c r="GVT42" i="1"/>
  <c r="GVT43" i="1" s="1"/>
  <c r="GVS42" i="1"/>
  <c r="GVS43" i="1" s="1"/>
  <c r="GVR42" i="1"/>
  <c r="GVR43" i="1" s="1"/>
  <c r="GVQ42" i="1"/>
  <c r="GVQ43" i="1" s="1"/>
  <c r="GVP42" i="1"/>
  <c r="GVP43" i="1" s="1"/>
  <c r="GVO42" i="1"/>
  <c r="GVO43" i="1" s="1"/>
  <c r="GVN42" i="1"/>
  <c r="GVN43" i="1" s="1"/>
  <c r="GVM42" i="1"/>
  <c r="GVM43" i="1" s="1"/>
  <c r="GVL42" i="1"/>
  <c r="GVL43" i="1" s="1"/>
  <c r="GVK42" i="1"/>
  <c r="GVK43" i="1" s="1"/>
  <c r="GVJ42" i="1"/>
  <c r="GVJ43" i="1" s="1"/>
  <c r="GVI42" i="1"/>
  <c r="GVI43" i="1" s="1"/>
  <c r="GVH42" i="1"/>
  <c r="GVH43" i="1" s="1"/>
  <c r="GVG42" i="1"/>
  <c r="GVG43" i="1" s="1"/>
  <c r="GVF42" i="1"/>
  <c r="GVF43" i="1" s="1"/>
  <c r="GVE42" i="1"/>
  <c r="GVE43" i="1" s="1"/>
  <c r="GVD42" i="1"/>
  <c r="GVD43" i="1" s="1"/>
  <c r="GVC42" i="1"/>
  <c r="GVC43" i="1" s="1"/>
  <c r="GVB42" i="1"/>
  <c r="GVB43" i="1" s="1"/>
  <c r="GVA42" i="1"/>
  <c r="GVA43" i="1" s="1"/>
  <c r="GUZ42" i="1"/>
  <c r="GUZ43" i="1" s="1"/>
  <c r="GUY42" i="1"/>
  <c r="GUY43" i="1" s="1"/>
  <c r="GUX42" i="1"/>
  <c r="GUX43" i="1" s="1"/>
  <c r="GUW42" i="1"/>
  <c r="GUW43" i="1" s="1"/>
  <c r="GUV42" i="1"/>
  <c r="GUV43" i="1" s="1"/>
  <c r="GUU42" i="1"/>
  <c r="GUU43" i="1" s="1"/>
  <c r="GUT42" i="1"/>
  <c r="GUT43" i="1" s="1"/>
  <c r="GUS42" i="1"/>
  <c r="GUS43" i="1" s="1"/>
  <c r="GUR42" i="1"/>
  <c r="GUR43" i="1" s="1"/>
  <c r="GUQ42" i="1"/>
  <c r="GUQ43" i="1" s="1"/>
  <c r="GUP42" i="1"/>
  <c r="GUP43" i="1" s="1"/>
  <c r="GUO42" i="1"/>
  <c r="GUO43" i="1" s="1"/>
  <c r="GUN42" i="1"/>
  <c r="GUN43" i="1" s="1"/>
  <c r="GUM42" i="1"/>
  <c r="GUM43" i="1" s="1"/>
  <c r="GUL42" i="1"/>
  <c r="GUL43" i="1" s="1"/>
  <c r="GUK42" i="1"/>
  <c r="GUK43" i="1" s="1"/>
  <c r="GUJ42" i="1"/>
  <c r="GUJ43" i="1" s="1"/>
  <c r="GUI42" i="1"/>
  <c r="GUI43" i="1" s="1"/>
  <c r="GUH42" i="1"/>
  <c r="GUH43" i="1" s="1"/>
  <c r="GUG42" i="1"/>
  <c r="GUG43" i="1" s="1"/>
  <c r="GUF42" i="1"/>
  <c r="GUF43" i="1" s="1"/>
  <c r="GUE42" i="1"/>
  <c r="GUE43" i="1" s="1"/>
  <c r="GUD42" i="1"/>
  <c r="GUD43" i="1" s="1"/>
  <c r="GUC42" i="1"/>
  <c r="GUC43" i="1" s="1"/>
  <c r="GUB42" i="1"/>
  <c r="GUB43" i="1" s="1"/>
  <c r="GUA42" i="1"/>
  <c r="GUA43" i="1" s="1"/>
  <c r="GTZ42" i="1"/>
  <c r="GTZ43" i="1" s="1"/>
  <c r="GTY42" i="1"/>
  <c r="GTY43" i="1" s="1"/>
  <c r="GTX42" i="1"/>
  <c r="GTX43" i="1" s="1"/>
  <c r="GTW42" i="1"/>
  <c r="GTW43" i="1" s="1"/>
  <c r="GTV42" i="1"/>
  <c r="GTV43" i="1" s="1"/>
  <c r="GTU42" i="1"/>
  <c r="GTU43" i="1" s="1"/>
  <c r="GTT42" i="1"/>
  <c r="GTT43" i="1" s="1"/>
  <c r="GTS42" i="1"/>
  <c r="GTS43" i="1" s="1"/>
  <c r="GTR42" i="1"/>
  <c r="GTR43" i="1" s="1"/>
  <c r="GTQ42" i="1"/>
  <c r="GTQ43" i="1" s="1"/>
  <c r="GTP42" i="1"/>
  <c r="GTP43" i="1" s="1"/>
  <c r="GTO42" i="1"/>
  <c r="GTO43" i="1" s="1"/>
  <c r="GTN42" i="1"/>
  <c r="GTN43" i="1" s="1"/>
  <c r="GTM42" i="1"/>
  <c r="GTM43" i="1" s="1"/>
  <c r="GTL42" i="1"/>
  <c r="GTL43" i="1" s="1"/>
  <c r="GTK42" i="1"/>
  <c r="GTK43" i="1" s="1"/>
  <c r="GTJ42" i="1"/>
  <c r="GTJ43" i="1" s="1"/>
  <c r="GTI42" i="1"/>
  <c r="GTI43" i="1" s="1"/>
  <c r="GTH42" i="1"/>
  <c r="GTH43" i="1" s="1"/>
  <c r="GTG42" i="1"/>
  <c r="GTG43" i="1" s="1"/>
  <c r="GTF42" i="1"/>
  <c r="GTF43" i="1" s="1"/>
  <c r="GTE42" i="1"/>
  <c r="GTE43" i="1" s="1"/>
  <c r="GTD42" i="1"/>
  <c r="GTD43" i="1" s="1"/>
  <c r="GTC42" i="1"/>
  <c r="GTC43" i="1" s="1"/>
  <c r="GTB42" i="1"/>
  <c r="GTB43" i="1" s="1"/>
  <c r="GTA42" i="1"/>
  <c r="GTA43" i="1" s="1"/>
  <c r="GSZ42" i="1"/>
  <c r="GSZ43" i="1" s="1"/>
  <c r="GSY42" i="1"/>
  <c r="GSY43" i="1" s="1"/>
  <c r="GSX42" i="1"/>
  <c r="GSX43" i="1" s="1"/>
  <c r="GSW42" i="1"/>
  <c r="GSW43" i="1" s="1"/>
  <c r="GSV42" i="1"/>
  <c r="GSV43" i="1" s="1"/>
  <c r="GSU42" i="1"/>
  <c r="GSU43" i="1" s="1"/>
  <c r="GST42" i="1"/>
  <c r="GST43" i="1" s="1"/>
  <c r="GSS42" i="1"/>
  <c r="GSS43" i="1" s="1"/>
  <c r="GSR42" i="1"/>
  <c r="GSR43" i="1" s="1"/>
  <c r="GSQ42" i="1"/>
  <c r="GSQ43" i="1" s="1"/>
  <c r="GSP42" i="1"/>
  <c r="GSP43" i="1" s="1"/>
  <c r="GSO42" i="1"/>
  <c r="GSO43" i="1" s="1"/>
  <c r="GSN42" i="1"/>
  <c r="GSN43" i="1" s="1"/>
  <c r="GSM42" i="1"/>
  <c r="GSM43" i="1" s="1"/>
  <c r="GSL42" i="1"/>
  <c r="GSL43" i="1" s="1"/>
  <c r="GSK42" i="1"/>
  <c r="GSK43" i="1" s="1"/>
  <c r="GSJ42" i="1"/>
  <c r="GSJ43" i="1" s="1"/>
  <c r="GSI42" i="1"/>
  <c r="GSI43" i="1" s="1"/>
  <c r="GSH42" i="1"/>
  <c r="GSH43" i="1" s="1"/>
  <c r="GSG42" i="1"/>
  <c r="GSG43" i="1" s="1"/>
  <c r="GSF42" i="1"/>
  <c r="GSF43" i="1" s="1"/>
  <c r="GSE42" i="1"/>
  <c r="GSE43" i="1" s="1"/>
  <c r="GSD42" i="1"/>
  <c r="GSD43" i="1" s="1"/>
  <c r="GSC42" i="1"/>
  <c r="GSC43" i="1" s="1"/>
  <c r="GSB42" i="1"/>
  <c r="GSB43" i="1" s="1"/>
  <c r="GSA42" i="1"/>
  <c r="GSA43" i="1" s="1"/>
  <c r="GRZ42" i="1"/>
  <c r="GRZ43" i="1" s="1"/>
  <c r="GRY42" i="1"/>
  <c r="GRY43" i="1" s="1"/>
  <c r="GRX42" i="1"/>
  <c r="GRX43" i="1" s="1"/>
  <c r="GRW42" i="1"/>
  <c r="GRW43" i="1" s="1"/>
  <c r="GRV42" i="1"/>
  <c r="GRV43" i="1" s="1"/>
  <c r="GRU42" i="1"/>
  <c r="GRU43" i="1" s="1"/>
  <c r="GRT42" i="1"/>
  <c r="GRT43" i="1" s="1"/>
  <c r="GRS42" i="1"/>
  <c r="GRS43" i="1" s="1"/>
  <c r="GRR42" i="1"/>
  <c r="GRR43" i="1" s="1"/>
  <c r="GRQ42" i="1"/>
  <c r="GRQ43" i="1" s="1"/>
  <c r="GRP42" i="1"/>
  <c r="GRP43" i="1" s="1"/>
  <c r="GRO42" i="1"/>
  <c r="GRO43" i="1" s="1"/>
  <c r="GRN42" i="1"/>
  <c r="GRN43" i="1" s="1"/>
  <c r="GRM42" i="1"/>
  <c r="GRM43" i="1" s="1"/>
  <c r="GRL42" i="1"/>
  <c r="GRL43" i="1" s="1"/>
  <c r="GRK42" i="1"/>
  <c r="GRK43" i="1" s="1"/>
  <c r="GRJ42" i="1"/>
  <c r="GRJ43" i="1" s="1"/>
  <c r="GRI42" i="1"/>
  <c r="GRI43" i="1" s="1"/>
  <c r="GRH42" i="1"/>
  <c r="GRH43" i="1" s="1"/>
  <c r="GRG42" i="1"/>
  <c r="GRG43" i="1" s="1"/>
  <c r="GRF42" i="1"/>
  <c r="GRF43" i="1" s="1"/>
  <c r="GRE42" i="1"/>
  <c r="GRE43" i="1" s="1"/>
  <c r="GRD42" i="1"/>
  <c r="GRD43" i="1" s="1"/>
  <c r="GRC42" i="1"/>
  <c r="GRC43" i="1" s="1"/>
  <c r="GRB42" i="1"/>
  <c r="GRB43" i="1" s="1"/>
  <c r="GRA42" i="1"/>
  <c r="GRA43" i="1" s="1"/>
  <c r="GQZ42" i="1"/>
  <c r="GQZ43" i="1" s="1"/>
  <c r="GQY42" i="1"/>
  <c r="GQY43" i="1" s="1"/>
  <c r="GQX42" i="1"/>
  <c r="GQX43" i="1" s="1"/>
  <c r="GQW42" i="1"/>
  <c r="GQW43" i="1" s="1"/>
  <c r="GQV42" i="1"/>
  <c r="GQV43" i="1" s="1"/>
  <c r="GQU42" i="1"/>
  <c r="GQU43" i="1" s="1"/>
  <c r="GQT42" i="1"/>
  <c r="GQT43" i="1" s="1"/>
  <c r="GQS42" i="1"/>
  <c r="GQS43" i="1" s="1"/>
  <c r="GQR42" i="1"/>
  <c r="GQR43" i="1" s="1"/>
  <c r="GQQ42" i="1"/>
  <c r="GQQ43" i="1" s="1"/>
  <c r="GQP42" i="1"/>
  <c r="GQP43" i="1" s="1"/>
  <c r="GQO42" i="1"/>
  <c r="GQO43" i="1" s="1"/>
  <c r="GQN42" i="1"/>
  <c r="GQN43" i="1" s="1"/>
  <c r="GQM42" i="1"/>
  <c r="GQM43" i="1" s="1"/>
  <c r="GQL42" i="1"/>
  <c r="GQL43" i="1" s="1"/>
  <c r="GQK42" i="1"/>
  <c r="GQK43" i="1" s="1"/>
  <c r="GQJ42" i="1"/>
  <c r="GQJ43" i="1" s="1"/>
  <c r="GQI42" i="1"/>
  <c r="GQI43" i="1" s="1"/>
  <c r="GQH42" i="1"/>
  <c r="GQH43" i="1" s="1"/>
  <c r="GQG42" i="1"/>
  <c r="GQG43" i="1" s="1"/>
  <c r="GQF42" i="1"/>
  <c r="GQF43" i="1" s="1"/>
  <c r="GQE42" i="1"/>
  <c r="GQE43" i="1" s="1"/>
  <c r="GQD42" i="1"/>
  <c r="GQD43" i="1" s="1"/>
  <c r="GQC42" i="1"/>
  <c r="GQC43" i="1" s="1"/>
  <c r="GQB42" i="1"/>
  <c r="GQB43" i="1" s="1"/>
  <c r="GQA42" i="1"/>
  <c r="GQA43" i="1" s="1"/>
  <c r="GPZ42" i="1"/>
  <c r="GPZ43" i="1" s="1"/>
  <c r="GPY42" i="1"/>
  <c r="GPY43" i="1" s="1"/>
  <c r="GPX42" i="1"/>
  <c r="GPX43" i="1" s="1"/>
  <c r="GPW42" i="1"/>
  <c r="GPW43" i="1" s="1"/>
  <c r="GPV42" i="1"/>
  <c r="GPV43" i="1" s="1"/>
  <c r="GPU42" i="1"/>
  <c r="GPU43" i="1" s="1"/>
  <c r="GPT42" i="1"/>
  <c r="GPT43" i="1" s="1"/>
  <c r="GPS42" i="1"/>
  <c r="GPS43" i="1" s="1"/>
  <c r="GPR42" i="1"/>
  <c r="GPR43" i="1" s="1"/>
  <c r="GPQ42" i="1"/>
  <c r="GPQ43" i="1" s="1"/>
  <c r="GPP42" i="1"/>
  <c r="GPP43" i="1" s="1"/>
  <c r="GPO42" i="1"/>
  <c r="GPO43" i="1" s="1"/>
  <c r="GPN42" i="1"/>
  <c r="GPN43" i="1" s="1"/>
  <c r="GPM42" i="1"/>
  <c r="GPM43" i="1" s="1"/>
  <c r="GPL42" i="1"/>
  <c r="GPL43" i="1" s="1"/>
  <c r="GPK42" i="1"/>
  <c r="GPK43" i="1" s="1"/>
  <c r="GPJ42" i="1"/>
  <c r="GPJ43" i="1" s="1"/>
  <c r="GPI42" i="1"/>
  <c r="GPI43" i="1" s="1"/>
  <c r="GPH42" i="1"/>
  <c r="GPH43" i="1" s="1"/>
  <c r="GPG42" i="1"/>
  <c r="GPG43" i="1" s="1"/>
  <c r="GPF42" i="1"/>
  <c r="GPF43" i="1" s="1"/>
  <c r="GPE42" i="1"/>
  <c r="GPE43" i="1" s="1"/>
  <c r="GPD42" i="1"/>
  <c r="GPD43" i="1" s="1"/>
  <c r="GPC42" i="1"/>
  <c r="GPC43" i="1" s="1"/>
  <c r="GPB42" i="1"/>
  <c r="GPB43" i="1" s="1"/>
  <c r="GPA42" i="1"/>
  <c r="GPA43" i="1" s="1"/>
  <c r="GOZ42" i="1"/>
  <c r="GOZ43" i="1" s="1"/>
  <c r="GOY42" i="1"/>
  <c r="GOY43" i="1" s="1"/>
  <c r="GOX42" i="1"/>
  <c r="GOX43" i="1" s="1"/>
  <c r="GOW42" i="1"/>
  <c r="GOW43" i="1" s="1"/>
  <c r="GOV42" i="1"/>
  <c r="GOV43" i="1" s="1"/>
  <c r="GOU42" i="1"/>
  <c r="GOU43" i="1" s="1"/>
  <c r="GOT42" i="1"/>
  <c r="GOT43" i="1" s="1"/>
  <c r="GOS42" i="1"/>
  <c r="GOS43" i="1" s="1"/>
  <c r="GOR42" i="1"/>
  <c r="GOR43" i="1" s="1"/>
  <c r="GOQ42" i="1"/>
  <c r="GOQ43" i="1" s="1"/>
  <c r="GOP42" i="1"/>
  <c r="GOP43" i="1" s="1"/>
  <c r="GOO42" i="1"/>
  <c r="GOO43" i="1" s="1"/>
  <c r="GON42" i="1"/>
  <c r="GON43" i="1" s="1"/>
  <c r="GOM42" i="1"/>
  <c r="GOM43" i="1" s="1"/>
  <c r="GOL42" i="1"/>
  <c r="GOL43" i="1" s="1"/>
  <c r="GOK42" i="1"/>
  <c r="GOK43" i="1" s="1"/>
  <c r="GOJ42" i="1"/>
  <c r="GOJ43" i="1" s="1"/>
  <c r="GOI42" i="1"/>
  <c r="GOI43" i="1" s="1"/>
  <c r="GOH42" i="1"/>
  <c r="GOH43" i="1" s="1"/>
  <c r="GOG42" i="1"/>
  <c r="GOF42" i="1"/>
  <c r="GOF43" i="1" s="1"/>
  <c r="GOE42" i="1"/>
  <c r="GOE43" i="1" s="1"/>
  <c r="GOD42" i="1"/>
  <c r="GOD43" i="1" s="1"/>
  <c r="GOC42" i="1"/>
  <c r="GOC43" i="1" s="1"/>
  <c r="GOB42" i="1"/>
  <c r="GOB43" i="1" s="1"/>
  <c r="GOA42" i="1"/>
  <c r="GOA43" i="1" s="1"/>
  <c r="GNZ42" i="1"/>
  <c r="GNZ43" i="1" s="1"/>
  <c r="GNY42" i="1"/>
  <c r="GNY43" i="1" s="1"/>
  <c r="GNX42" i="1"/>
  <c r="GNX43" i="1" s="1"/>
  <c r="GNW42" i="1"/>
  <c r="GNW43" i="1" s="1"/>
  <c r="GNV42" i="1"/>
  <c r="GNV43" i="1" s="1"/>
  <c r="GNU42" i="1"/>
  <c r="GNU43" i="1" s="1"/>
  <c r="GNT42" i="1"/>
  <c r="GNT43" i="1" s="1"/>
  <c r="GNS42" i="1"/>
  <c r="GNS43" i="1" s="1"/>
  <c r="GNR42" i="1"/>
  <c r="GNQ42" i="1"/>
  <c r="GNQ43" i="1" s="1"/>
  <c r="GNP42" i="1"/>
  <c r="GNP43" i="1" s="1"/>
  <c r="GNO42" i="1"/>
  <c r="GNO43" i="1" s="1"/>
  <c r="GNN42" i="1"/>
  <c r="GNN43" i="1" s="1"/>
  <c r="GNM42" i="1"/>
  <c r="GNM43" i="1" s="1"/>
  <c r="GNL42" i="1"/>
  <c r="GNL43" i="1" s="1"/>
  <c r="GNK42" i="1"/>
  <c r="GNK43" i="1" s="1"/>
  <c r="GNJ42" i="1"/>
  <c r="GNJ43" i="1" s="1"/>
  <c r="GNI42" i="1"/>
  <c r="GNI43" i="1" s="1"/>
  <c r="GNH42" i="1"/>
  <c r="GNH43" i="1" s="1"/>
  <c r="GNG42" i="1"/>
  <c r="GNG43" i="1" s="1"/>
  <c r="GNF42" i="1"/>
  <c r="GNF43" i="1" s="1"/>
  <c r="GNE42" i="1"/>
  <c r="GNE43" i="1" s="1"/>
  <c r="GND42" i="1"/>
  <c r="GND43" i="1" s="1"/>
  <c r="GNC42" i="1"/>
  <c r="GNC43" i="1" s="1"/>
  <c r="GNB42" i="1"/>
  <c r="GNB43" i="1" s="1"/>
  <c r="GNA42" i="1"/>
  <c r="GNA43" i="1" s="1"/>
  <c r="GMZ42" i="1"/>
  <c r="GMZ43" i="1" s="1"/>
  <c r="GMY42" i="1"/>
  <c r="GMY43" i="1" s="1"/>
  <c r="GMX42" i="1"/>
  <c r="GMX43" i="1" s="1"/>
  <c r="GMW42" i="1"/>
  <c r="GMW43" i="1" s="1"/>
  <c r="GMV42" i="1"/>
  <c r="GMV43" i="1" s="1"/>
  <c r="GMU42" i="1"/>
  <c r="GMU43" i="1" s="1"/>
  <c r="GMT42" i="1"/>
  <c r="GMT43" i="1" s="1"/>
  <c r="GMS42" i="1"/>
  <c r="GMS43" i="1" s="1"/>
  <c r="GMR42" i="1"/>
  <c r="GMR43" i="1" s="1"/>
  <c r="GMQ42" i="1"/>
  <c r="GMQ43" i="1" s="1"/>
  <c r="GMP42" i="1"/>
  <c r="GMP43" i="1" s="1"/>
  <c r="GMO42" i="1"/>
  <c r="GMO43" i="1" s="1"/>
  <c r="GMN42" i="1"/>
  <c r="GMN43" i="1" s="1"/>
  <c r="GMM42" i="1"/>
  <c r="GMM43" i="1" s="1"/>
  <c r="GML42" i="1"/>
  <c r="GML43" i="1" s="1"/>
  <c r="GMK42" i="1"/>
  <c r="GMK43" i="1" s="1"/>
  <c r="GMJ42" i="1"/>
  <c r="GMJ43" i="1" s="1"/>
  <c r="GMI42" i="1"/>
  <c r="GMI43" i="1" s="1"/>
  <c r="GMH42" i="1"/>
  <c r="GMH43" i="1" s="1"/>
  <c r="GMG42" i="1"/>
  <c r="GMG43" i="1" s="1"/>
  <c r="GMF42" i="1"/>
  <c r="GMF43" i="1" s="1"/>
  <c r="GME42" i="1"/>
  <c r="GME43" i="1" s="1"/>
  <c r="GMD42" i="1"/>
  <c r="GMD43" i="1" s="1"/>
  <c r="GMC42" i="1"/>
  <c r="GMC43" i="1" s="1"/>
  <c r="GMB42" i="1"/>
  <c r="GMB43" i="1" s="1"/>
  <c r="GMA42" i="1"/>
  <c r="GMA43" i="1" s="1"/>
  <c r="GLZ42" i="1"/>
  <c r="GLZ43" i="1" s="1"/>
  <c r="GLY42" i="1"/>
  <c r="GLY43" i="1" s="1"/>
  <c r="GLX42" i="1"/>
  <c r="GLX43" i="1" s="1"/>
  <c r="GLW42" i="1"/>
  <c r="GLW43" i="1" s="1"/>
  <c r="GLV42" i="1"/>
  <c r="GLV43" i="1" s="1"/>
  <c r="GLU42" i="1"/>
  <c r="GLU43" i="1" s="1"/>
  <c r="GLT42" i="1"/>
  <c r="GLT43" i="1" s="1"/>
  <c r="GLS42" i="1"/>
  <c r="GLS43" i="1" s="1"/>
  <c r="GLR42" i="1"/>
  <c r="GLR43" i="1" s="1"/>
  <c r="GLQ42" i="1"/>
  <c r="GLQ43" i="1" s="1"/>
  <c r="GLP42" i="1"/>
  <c r="GLP43" i="1" s="1"/>
  <c r="GLO42" i="1"/>
  <c r="GLO43" i="1" s="1"/>
  <c r="GLN42" i="1"/>
  <c r="GLN43" i="1" s="1"/>
  <c r="GLM42" i="1"/>
  <c r="GLM43" i="1" s="1"/>
  <c r="GLL42" i="1"/>
  <c r="GLL43" i="1" s="1"/>
  <c r="GLK42" i="1"/>
  <c r="GLK43" i="1" s="1"/>
  <c r="GLJ42" i="1"/>
  <c r="GLJ43" i="1" s="1"/>
  <c r="GLI42" i="1"/>
  <c r="GLI43" i="1" s="1"/>
  <c r="GLH42" i="1"/>
  <c r="GLH43" i="1" s="1"/>
  <c r="GLG42" i="1"/>
  <c r="GLG43" i="1" s="1"/>
  <c r="GLF42" i="1"/>
  <c r="GLF43" i="1" s="1"/>
  <c r="GLE42" i="1"/>
  <c r="GLE43" i="1" s="1"/>
  <c r="GLD42" i="1"/>
  <c r="GLD43" i="1" s="1"/>
  <c r="GLC42" i="1"/>
  <c r="GLC43" i="1" s="1"/>
  <c r="GLB42" i="1"/>
  <c r="GLB43" i="1" s="1"/>
  <c r="GLA42" i="1"/>
  <c r="GLA43" i="1" s="1"/>
  <c r="GKZ42" i="1"/>
  <c r="GKZ43" i="1" s="1"/>
  <c r="GKY42" i="1"/>
  <c r="GKY43" i="1" s="1"/>
  <c r="GKX42" i="1"/>
  <c r="GKX43" i="1" s="1"/>
  <c r="GKW42" i="1"/>
  <c r="GKW43" i="1" s="1"/>
  <c r="GKV42" i="1"/>
  <c r="GKV43" i="1" s="1"/>
  <c r="GKU42" i="1"/>
  <c r="GKU43" i="1" s="1"/>
  <c r="GKT42" i="1"/>
  <c r="GKT43" i="1" s="1"/>
  <c r="GKS42" i="1"/>
  <c r="GKS43" i="1" s="1"/>
  <c r="GKR42" i="1"/>
  <c r="GKR43" i="1" s="1"/>
  <c r="GKQ42" i="1"/>
  <c r="GKQ43" i="1" s="1"/>
  <c r="GKP42" i="1"/>
  <c r="GKP43" i="1" s="1"/>
  <c r="GKO42" i="1"/>
  <c r="GKO43" i="1" s="1"/>
  <c r="GKN42" i="1"/>
  <c r="GKN43" i="1" s="1"/>
  <c r="GKM42" i="1"/>
  <c r="GKM43" i="1" s="1"/>
  <c r="GKL42" i="1"/>
  <c r="GKL43" i="1" s="1"/>
  <c r="GKK42" i="1"/>
  <c r="GKK43" i="1" s="1"/>
  <c r="GKJ42" i="1"/>
  <c r="GKJ43" i="1" s="1"/>
  <c r="GKI42" i="1"/>
  <c r="GKI43" i="1" s="1"/>
  <c r="GKH42" i="1"/>
  <c r="GKH43" i="1" s="1"/>
  <c r="GKG42" i="1"/>
  <c r="GKG43" i="1" s="1"/>
  <c r="GKF42" i="1"/>
  <c r="GKF43" i="1" s="1"/>
  <c r="GKE42" i="1"/>
  <c r="GKE43" i="1" s="1"/>
  <c r="GKD42" i="1"/>
  <c r="GKD43" i="1" s="1"/>
  <c r="GKC42" i="1"/>
  <c r="GKC43" i="1" s="1"/>
  <c r="GKB42" i="1"/>
  <c r="GKB43" i="1" s="1"/>
  <c r="GKA42" i="1"/>
  <c r="GKA43" i="1" s="1"/>
  <c r="GJZ42" i="1"/>
  <c r="GJZ43" i="1" s="1"/>
  <c r="GJY42" i="1"/>
  <c r="GJY43" i="1" s="1"/>
  <c r="GJX42" i="1"/>
  <c r="GJX43" i="1" s="1"/>
  <c r="GJW42" i="1"/>
  <c r="GJW43" i="1" s="1"/>
  <c r="GJV42" i="1"/>
  <c r="GJV43" i="1" s="1"/>
  <c r="GJU42" i="1"/>
  <c r="GJU43" i="1" s="1"/>
  <c r="GJT42" i="1"/>
  <c r="GJT43" i="1" s="1"/>
  <c r="GJS42" i="1"/>
  <c r="GJS43" i="1" s="1"/>
  <c r="GJR42" i="1"/>
  <c r="GJR43" i="1" s="1"/>
  <c r="GJQ42" i="1"/>
  <c r="GJQ43" i="1" s="1"/>
  <c r="GJP42" i="1"/>
  <c r="GJP43" i="1" s="1"/>
  <c r="GJO42" i="1"/>
  <c r="GJO43" i="1" s="1"/>
  <c r="GJN42" i="1"/>
  <c r="GJN43" i="1" s="1"/>
  <c r="GJM42" i="1"/>
  <c r="GJM43" i="1" s="1"/>
  <c r="GJL42" i="1"/>
  <c r="GJL43" i="1" s="1"/>
  <c r="GJK42" i="1"/>
  <c r="GJK43" i="1" s="1"/>
  <c r="GJJ42" i="1"/>
  <c r="GJJ43" i="1" s="1"/>
  <c r="GJI42" i="1"/>
  <c r="GJI43" i="1" s="1"/>
  <c r="GJH42" i="1"/>
  <c r="GJH43" i="1" s="1"/>
  <c r="GJG42" i="1"/>
  <c r="GJG43" i="1" s="1"/>
  <c r="GJF42" i="1"/>
  <c r="GJF43" i="1" s="1"/>
  <c r="GJE42" i="1"/>
  <c r="GJE43" i="1" s="1"/>
  <c r="GJD42" i="1"/>
  <c r="GJD43" i="1" s="1"/>
  <c r="GJC42" i="1"/>
  <c r="GJC43" i="1" s="1"/>
  <c r="GJB42" i="1"/>
  <c r="GJB43" i="1" s="1"/>
  <c r="GJA42" i="1"/>
  <c r="GJA43" i="1" s="1"/>
  <c r="GIZ42" i="1"/>
  <c r="GIZ43" i="1" s="1"/>
  <c r="GIY42" i="1"/>
  <c r="GIY43" i="1" s="1"/>
  <c r="GIX42" i="1"/>
  <c r="GIX43" i="1" s="1"/>
  <c r="GIW42" i="1"/>
  <c r="GIW43" i="1" s="1"/>
  <c r="GIV42" i="1"/>
  <c r="GIV43" i="1" s="1"/>
  <c r="GIU42" i="1"/>
  <c r="GIU43" i="1" s="1"/>
  <c r="GIT42" i="1"/>
  <c r="GIT43" i="1" s="1"/>
  <c r="GIS42" i="1"/>
  <c r="GIS43" i="1" s="1"/>
  <c r="GIR42" i="1"/>
  <c r="GIR43" i="1" s="1"/>
  <c r="GIQ42" i="1"/>
  <c r="GIQ43" i="1" s="1"/>
  <c r="GIP42" i="1"/>
  <c r="GIP43" i="1" s="1"/>
  <c r="GIO42" i="1"/>
  <c r="GIO43" i="1" s="1"/>
  <c r="GIN42" i="1"/>
  <c r="GIN43" i="1" s="1"/>
  <c r="GIM42" i="1"/>
  <c r="GIM43" i="1" s="1"/>
  <c r="GIL42" i="1"/>
  <c r="GIL43" i="1" s="1"/>
  <c r="GIK42" i="1"/>
  <c r="GIK43" i="1" s="1"/>
  <c r="GIJ42" i="1"/>
  <c r="GIJ43" i="1" s="1"/>
  <c r="GII42" i="1"/>
  <c r="GII43" i="1" s="1"/>
  <c r="GIH42" i="1"/>
  <c r="GIH43" i="1" s="1"/>
  <c r="GIG42" i="1"/>
  <c r="GIG43" i="1" s="1"/>
  <c r="GIF42" i="1"/>
  <c r="GIF43" i="1" s="1"/>
  <c r="GIE42" i="1"/>
  <c r="GIE43" i="1" s="1"/>
  <c r="GID42" i="1"/>
  <c r="GID43" i="1" s="1"/>
  <c r="GIC42" i="1"/>
  <c r="GIC43" i="1" s="1"/>
  <c r="GIB42" i="1"/>
  <c r="GIB43" i="1" s="1"/>
  <c r="GIA42" i="1"/>
  <c r="GIA43" i="1" s="1"/>
  <c r="GHZ42" i="1"/>
  <c r="GHZ43" i="1" s="1"/>
  <c r="GHY42" i="1"/>
  <c r="GHY43" i="1" s="1"/>
  <c r="GHX42" i="1"/>
  <c r="GHX43" i="1" s="1"/>
  <c r="GHW42" i="1"/>
  <c r="GHW43" i="1" s="1"/>
  <c r="GHV42" i="1"/>
  <c r="GHV43" i="1" s="1"/>
  <c r="GHU42" i="1"/>
  <c r="GHU43" i="1" s="1"/>
  <c r="GHT42" i="1"/>
  <c r="GHT43" i="1" s="1"/>
  <c r="GHS42" i="1"/>
  <c r="GHS43" i="1" s="1"/>
  <c r="GHR42" i="1"/>
  <c r="GHR43" i="1" s="1"/>
  <c r="GHQ42" i="1"/>
  <c r="GHQ43" i="1" s="1"/>
  <c r="GHP42" i="1"/>
  <c r="GHP43" i="1" s="1"/>
  <c r="GHO42" i="1"/>
  <c r="GHO43" i="1" s="1"/>
  <c r="GHN42" i="1"/>
  <c r="GHN43" i="1" s="1"/>
  <c r="GHM42" i="1"/>
  <c r="GHM43" i="1" s="1"/>
  <c r="GHL42" i="1"/>
  <c r="GHL43" i="1" s="1"/>
  <c r="GHK42" i="1"/>
  <c r="GHK43" i="1" s="1"/>
  <c r="GHJ42" i="1"/>
  <c r="GHJ43" i="1" s="1"/>
  <c r="GHI42" i="1"/>
  <c r="GHI43" i="1" s="1"/>
  <c r="GHH42" i="1"/>
  <c r="GHH43" i="1" s="1"/>
  <c r="GHG42" i="1"/>
  <c r="GHG43" i="1" s="1"/>
  <c r="GHF42" i="1"/>
  <c r="GHF43" i="1" s="1"/>
  <c r="GHE42" i="1"/>
  <c r="GHE43" i="1" s="1"/>
  <c r="GHD42" i="1"/>
  <c r="GHD43" i="1" s="1"/>
  <c r="GHC42" i="1"/>
  <c r="GHC43" i="1" s="1"/>
  <c r="GHB42" i="1"/>
  <c r="GHB43" i="1" s="1"/>
  <c r="GHA42" i="1"/>
  <c r="GHA43" i="1" s="1"/>
  <c r="GGZ42" i="1"/>
  <c r="GGZ43" i="1" s="1"/>
  <c r="GGY42" i="1"/>
  <c r="GGY43" i="1" s="1"/>
  <c r="GGX42" i="1"/>
  <c r="GGX43" i="1" s="1"/>
  <c r="GGW42" i="1"/>
  <c r="GGW43" i="1" s="1"/>
  <c r="GGV42" i="1"/>
  <c r="GGV43" i="1" s="1"/>
  <c r="GGU42" i="1"/>
  <c r="GGU43" i="1" s="1"/>
  <c r="GGT42" i="1"/>
  <c r="GGT43" i="1" s="1"/>
  <c r="GGS42" i="1"/>
  <c r="GGS43" i="1" s="1"/>
  <c r="GGR42" i="1"/>
  <c r="GGR43" i="1" s="1"/>
  <c r="GGQ42" i="1"/>
  <c r="GGQ43" i="1" s="1"/>
  <c r="GGP42" i="1"/>
  <c r="GGP43" i="1" s="1"/>
  <c r="GGO42" i="1"/>
  <c r="GGO43" i="1" s="1"/>
  <c r="GGN42" i="1"/>
  <c r="GGN43" i="1" s="1"/>
  <c r="GGM42" i="1"/>
  <c r="GGM43" i="1" s="1"/>
  <c r="GGL42" i="1"/>
  <c r="GGL43" i="1" s="1"/>
  <c r="GGK42" i="1"/>
  <c r="GGK43" i="1" s="1"/>
  <c r="GGJ42" i="1"/>
  <c r="GGJ43" i="1" s="1"/>
  <c r="GGI42" i="1"/>
  <c r="GGI43" i="1" s="1"/>
  <c r="GGH42" i="1"/>
  <c r="GGH43" i="1" s="1"/>
  <c r="GGG42" i="1"/>
  <c r="GGG43" i="1" s="1"/>
  <c r="GGF42" i="1"/>
  <c r="GGF43" i="1" s="1"/>
  <c r="GGE42" i="1"/>
  <c r="GGE43" i="1" s="1"/>
  <c r="GGD42" i="1"/>
  <c r="GGD43" i="1" s="1"/>
  <c r="GGC42" i="1"/>
  <c r="GGC43" i="1" s="1"/>
  <c r="GGB42" i="1"/>
  <c r="GGB43" i="1" s="1"/>
  <c r="GGA42" i="1"/>
  <c r="GGA43" i="1" s="1"/>
  <c r="GFZ42" i="1"/>
  <c r="GFZ43" i="1" s="1"/>
  <c r="GFY42" i="1"/>
  <c r="GFY43" i="1" s="1"/>
  <c r="GFX42" i="1"/>
  <c r="GFX43" i="1" s="1"/>
  <c r="GFW42" i="1"/>
  <c r="GFW43" i="1" s="1"/>
  <c r="GFV42" i="1"/>
  <c r="GFV43" i="1" s="1"/>
  <c r="GFU42" i="1"/>
  <c r="GFU43" i="1" s="1"/>
  <c r="GFT42" i="1"/>
  <c r="GFT43" i="1" s="1"/>
  <c r="GFS42" i="1"/>
  <c r="GFS43" i="1" s="1"/>
  <c r="GFR42" i="1"/>
  <c r="GFR43" i="1" s="1"/>
  <c r="GFQ42" i="1"/>
  <c r="GFQ43" i="1" s="1"/>
  <c r="GFP42" i="1"/>
  <c r="GFP43" i="1" s="1"/>
  <c r="GFO42" i="1"/>
  <c r="GFO43" i="1" s="1"/>
  <c r="GFN42" i="1"/>
  <c r="GFN43" i="1" s="1"/>
  <c r="GFM42" i="1"/>
  <c r="GFM43" i="1" s="1"/>
  <c r="GFL42" i="1"/>
  <c r="GFL43" i="1" s="1"/>
  <c r="GFK42" i="1"/>
  <c r="GFK43" i="1" s="1"/>
  <c r="GFJ42" i="1"/>
  <c r="GFJ43" i="1" s="1"/>
  <c r="GFI42" i="1"/>
  <c r="GFI43" i="1" s="1"/>
  <c r="GFH42" i="1"/>
  <c r="GFH43" i="1" s="1"/>
  <c r="GFG42" i="1"/>
  <c r="GFG43" i="1" s="1"/>
  <c r="GFF42" i="1"/>
  <c r="GFF43" i="1" s="1"/>
  <c r="GFE42" i="1"/>
  <c r="GFE43" i="1" s="1"/>
  <c r="GFD42" i="1"/>
  <c r="GFD43" i="1" s="1"/>
  <c r="GFC42" i="1"/>
  <c r="GFC43" i="1" s="1"/>
  <c r="GFB42" i="1"/>
  <c r="GFB43" i="1" s="1"/>
  <c r="GFA42" i="1"/>
  <c r="GFA43" i="1" s="1"/>
  <c r="GEZ42" i="1"/>
  <c r="GEZ43" i="1" s="1"/>
  <c r="GEY42" i="1"/>
  <c r="GEY43" i="1" s="1"/>
  <c r="GEX42" i="1"/>
  <c r="GEX43" i="1" s="1"/>
  <c r="GEW42" i="1"/>
  <c r="GEW43" i="1" s="1"/>
  <c r="GEV42" i="1"/>
  <c r="GEV43" i="1" s="1"/>
  <c r="GEU42" i="1"/>
  <c r="GEU43" i="1" s="1"/>
  <c r="GET42" i="1"/>
  <c r="GET43" i="1" s="1"/>
  <c r="GES42" i="1"/>
  <c r="GES43" i="1" s="1"/>
  <c r="GER42" i="1"/>
  <c r="GER43" i="1" s="1"/>
  <c r="GEQ42" i="1"/>
  <c r="GEQ43" i="1" s="1"/>
  <c r="GEP42" i="1"/>
  <c r="GEP43" i="1" s="1"/>
  <c r="GEO42" i="1"/>
  <c r="GEO43" i="1" s="1"/>
  <c r="GEN42" i="1"/>
  <c r="GEN43" i="1" s="1"/>
  <c r="GEM42" i="1"/>
  <c r="GEM43" i="1" s="1"/>
  <c r="GEL42" i="1"/>
  <c r="GEL43" i="1" s="1"/>
  <c r="GEK42" i="1"/>
  <c r="GEK43" i="1" s="1"/>
  <c r="GEJ42" i="1"/>
  <c r="GEJ43" i="1" s="1"/>
  <c r="GEI42" i="1"/>
  <c r="GEI43" i="1" s="1"/>
  <c r="GEH42" i="1"/>
  <c r="GEH43" i="1" s="1"/>
  <c r="GEG42" i="1"/>
  <c r="GEG43" i="1" s="1"/>
  <c r="GEF42" i="1"/>
  <c r="GEF43" i="1" s="1"/>
  <c r="GEE42" i="1"/>
  <c r="GEE43" i="1" s="1"/>
  <c r="GED42" i="1"/>
  <c r="GED43" i="1" s="1"/>
  <c r="GEC42" i="1"/>
  <c r="GEC43" i="1" s="1"/>
  <c r="GEB42" i="1"/>
  <c r="GEB43" i="1" s="1"/>
  <c r="GEA42" i="1"/>
  <c r="GEA43" i="1" s="1"/>
  <c r="GDZ42" i="1"/>
  <c r="GDZ43" i="1" s="1"/>
  <c r="GDY42" i="1"/>
  <c r="GDY43" i="1" s="1"/>
  <c r="GDX42" i="1"/>
  <c r="GDX43" i="1" s="1"/>
  <c r="GDW42" i="1"/>
  <c r="GDW43" i="1" s="1"/>
  <c r="GDV42" i="1"/>
  <c r="GDV43" i="1" s="1"/>
  <c r="GDU42" i="1"/>
  <c r="GDU43" i="1" s="1"/>
  <c r="GDT42" i="1"/>
  <c r="GDT43" i="1" s="1"/>
  <c r="GDS42" i="1"/>
  <c r="GDS43" i="1" s="1"/>
  <c r="GDR42" i="1"/>
  <c r="GDR43" i="1" s="1"/>
  <c r="GDQ42" i="1"/>
  <c r="GDQ43" i="1" s="1"/>
  <c r="GDP42" i="1"/>
  <c r="GDP43" i="1" s="1"/>
  <c r="GDO42" i="1"/>
  <c r="GDO43" i="1" s="1"/>
  <c r="GDN42" i="1"/>
  <c r="GDN43" i="1" s="1"/>
  <c r="GDM42" i="1"/>
  <c r="GDM43" i="1" s="1"/>
  <c r="GDL42" i="1"/>
  <c r="GDL43" i="1" s="1"/>
  <c r="GDK42" i="1"/>
  <c r="GDK43" i="1" s="1"/>
  <c r="GDJ42" i="1"/>
  <c r="GDJ43" i="1" s="1"/>
  <c r="GDI42" i="1"/>
  <c r="GDI43" i="1" s="1"/>
  <c r="GDH42" i="1"/>
  <c r="GDH43" i="1" s="1"/>
  <c r="GDG42" i="1"/>
  <c r="GDG43" i="1" s="1"/>
  <c r="GDF42" i="1"/>
  <c r="GDF43" i="1" s="1"/>
  <c r="GDE42" i="1"/>
  <c r="GDE43" i="1" s="1"/>
  <c r="GDD42" i="1"/>
  <c r="GDD43" i="1" s="1"/>
  <c r="GDC42" i="1"/>
  <c r="GDC43" i="1" s="1"/>
  <c r="GDB42" i="1"/>
  <c r="GDB43" i="1" s="1"/>
  <c r="GDA42" i="1"/>
  <c r="GDA43" i="1" s="1"/>
  <c r="GCZ42" i="1"/>
  <c r="GCZ43" i="1" s="1"/>
  <c r="GCY42" i="1"/>
  <c r="GCY43" i="1" s="1"/>
  <c r="GCX42" i="1"/>
  <c r="GCX43" i="1" s="1"/>
  <c r="GCW42" i="1"/>
  <c r="GCW43" i="1" s="1"/>
  <c r="GCV42" i="1"/>
  <c r="GCV43" i="1" s="1"/>
  <c r="GCU42" i="1"/>
  <c r="GCU43" i="1" s="1"/>
  <c r="GCT42" i="1"/>
  <c r="GCT43" i="1" s="1"/>
  <c r="GCS42" i="1"/>
  <c r="GCS43" i="1" s="1"/>
  <c r="GCR42" i="1"/>
  <c r="GCR43" i="1" s="1"/>
  <c r="GCQ42" i="1"/>
  <c r="GCQ43" i="1" s="1"/>
  <c r="GCP42" i="1"/>
  <c r="GCP43" i="1" s="1"/>
  <c r="GCO42" i="1"/>
  <c r="GCO43" i="1" s="1"/>
  <c r="GCN42" i="1"/>
  <c r="GCN43" i="1" s="1"/>
  <c r="GCM42" i="1"/>
  <c r="GCM43" i="1" s="1"/>
  <c r="GCL42" i="1"/>
  <c r="GCL43" i="1" s="1"/>
  <c r="GCK42" i="1"/>
  <c r="GCK43" i="1" s="1"/>
  <c r="GCJ42" i="1"/>
  <c r="GCJ43" i="1" s="1"/>
  <c r="GCI42" i="1"/>
  <c r="GCI43" i="1" s="1"/>
  <c r="GCH42" i="1"/>
  <c r="GCH43" i="1" s="1"/>
  <c r="GCG42" i="1"/>
  <c r="GCG43" i="1" s="1"/>
  <c r="GCF42" i="1"/>
  <c r="GCF43" i="1" s="1"/>
  <c r="GCE42" i="1"/>
  <c r="GCE43" i="1" s="1"/>
  <c r="GCD42" i="1"/>
  <c r="GCD43" i="1" s="1"/>
  <c r="GCC42" i="1"/>
  <c r="GCC43" i="1" s="1"/>
  <c r="GCB42" i="1"/>
  <c r="GCB43" i="1" s="1"/>
  <c r="GCA42" i="1"/>
  <c r="GCA43" i="1" s="1"/>
  <c r="GBZ42" i="1"/>
  <c r="GBZ43" i="1" s="1"/>
  <c r="GBY42" i="1"/>
  <c r="GBY43" i="1" s="1"/>
  <c r="GBX42" i="1"/>
  <c r="GBX43" i="1" s="1"/>
  <c r="GBW42" i="1"/>
  <c r="GBW43" i="1" s="1"/>
  <c r="GBV42" i="1"/>
  <c r="GBV43" i="1" s="1"/>
  <c r="GBU42" i="1"/>
  <c r="GBU43" i="1" s="1"/>
  <c r="GBT42" i="1"/>
  <c r="GBT43" i="1" s="1"/>
  <c r="GBS42" i="1"/>
  <c r="GBS43" i="1" s="1"/>
  <c r="GBR42" i="1"/>
  <c r="GBR43" i="1" s="1"/>
  <c r="GBQ42" i="1"/>
  <c r="GBQ43" i="1" s="1"/>
  <c r="GBP42" i="1"/>
  <c r="GBP43" i="1" s="1"/>
  <c r="GBO42" i="1"/>
  <c r="GBO43" i="1" s="1"/>
  <c r="GBN42" i="1"/>
  <c r="GBN43" i="1" s="1"/>
  <c r="GBM42" i="1"/>
  <c r="GBM43" i="1" s="1"/>
  <c r="GBL42" i="1"/>
  <c r="GBL43" i="1" s="1"/>
  <c r="GBK42" i="1"/>
  <c r="GBK43" i="1" s="1"/>
  <c r="GBJ42" i="1"/>
  <c r="GBJ43" i="1" s="1"/>
  <c r="GBI42" i="1"/>
  <c r="GBI43" i="1" s="1"/>
  <c r="GBH42" i="1"/>
  <c r="GBH43" i="1" s="1"/>
  <c r="GBG42" i="1"/>
  <c r="GBG43" i="1" s="1"/>
  <c r="GBF42" i="1"/>
  <c r="GBF43" i="1" s="1"/>
  <c r="GBE42" i="1"/>
  <c r="GBE43" i="1" s="1"/>
  <c r="GBD42" i="1"/>
  <c r="GBD43" i="1" s="1"/>
  <c r="GBC42" i="1"/>
  <c r="GBC43" i="1" s="1"/>
  <c r="GBB42" i="1"/>
  <c r="GBB43" i="1" s="1"/>
  <c r="GBA42" i="1"/>
  <c r="GBA43" i="1" s="1"/>
  <c r="GAZ42" i="1"/>
  <c r="GAZ43" i="1" s="1"/>
  <c r="GAY42" i="1"/>
  <c r="GAY43" i="1" s="1"/>
  <c r="GAX42" i="1"/>
  <c r="GAX43" i="1" s="1"/>
  <c r="GAW42" i="1"/>
  <c r="GAW43" i="1" s="1"/>
  <c r="GAV42" i="1"/>
  <c r="GAV43" i="1" s="1"/>
  <c r="GAU42" i="1"/>
  <c r="GAU43" i="1" s="1"/>
  <c r="GAT42" i="1"/>
  <c r="GAT43" i="1" s="1"/>
  <c r="GAS42" i="1"/>
  <c r="GAS43" i="1" s="1"/>
  <c r="GAR42" i="1"/>
  <c r="GAR43" i="1" s="1"/>
  <c r="GAQ42" i="1"/>
  <c r="GAQ43" i="1" s="1"/>
  <c r="GAP42" i="1"/>
  <c r="GAP43" i="1" s="1"/>
  <c r="GAO42" i="1"/>
  <c r="GAO43" i="1" s="1"/>
  <c r="GAN42" i="1"/>
  <c r="GAN43" i="1" s="1"/>
  <c r="GAM42" i="1"/>
  <c r="GAM43" i="1" s="1"/>
  <c r="GAL42" i="1"/>
  <c r="GAL43" i="1" s="1"/>
  <c r="GAK42" i="1"/>
  <c r="GAK43" i="1" s="1"/>
  <c r="GAJ42" i="1"/>
  <c r="GAJ43" i="1" s="1"/>
  <c r="GAI42" i="1"/>
  <c r="GAI43" i="1" s="1"/>
  <c r="GAH42" i="1"/>
  <c r="GAH43" i="1" s="1"/>
  <c r="GAG42" i="1"/>
  <c r="GAG43" i="1" s="1"/>
  <c r="GAF42" i="1"/>
  <c r="GAF43" i="1" s="1"/>
  <c r="GAE42" i="1"/>
  <c r="GAE43" i="1" s="1"/>
  <c r="GAD42" i="1"/>
  <c r="GAD43" i="1" s="1"/>
  <c r="GAC42" i="1"/>
  <c r="GAC43" i="1" s="1"/>
  <c r="GAB42" i="1"/>
  <c r="GAB43" i="1" s="1"/>
  <c r="GAA42" i="1"/>
  <c r="GAA43" i="1" s="1"/>
  <c r="FZZ42" i="1"/>
  <c r="FZZ43" i="1" s="1"/>
  <c r="FZY42" i="1"/>
  <c r="FZY43" i="1" s="1"/>
  <c r="FZX42" i="1"/>
  <c r="FZX43" i="1" s="1"/>
  <c r="FZW42" i="1"/>
  <c r="FZW43" i="1" s="1"/>
  <c r="FZV42" i="1"/>
  <c r="FZV43" i="1" s="1"/>
  <c r="FZU42" i="1"/>
  <c r="FZU43" i="1" s="1"/>
  <c r="FZT42" i="1"/>
  <c r="FZT43" i="1" s="1"/>
  <c r="FZS42" i="1"/>
  <c r="FZS43" i="1" s="1"/>
  <c r="FZR42" i="1"/>
  <c r="FZR43" i="1" s="1"/>
  <c r="FZQ42" i="1"/>
  <c r="FZQ43" i="1" s="1"/>
  <c r="FZP42" i="1"/>
  <c r="FZP43" i="1" s="1"/>
  <c r="FZO42" i="1"/>
  <c r="FZO43" i="1" s="1"/>
  <c r="FZN42" i="1"/>
  <c r="FZN43" i="1" s="1"/>
  <c r="FZM42" i="1"/>
  <c r="FZM43" i="1" s="1"/>
  <c r="FZL42" i="1"/>
  <c r="FZL43" i="1" s="1"/>
  <c r="FZK42" i="1"/>
  <c r="FZK43" i="1" s="1"/>
  <c r="FZJ42" i="1"/>
  <c r="FZJ43" i="1" s="1"/>
  <c r="FZI42" i="1"/>
  <c r="FZI43" i="1" s="1"/>
  <c r="FZH42" i="1"/>
  <c r="FZH43" i="1" s="1"/>
  <c r="FZG42" i="1"/>
  <c r="FZG43" i="1" s="1"/>
  <c r="FZF42" i="1"/>
  <c r="FZF43" i="1" s="1"/>
  <c r="FZE42" i="1"/>
  <c r="FZE43" i="1" s="1"/>
  <c r="FZD42" i="1"/>
  <c r="FZD43" i="1" s="1"/>
  <c r="FZC42" i="1"/>
  <c r="FZC43" i="1" s="1"/>
  <c r="FZB42" i="1"/>
  <c r="FZB43" i="1" s="1"/>
  <c r="FZA42" i="1"/>
  <c r="FZA43" i="1" s="1"/>
  <c r="FYZ42" i="1"/>
  <c r="FYZ43" i="1" s="1"/>
  <c r="FYY42" i="1"/>
  <c r="FYY43" i="1" s="1"/>
  <c r="FYX42" i="1"/>
  <c r="FYX43" i="1" s="1"/>
  <c r="FYW42" i="1"/>
  <c r="FYW43" i="1" s="1"/>
  <c r="FYV42" i="1"/>
  <c r="FYV43" i="1" s="1"/>
  <c r="FYU42" i="1"/>
  <c r="FYU43" i="1" s="1"/>
  <c r="FYT42" i="1"/>
  <c r="FYT43" i="1" s="1"/>
  <c r="FYS42" i="1"/>
  <c r="FYS43" i="1" s="1"/>
  <c r="FYR42" i="1"/>
  <c r="FYR43" i="1" s="1"/>
  <c r="FYQ42" i="1"/>
  <c r="FYQ43" i="1" s="1"/>
  <c r="FYP42" i="1"/>
  <c r="FYP43" i="1" s="1"/>
  <c r="FYO42" i="1"/>
  <c r="FYO43" i="1" s="1"/>
  <c r="FYN42" i="1"/>
  <c r="FYN43" i="1" s="1"/>
  <c r="FYM42" i="1"/>
  <c r="FYM43" i="1" s="1"/>
  <c r="FYL42" i="1"/>
  <c r="FYL43" i="1" s="1"/>
  <c r="FYK42" i="1"/>
  <c r="FYK43" i="1" s="1"/>
  <c r="FYJ42" i="1"/>
  <c r="FYJ43" i="1" s="1"/>
  <c r="FYI42" i="1"/>
  <c r="FYI43" i="1" s="1"/>
  <c r="FYH42" i="1"/>
  <c r="FYH43" i="1" s="1"/>
  <c r="FYG42" i="1"/>
  <c r="FYG43" i="1" s="1"/>
  <c r="FYF42" i="1"/>
  <c r="FYF43" i="1" s="1"/>
  <c r="FYE42" i="1"/>
  <c r="FYE43" i="1" s="1"/>
  <c r="FYD42" i="1"/>
  <c r="FYD43" i="1" s="1"/>
  <c r="FYC42" i="1"/>
  <c r="FYC43" i="1" s="1"/>
  <c r="FYB42" i="1"/>
  <c r="FYB43" i="1" s="1"/>
  <c r="FYA42" i="1"/>
  <c r="FYA43" i="1" s="1"/>
  <c r="FXZ42" i="1"/>
  <c r="FXZ43" i="1" s="1"/>
  <c r="FXY42" i="1"/>
  <c r="FXY43" i="1" s="1"/>
  <c r="FXX42" i="1"/>
  <c r="FXX43" i="1" s="1"/>
  <c r="FXW42" i="1"/>
  <c r="FXW43" i="1" s="1"/>
  <c r="FXV42" i="1"/>
  <c r="FXV43" i="1" s="1"/>
  <c r="FXU42" i="1"/>
  <c r="FXU43" i="1" s="1"/>
  <c r="FXT42" i="1"/>
  <c r="FXT43" i="1" s="1"/>
  <c r="FXS42" i="1"/>
  <c r="FXS43" i="1" s="1"/>
  <c r="FXR42" i="1"/>
  <c r="FXR43" i="1" s="1"/>
  <c r="FXQ42" i="1"/>
  <c r="FXQ43" i="1" s="1"/>
  <c r="FXP42" i="1"/>
  <c r="FXP43" i="1" s="1"/>
  <c r="FXO42" i="1"/>
  <c r="FXO43" i="1" s="1"/>
  <c r="FXN42" i="1"/>
  <c r="FXN43" i="1" s="1"/>
  <c r="FXM42" i="1"/>
  <c r="FXM43" i="1" s="1"/>
  <c r="FXL42" i="1"/>
  <c r="FXL43" i="1" s="1"/>
  <c r="FXK42" i="1"/>
  <c r="FXK43" i="1" s="1"/>
  <c r="FXJ42" i="1"/>
  <c r="FXJ43" i="1" s="1"/>
  <c r="FXI42" i="1"/>
  <c r="FXI43" i="1" s="1"/>
  <c r="FXH42" i="1"/>
  <c r="FXH43" i="1" s="1"/>
  <c r="FXG42" i="1"/>
  <c r="FXG43" i="1" s="1"/>
  <c r="FXF42" i="1"/>
  <c r="FXF43" i="1" s="1"/>
  <c r="FXE42" i="1"/>
  <c r="FXE43" i="1" s="1"/>
  <c r="FXD42" i="1"/>
  <c r="FXD43" i="1" s="1"/>
  <c r="FXC42" i="1"/>
  <c r="FXC43" i="1" s="1"/>
  <c r="FXB42" i="1"/>
  <c r="FXB43" i="1" s="1"/>
  <c r="FXA42" i="1"/>
  <c r="FXA43" i="1" s="1"/>
  <c r="FWZ42" i="1"/>
  <c r="FWZ43" i="1" s="1"/>
  <c r="FWY42" i="1"/>
  <c r="FWY43" i="1" s="1"/>
  <c r="FWX42" i="1"/>
  <c r="FWX43" i="1" s="1"/>
  <c r="FWW42" i="1"/>
  <c r="FWW43" i="1" s="1"/>
  <c r="FWV42" i="1"/>
  <c r="FWV43" i="1" s="1"/>
  <c r="FWU42" i="1"/>
  <c r="FWU43" i="1" s="1"/>
  <c r="FWT42" i="1"/>
  <c r="FWT43" i="1" s="1"/>
  <c r="FWS42" i="1"/>
  <c r="FWS43" i="1" s="1"/>
  <c r="FWR42" i="1"/>
  <c r="FWR43" i="1" s="1"/>
  <c r="FWQ42" i="1"/>
  <c r="FWQ43" i="1" s="1"/>
  <c r="FWP42" i="1"/>
  <c r="FWP43" i="1" s="1"/>
  <c r="FWO42" i="1"/>
  <c r="FWN42" i="1"/>
  <c r="FWN43" i="1" s="1"/>
  <c r="FWM42" i="1"/>
  <c r="FWM43" i="1" s="1"/>
  <c r="FWL42" i="1"/>
  <c r="FWL43" i="1" s="1"/>
  <c r="FWK42" i="1"/>
  <c r="FWK43" i="1" s="1"/>
  <c r="FWJ42" i="1"/>
  <c r="FWJ43" i="1" s="1"/>
  <c r="FWI42" i="1"/>
  <c r="FWI43" i="1" s="1"/>
  <c r="FWH42" i="1"/>
  <c r="FWH43" i="1" s="1"/>
  <c r="FWG42" i="1"/>
  <c r="FWG43" i="1" s="1"/>
  <c r="FWF42" i="1"/>
  <c r="FWF43" i="1" s="1"/>
  <c r="FWE42" i="1"/>
  <c r="FWE43" i="1" s="1"/>
  <c r="FWD42" i="1"/>
  <c r="FWD43" i="1" s="1"/>
  <c r="FWC42" i="1"/>
  <c r="FWC43" i="1" s="1"/>
  <c r="FWB42" i="1"/>
  <c r="FWB43" i="1" s="1"/>
  <c r="FWA42" i="1"/>
  <c r="FWA43" i="1" s="1"/>
  <c r="FVZ42" i="1"/>
  <c r="FVZ43" i="1" s="1"/>
  <c r="FVY42" i="1"/>
  <c r="FVY43" i="1" s="1"/>
  <c r="FVX42" i="1"/>
  <c r="FVX43" i="1" s="1"/>
  <c r="FVW42" i="1"/>
  <c r="FVW43" i="1" s="1"/>
  <c r="FVV42" i="1"/>
  <c r="FVV43" i="1" s="1"/>
  <c r="FVU42" i="1"/>
  <c r="FVU43" i="1" s="1"/>
  <c r="FVT42" i="1"/>
  <c r="FVT43" i="1" s="1"/>
  <c r="FVS42" i="1"/>
  <c r="FVS43" i="1" s="1"/>
  <c r="FVR42" i="1"/>
  <c r="FVR43" i="1" s="1"/>
  <c r="FVQ42" i="1"/>
  <c r="FVQ43" i="1" s="1"/>
  <c r="FVP42" i="1"/>
  <c r="FVP43" i="1" s="1"/>
  <c r="FVO42" i="1"/>
  <c r="FVO43" i="1" s="1"/>
  <c r="FVN42" i="1"/>
  <c r="FVN43" i="1" s="1"/>
  <c r="FVM42" i="1"/>
  <c r="FVM43" i="1" s="1"/>
  <c r="FVL42" i="1"/>
  <c r="FVL43" i="1" s="1"/>
  <c r="FVK42" i="1"/>
  <c r="FVK43" i="1" s="1"/>
  <c r="FVJ42" i="1"/>
  <c r="FVJ43" i="1" s="1"/>
  <c r="FVI42" i="1"/>
  <c r="FVI43" i="1" s="1"/>
  <c r="FVH42" i="1"/>
  <c r="FVH43" i="1" s="1"/>
  <c r="FVG42" i="1"/>
  <c r="FVG43" i="1" s="1"/>
  <c r="FVF42" i="1"/>
  <c r="FVF43" i="1" s="1"/>
  <c r="FVE42" i="1"/>
  <c r="FVE43" i="1" s="1"/>
  <c r="FVD42" i="1"/>
  <c r="FVD43" i="1" s="1"/>
  <c r="FVC42" i="1"/>
  <c r="FVC43" i="1" s="1"/>
  <c r="FVB42" i="1"/>
  <c r="FVB43" i="1" s="1"/>
  <c r="FVA42" i="1"/>
  <c r="FVA43" i="1" s="1"/>
  <c r="FUZ42" i="1"/>
  <c r="FUZ43" i="1" s="1"/>
  <c r="FUY42" i="1"/>
  <c r="FUY43" i="1" s="1"/>
  <c r="FUX42" i="1"/>
  <c r="FUX43" i="1" s="1"/>
  <c r="FUW42" i="1"/>
  <c r="FUW43" i="1" s="1"/>
  <c r="FUV42" i="1"/>
  <c r="FUV43" i="1" s="1"/>
  <c r="FUU42" i="1"/>
  <c r="FUU43" i="1" s="1"/>
  <c r="FUT42" i="1"/>
  <c r="FUT43" i="1" s="1"/>
  <c r="FUS42" i="1"/>
  <c r="FUS43" i="1" s="1"/>
  <c r="FUR42" i="1"/>
  <c r="FUR43" i="1" s="1"/>
  <c r="FUQ42" i="1"/>
  <c r="FUQ43" i="1" s="1"/>
  <c r="FUP42" i="1"/>
  <c r="FUP43" i="1" s="1"/>
  <c r="FUO42" i="1"/>
  <c r="FUO43" i="1" s="1"/>
  <c r="FUN42" i="1"/>
  <c r="FUN43" i="1" s="1"/>
  <c r="FUM42" i="1"/>
  <c r="FUM43" i="1" s="1"/>
  <c r="FUL42" i="1"/>
  <c r="FUL43" i="1" s="1"/>
  <c r="FUK42" i="1"/>
  <c r="FUK43" i="1" s="1"/>
  <c r="FUJ42" i="1"/>
  <c r="FUJ43" i="1" s="1"/>
  <c r="FUI42" i="1"/>
  <c r="FUI43" i="1" s="1"/>
  <c r="FUH42" i="1"/>
  <c r="FUH43" i="1" s="1"/>
  <c r="FUG42" i="1"/>
  <c r="FUG43" i="1" s="1"/>
  <c r="FUF42" i="1"/>
  <c r="FUF43" i="1" s="1"/>
  <c r="FUE42" i="1"/>
  <c r="FUE43" i="1" s="1"/>
  <c r="FUD42" i="1"/>
  <c r="FUD43" i="1" s="1"/>
  <c r="FUC42" i="1"/>
  <c r="FUC43" i="1" s="1"/>
  <c r="FUB42" i="1"/>
  <c r="FUB43" i="1" s="1"/>
  <c r="FUA42" i="1"/>
  <c r="FUA43" i="1" s="1"/>
  <c r="FTZ42" i="1"/>
  <c r="FTZ43" i="1" s="1"/>
  <c r="FTY42" i="1"/>
  <c r="FTY43" i="1" s="1"/>
  <c r="FTX42" i="1"/>
  <c r="FTX43" i="1" s="1"/>
  <c r="FTW42" i="1"/>
  <c r="FTW43" i="1" s="1"/>
  <c r="FTV42" i="1"/>
  <c r="FTV43" i="1" s="1"/>
  <c r="FTU42" i="1"/>
  <c r="FTU43" i="1" s="1"/>
  <c r="FTT42" i="1"/>
  <c r="FTT43" i="1" s="1"/>
  <c r="FTS42" i="1"/>
  <c r="FTS43" i="1" s="1"/>
  <c r="FTR42" i="1"/>
  <c r="FTR43" i="1" s="1"/>
  <c r="FTQ42" i="1"/>
  <c r="FTQ43" i="1" s="1"/>
  <c r="FTP42" i="1"/>
  <c r="FTP43" i="1" s="1"/>
  <c r="FTO42" i="1"/>
  <c r="FTO43" i="1" s="1"/>
  <c r="FTN42" i="1"/>
  <c r="FTN43" i="1" s="1"/>
  <c r="FTM42" i="1"/>
  <c r="FTM43" i="1" s="1"/>
  <c r="FTL42" i="1"/>
  <c r="FTL43" i="1" s="1"/>
  <c r="FTK42" i="1"/>
  <c r="FTK43" i="1" s="1"/>
  <c r="FTJ42" i="1"/>
  <c r="FTJ43" i="1" s="1"/>
  <c r="FTI42" i="1"/>
  <c r="FTI43" i="1" s="1"/>
  <c r="FTH42" i="1"/>
  <c r="FTH43" i="1" s="1"/>
  <c r="FTG42" i="1"/>
  <c r="FTG43" i="1" s="1"/>
  <c r="FTF42" i="1"/>
  <c r="FTF43" i="1" s="1"/>
  <c r="FTE42" i="1"/>
  <c r="FTE43" i="1" s="1"/>
  <c r="FTD42" i="1"/>
  <c r="FTD43" i="1" s="1"/>
  <c r="FTC42" i="1"/>
  <c r="FTC43" i="1" s="1"/>
  <c r="FTB42" i="1"/>
  <c r="FTB43" i="1" s="1"/>
  <c r="FTA42" i="1"/>
  <c r="FTA43" i="1" s="1"/>
  <c r="FSZ42" i="1"/>
  <c r="FSZ43" i="1" s="1"/>
  <c r="FSY42" i="1"/>
  <c r="FSY43" i="1" s="1"/>
  <c r="FSX42" i="1"/>
  <c r="FSX43" i="1" s="1"/>
  <c r="FSW42" i="1"/>
  <c r="FSW43" i="1" s="1"/>
  <c r="FSV42" i="1"/>
  <c r="FSV43" i="1" s="1"/>
  <c r="FSU42" i="1"/>
  <c r="FSU43" i="1" s="1"/>
  <c r="FST42" i="1"/>
  <c r="FST43" i="1" s="1"/>
  <c r="FSS42" i="1"/>
  <c r="FSS43" i="1" s="1"/>
  <c r="FSR42" i="1"/>
  <c r="FSR43" i="1" s="1"/>
  <c r="FSQ42" i="1"/>
  <c r="FSQ43" i="1" s="1"/>
  <c r="FSP42" i="1"/>
  <c r="FSP43" i="1" s="1"/>
  <c r="FSO42" i="1"/>
  <c r="FSO43" i="1" s="1"/>
  <c r="FSN42" i="1"/>
  <c r="FSN43" i="1" s="1"/>
  <c r="FSM42" i="1"/>
  <c r="FSM43" i="1" s="1"/>
  <c r="FSL42" i="1"/>
  <c r="FSL43" i="1" s="1"/>
  <c r="FSK42" i="1"/>
  <c r="FSK43" i="1" s="1"/>
  <c r="FSJ42" i="1"/>
  <c r="FSJ43" i="1" s="1"/>
  <c r="FSI42" i="1"/>
  <c r="FSI43" i="1" s="1"/>
  <c r="FSH42" i="1"/>
  <c r="FSH43" i="1" s="1"/>
  <c r="FSG42" i="1"/>
  <c r="FSG43" i="1" s="1"/>
  <c r="FSF42" i="1"/>
  <c r="FSF43" i="1" s="1"/>
  <c r="FSE42" i="1"/>
  <c r="FSE43" i="1" s="1"/>
  <c r="FSD42" i="1"/>
  <c r="FSD43" i="1" s="1"/>
  <c r="FSC42" i="1"/>
  <c r="FSC43" i="1" s="1"/>
  <c r="FSB42" i="1"/>
  <c r="FSB43" i="1" s="1"/>
  <c r="FSA42" i="1"/>
  <c r="FSA43" i="1" s="1"/>
  <c r="FRZ42" i="1"/>
  <c r="FRZ43" i="1" s="1"/>
  <c r="FRY42" i="1"/>
  <c r="FRY43" i="1" s="1"/>
  <c r="FRX42" i="1"/>
  <c r="FRX43" i="1" s="1"/>
  <c r="FRW42" i="1"/>
  <c r="FRW43" i="1" s="1"/>
  <c r="FRV42" i="1"/>
  <c r="FRV43" i="1" s="1"/>
  <c r="FRU42" i="1"/>
  <c r="FRU43" i="1" s="1"/>
  <c r="FRT42" i="1"/>
  <c r="FRT43" i="1" s="1"/>
  <c r="FRS42" i="1"/>
  <c r="FRS43" i="1" s="1"/>
  <c r="FRR42" i="1"/>
  <c r="FRR43" i="1" s="1"/>
  <c r="FRQ42" i="1"/>
  <c r="FRQ43" i="1" s="1"/>
  <c r="FRP42" i="1"/>
  <c r="FRP43" i="1" s="1"/>
  <c r="FRO42" i="1"/>
  <c r="FRO43" i="1" s="1"/>
  <c r="FRN42" i="1"/>
  <c r="FRN43" i="1" s="1"/>
  <c r="FRM42" i="1"/>
  <c r="FRM43" i="1" s="1"/>
  <c r="FRL42" i="1"/>
  <c r="FRL43" i="1" s="1"/>
  <c r="FRK42" i="1"/>
  <c r="FRK43" i="1" s="1"/>
  <c r="FRJ42" i="1"/>
  <c r="FRJ43" i="1" s="1"/>
  <c r="FRI42" i="1"/>
  <c r="FRI43" i="1" s="1"/>
  <c r="FRH42" i="1"/>
  <c r="FRH43" i="1" s="1"/>
  <c r="FRG42" i="1"/>
  <c r="FRG43" i="1" s="1"/>
  <c r="FRF42" i="1"/>
  <c r="FRF43" i="1" s="1"/>
  <c r="FRE42" i="1"/>
  <c r="FRE43" i="1" s="1"/>
  <c r="FRD42" i="1"/>
  <c r="FRD43" i="1" s="1"/>
  <c r="FRC42" i="1"/>
  <c r="FRC43" i="1" s="1"/>
  <c r="FRB42" i="1"/>
  <c r="FRB43" i="1" s="1"/>
  <c r="FRA42" i="1"/>
  <c r="FRA43" i="1" s="1"/>
  <c r="FQZ42" i="1"/>
  <c r="FQZ43" i="1" s="1"/>
  <c r="FQY42" i="1"/>
  <c r="FQY43" i="1" s="1"/>
  <c r="FQX42" i="1"/>
  <c r="FQX43" i="1" s="1"/>
  <c r="FQW42" i="1"/>
  <c r="FQW43" i="1" s="1"/>
  <c r="FQV42" i="1"/>
  <c r="FQV43" i="1" s="1"/>
  <c r="FQU42" i="1"/>
  <c r="FQU43" i="1" s="1"/>
  <c r="FQT42" i="1"/>
  <c r="FQT43" i="1" s="1"/>
  <c r="FQS42" i="1"/>
  <c r="FQS43" i="1" s="1"/>
  <c r="FQR42" i="1"/>
  <c r="FQR43" i="1" s="1"/>
  <c r="FQQ42" i="1"/>
  <c r="FQQ43" i="1" s="1"/>
  <c r="FQP42" i="1"/>
  <c r="FQP43" i="1" s="1"/>
  <c r="FQO42" i="1"/>
  <c r="FQO43" i="1" s="1"/>
  <c r="FQN42" i="1"/>
  <c r="FQN43" i="1" s="1"/>
  <c r="FQM42" i="1"/>
  <c r="FQM43" i="1" s="1"/>
  <c r="FQL42" i="1"/>
  <c r="FQL43" i="1" s="1"/>
  <c r="FQK42" i="1"/>
  <c r="FQK43" i="1" s="1"/>
  <c r="FQJ42" i="1"/>
  <c r="FQJ43" i="1" s="1"/>
  <c r="FQI42" i="1"/>
  <c r="FQI43" i="1" s="1"/>
  <c r="FQH42" i="1"/>
  <c r="FQH43" i="1" s="1"/>
  <c r="FQG42" i="1"/>
  <c r="FQG43" i="1" s="1"/>
  <c r="FQF42" i="1"/>
  <c r="FQF43" i="1" s="1"/>
  <c r="FQE42" i="1"/>
  <c r="FQE43" i="1" s="1"/>
  <c r="FQD42" i="1"/>
  <c r="FQD43" i="1" s="1"/>
  <c r="FQC42" i="1"/>
  <c r="FQC43" i="1" s="1"/>
  <c r="FQB42" i="1"/>
  <c r="FQB43" i="1" s="1"/>
  <c r="FQA42" i="1"/>
  <c r="FQA43" i="1" s="1"/>
  <c r="FPZ42" i="1"/>
  <c r="FPZ43" i="1" s="1"/>
  <c r="FPY42" i="1"/>
  <c r="FPY43" i="1" s="1"/>
  <c r="FPX42" i="1"/>
  <c r="FPX43" i="1" s="1"/>
  <c r="FPW42" i="1"/>
  <c r="FPW43" i="1" s="1"/>
  <c r="FPV42" i="1"/>
  <c r="FPV43" i="1" s="1"/>
  <c r="FPU42" i="1"/>
  <c r="FPU43" i="1" s="1"/>
  <c r="FPT42" i="1"/>
  <c r="FPT43" i="1" s="1"/>
  <c r="FPS42" i="1"/>
  <c r="FPS43" i="1" s="1"/>
  <c r="FPR42" i="1"/>
  <c r="FPR43" i="1" s="1"/>
  <c r="FPQ42" i="1"/>
  <c r="FPQ43" i="1" s="1"/>
  <c r="FPP42" i="1"/>
  <c r="FPP43" i="1" s="1"/>
  <c r="FPO42" i="1"/>
  <c r="FPO43" i="1" s="1"/>
  <c r="FPN42" i="1"/>
  <c r="FPN43" i="1" s="1"/>
  <c r="FPM42" i="1"/>
  <c r="FPM43" i="1" s="1"/>
  <c r="FPL42" i="1"/>
  <c r="FPL43" i="1" s="1"/>
  <c r="FPK42" i="1"/>
  <c r="FPK43" i="1" s="1"/>
  <c r="FPJ42" i="1"/>
  <c r="FPJ43" i="1" s="1"/>
  <c r="FPI42" i="1"/>
  <c r="FPI43" i="1" s="1"/>
  <c r="FPH42" i="1"/>
  <c r="FPH43" i="1" s="1"/>
  <c r="FPG42" i="1"/>
  <c r="FPG43" i="1" s="1"/>
  <c r="FPF42" i="1"/>
  <c r="FPF43" i="1" s="1"/>
  <c r="FPE42" i="1"/>
  <c r="FPE43" i="1" s="1"/>
  <c r="FPD42" i="1"/>
  <c r="FPD43" i="1" s="1"/>
  <c r="FPC42" i="1"/>
  <c r="FPC43" i="1" s="1"/>
  <c r="FPB42" i="1"/>
  <c r="FPB43" i="1" s="1"/>
  <c r="FPA42" i="1"/>
  <c r="FPA43" i="1" s="1"/>
  <c r="FOZ42" i="1"/>
  <c r="FOZ43" i="1" s="1"/>
  <c r="FOY42" i="1"/>
  <c r="FOY43" i="1" s="1"/>
  <c r="FOX42" i="1"/>
  <c r="FOX43" i="1" s="1"/>
  <c r="FOW42" i="1"/>
  <c r="FOW43" i="1" s="1"/>
  <c r="FOV42" i="1"/>
  <c r="FOV43" i="1" s="1"/>
  <c r="FOU42" i="1"/>
  <c r="FOU43" i="1" s="1"/>
  <c r="FOT42" i="1"/>
  <c r="FOT43" i="1" s="1"/>
  <c r="FOS42" i="1"/>
  <c r="FOS43" i="1" s="1"/>
  <c r="FOR42" i="1"/>
  <c r="FOR43" i="1" s="1"/>
  <c r="FOQ42" i="1"/>
  <c r="FOQ43" i="1" s="1"/>
  <c r="FOP42" i="1"/>
  <c r="FOP43" i="1" s="1"/>
  <c r="FOO42" i="1"/>
  <c r="FOO43" i="1" s="1"/>
  <c r="FON42" i="1"/>
  <c r="FON43" i="1" s="1"/>
  <c r="FOM42" i="1"/>
  <c r="FOM43" i="1" s="1"/>
  <c r="FOL42" i="1"/>
  <c r="FOL43" i="1" s="1"/>
  <c r="FOK42" i="1"/>
  <c r="FOK43" i="1" s="1"/>
  <c r="FOJ42" i="1"/>
  <c r="FOJ43" i="1" s="1"/>
  <c r="FOI42" i="1"/>
  <c r="FOI43" i="1" s="1"/>
  <c r="FOH42" i="1"/>
  <c r="FOH43" i="1" s="1"/>
  <c r="FOG42" i="1"/>
  <c r="FOG43" i="1" s="1"/>
  <c r="FOF42" i="1"/>
  <c r="FOF43" i="1" s="1"/>
  <c r="FOE42" i="1"/>
  <c r="FOE43" i="1" s="1"/>
  <c r="FOD42" i="1"/>
  <c r="FOD43" i="1" s="1"/>
  <c r="FOC42" i="1"/>
  <c r="FOC43" i="1" s="1"/>
  <c r="FOB42" i="1"/>
  <c r="FOB43" i="1" s="1"/>
  <c r="FOA42" i="1"/>
  <c r="FOA43" i="1" s="1"/>
  <c r="FNZ42" i="1"/>
  <c r="FNZ43" i="1" s="1"/>
  <c r="FNY42" i="1"/>
  <c r="FNY43" i="1" s="1"/>
  <c r="FNX42" i="1"/>
  <c r="FNX43" i="1" s="1"/>
  <c r="FNW42" i="1"/>
  <c r="FNW43" i="1" s="1"/>
  <c r="FNV42" i="1"/>
  <c r="FNV43" i="1" s="1"/>
  <c r="FNU42" i="1"/>
  <c r="FNU43" i="1" s="1"/>
  <c r="FNT42" i="1"/>
  <c r="FNT43" i="1" s="1"/>
  <c r="FNS42" i="1"/>
  <c r="FNS43" i="1" s="1"/>
  <c r="FNR42" i="1"/>
  <c r="FNR43" i="1" s="1"/>
  <c r="FNQ42" i="1"/>
  <c r="FNQ43" i="1" s="1"/>
  <c r="FNP42" i="1"/>
  <c r="FNP43" i="1" s="1"/>
  <c r="FNO42" i="1"/>
  <c r="FNO43" i="1" s="1"/>
  <c r="FNN42" i="1"/>
  <c r="FNN43" i="1" s="1"/>
  <c r="FNM42" i="1"/>
  <c r="FNM43" i="1" s="1"/>
  <c r="FNL42" i="1"/>
  <c r="FNL43" i="1" s="1"/>
  <c r="FNK42" i="1"/>
  <c r="FNK43" i="1" s="1"/>
  <c r="FNJ42" i="1"/>
  <c r="FNJ43" i="1" s="1"/>
  <c r="FNI42" i="1"/>
  <c r="FNI43" i="1" s="1"/>
  <c r="FNH42" i="1"/>
  <c r="FNH43" i="1" s="1"/>
  <c r="FNG42" i="1"/>
  <c r="FNG43" i="1" s="1"/>
  <c r="FNF42" i="1"/>
  <c r="FNF43" i="1" s="1"/>
  <c r="FNE42" i="1"/>
  <c r="FNE43" i="1" s="1"/>
  <c r="FND42" i="1"/>
  <c r="FND43" i="1" s="1"/>
  <c r="FNC42" i="1"/>
  <c r="FNC43" i="1" s="1"/>
  <c r="FNB42" i="1"/>
  <c r="FNB43" i="1" s="1"/>
  <c r="FNA42" i="1"/>
  <c r="FNA43" i="1" s="1"/>
  <c r="FMZ42" i="1"/>
  <c r="FMZ43" i="1" s="1"/>
  <c r="FMY42" i="1"/>
  <c r="FMY43" i="1" s="1"/>
  <c r="FMX42" i="1"/>
  <c r="FMX43" i="1" s="1"/>
  <c r="FMW42" i="1"/>
  <c r="FMW43" i="1" s="1"/>
  <c r="FMV42" i="1"/>
  <c r="FMV43" i="1" s="1"/>
  <c r="FMU42" i="1"/>
  <c r="FMU43" i="1" s="1"/>
  <c r="FMT42" i="1"/>
  <c r="FMT43" i="1" s="1"/>
  <c r="FMS42" i="1"/>
  <c r="FMS43" i="1" s="1"/>
  <c r="FMR42" i="1"/>
  <c r="FMR43" i="1" s="1"/>
  <c r="FMQ42" i="1"/>
  <c r="FMQ43" i="1" s="1"/>
  <c r="FMP42" i="1"/>
  <c r="FMP43" i="1" s="1"/>
  <c r="FMO42" i="1"/>
  <c r="FMO43" i="1" s="1"/>
  <c r="FMN42" i="1"/>
  <c r="FMN43" i="1" s="1"/>
  <c r="FMM42" i="1"/>
  <c r="FMM43" i="1" s="1"/>
  <c r="FML42" i="1"/>
  <c r="FML43" i="1" s="1"/>
  <c r="FMK42" i="1"/>
  <c r="FMK43" i="1" s="1"/>
  <c r="FMJ42" i="1"/>
  <c r="FMJ43" i="1" s="1"/>
  <c r="FMI42" i="1"/>
  <c r="FMI43" i="1" s="1"/>
  <c r="FMH42" i="1"/>
  <c r="FMH43" i="1" s="1"/>
  <c r="FMG42" i="1"/>
  <c r="FMG43" i="1" s="1"/>
  <c r="FMF42" i="1"/>
  <c r="FMF43" i="1" s="1"/>
  <c r="FME42" i="1"/>
  <c r="FME43" i="1" s="1"/>
  <c r="FMD42" i="1"/>
  <c r="FMD43" i="1" s="1"/>
  <c r="FMC42" i="1"/>
  <c r="FMC43" i="1" s="1"/>
  <c r="FMB42" i="1"/>
  <c r="FMB43" i="1" s="1"/>
  <c r="FMA42" i="1"/>
  <c r="FMA43" i="1" s="1"/>
  <c r="FLZ42" i="1"/>
  <c r="FLZ43" i="1" s="1"/>
  <c r="FLY42" i="1"/>
  <c r="FLY43" i="1" s="1"/>
  <c r="FLX42" i="1"/>
  <c r="FLX43" i="1" s="1"/>
  <c r="FLW42" i="1"/>
  <c r="FLW43" i="1" s="1"/>
  <c r="FLV42" i="1"/>
  <c r="FLV43" i="1" s="1"/>
  <c r="FLU42" i="1"/>
  <c r="FLU43" i="1" s="1"/>
  <c r="FLT42" i="1"/>
  <c r="FLT43" i="1" s="1"/>
  <c r="FLS42" i="1"/>
  <c r="FLS43" i="1" s="1"/>
  <c r="FLR42" i="1"/>
  <c r="FLR43" i="1" s="1"/>
  <c r="FLQ42" i="1"/>
  <c r="FLP42" i="1"/>
  <c r="FLP43" i="1" s="1"/>
  <c r="FLO42" i="1"/>
  <c r="FLO43" i="1" s="1"/>
  <c r="FLN42" i="1"/>
  <c r="FLN43" i="1" s="1"/>
  <c r="FLM42" i="1"/>
  <c r="FLL42" i="1"/>
  <c r="FLL43" i="1" s="1"/>
  <c r="FLK42" i="1"/>
  <c r="FLK43" i="1" s="1"/>
  <c r="FLJ42" i="1"/>
  <c r="FLJ43" i="1" s="1"/>
  <c r="FLI42" i="1"/>
  <c r="FLI43" i="1" s="1"/>
  <c r="FLH42" i="1"/>
  <c r="FLH43" i="1" s="1"/>
  <c r="FLG42" i="1"/>
  <c r="FLG43" i="1" s="1"/>
  <c r="FLF42" i="1"/>
  <c r="FLF43" i="1" s="1"/>
  <c r="FLE42" i="1"/>
  <c r="FLE43" i="1" s="1"/>
  <c r="FLD42" i="1"/>
  <c r="FLD43" i="1" s="1"/>
  <c r="FLC42" i="1"/>
  <c r="FLC43" i="1" s="1"/>
  <c r="FLB42" i="1"/>
  <c r="FLB43" i="1" s="1"/>
  <c r="FLA42" i="1"/>
  <c r="FLA43" i="1" s="1"/>
  <c r="FKZ42" i="1"/>
  <c r="FKZ43" i="1" s="1"/>
  <c r="FKY42" i="1"/>
  <c r="FKY43" i="1" s="1"/>
  <c r="FKX42" i="1"/>
  <c r="FKX43" i="1" s="1"/>
  <c r="FKW42" i="1"/>
  <c r="FKW43" i="1" s="1"/>
  <c r="FKV42" i="1"/>
  <c r="FKV43" i="1" s="1"/>
  <c r="FKU42" i="1"/>
  <c r="FKU43" i="1" s="1"/>
  <c r="FKT42" i="1"/>
  <c r="FKT43" i="1" s="1"/>
  <c r="FKS42" i="1"/>
  <c r="FKS43" i="1" s="1"/>
  <c r="FKR42" i="1"/>
  <c r="FKR43" i="1" s="1"/>
  <c r="FKQ42" i="1"/>
  <c r="FKQ43" i="1" s="1"/>
  <c r="FKP42" i="1"/>
  <c r="FKP43" i="1" s="1"/>
  <c r="FKO42" i="1"/>
  <c r="FKO43" i="1" s="1"/>
  <c r="FKN42" i="1"/>
  <c r="FKN43" i="1" s="1"/>
  <c r="FKM42" i="1"/>
  <c r="FKM43" i="1" s="1"/>
  <c r="FKL42" i="1"/>
  <c r="FKL43" i="1" s="1"/>
  <c r="FKK42" i="1"/>
  <c r="FKK43" i="1" s="1"/>
  <c r="FKJ42" i="1"/>
  <c r="FKJ43" i="1" s="1"/>
  <c r="FKI42" i="1"/>
  <c r="FKI43" i="1" s="1"/>
  <c r="FKH42" i="1"/>
  <c r="FKH43" i="1" s="1"/>
  <c r="FKG42" i="1"/>
  <c r="FKG43" i="1" s="1"/>
  <c r="FKF42" i="1"/>
  <c r="FKF43" i="1" s="1"/>
  <c r="FKE42" i="1"/>
  <c r="FKE43" i="1" s="1"/>
  <c r="FKD42" i="1"/>
  <c r="FKD43" i="1" s="1"/>
  <c r="FKC42" i="1"/>
  <c r="FKC43" i="1" s="1"/>
  <c r="FKB42" i="1"/>
  <c r="FKB43" i="1" s="1"/>
  <c r="FKA42" i="1"/>
  <c r="FKA43" i="1" s="1"/>
  <c r="FJZ42" i="1"/>
  <c r="FJZ43" i="1" s="1"/>
  <c r="FJY42" i="1"/>
  <c r="FJY43" i="1" s="1"/>
  <c r="FJX42" i="1"/>
  <c r="FJX43" i="1" s="1"/>
  <c r="FJW42" i="1"/>
  <c r="FJW43" i="1" s="1"/>
  <c r="FJV42" i="1"/>
  <c r="FJV43" i="1" s="1"/>
  <c r="FJU42" i="1"/>
  <c r="FJU43" i="1" s="1"/>
  <c r="FJT42" i="1"/>
  <c r="FJT43" i="1" s="1"/>
  <c r="FJS42" i="1"/>
  <c r="FJS43" i="1" s="1"/>
  <c r="FJR42" i="1"/>
  <c r="FJR43" i="1" s="1"/>
  <c r="FJQ42" i="1"/>
  <c r="FJQ43" i="1" s="1"/>
  <c r="FJP42" i="1"/>
  <c r="FJP43" i="1" s="1"/>
  <c r="FJO42" i="1"/>
  <c r="FJO43" i="1" s="1"/>
  <c r="FJN42" i="1"/>
  <c r="FJN43" i="1" s="1"/>
  <c r="FJM42" i="1"/>
  <c r="FJM43" i="1" s="1"/>
  <c r="FJL42" i="1"/>
  <c r="FJL43" i="1" s="1"/>
  <c r="FJK42" i="1"/>
  <c r="FJK43" i="1" s="1"/>
  <c r="FJJ42" i="1"/>
  <c r="FJJ43" i="1" s="1"/>
  <c r="FJI42" i="1"/>
  <c r="FJI43" i="1" s="1"/>
  <c r="FJH42" i="1"/>
  <c r="FJH43" i="1" s="1"/>
  <c r="FJG42" i="1"/>
  <c r="FJG43" i="1" s="1"/>
  <c r="FJF42" i="1"/>
  <c r="FJF43" i="1" s="1"/>
  <c r="FJE42" i="1"/>
  <c r="FJE43" i="1" s="1"/>
  <c r="FJD42" i="1"/>
  <c r="FJD43" i="1" s="1"/>
  <c r="FJC42" i="1"/>
  <c r="FJC43" i="1" s="1"/>
  <c r="FJB42" i="1"/>
  <c r="FJB43" i="1" s="1"/>
  <c r="FJA42" i="1"/>
  <c r="FJA43" i="1" s="1"/>
  <c r="FIZ42" i="1"/>
  <c r="FIZ43" i="1" s="1"/>
  <c r="FIY42" i="1"/>
  <c r="FIY43" i="1" s="1"/>
  <c r="FIX42" i="1"/>
  <c r="FIX43" i="1" s="1"/>
  <c r="FIW42" i="1"/>
  <c r="FIW43" i="1" s="1"/>
  <c r="FIV42" i="1"/>
  <c r="FIV43" i="1" s="1"/>
  <c r="FIU42" i="1"/>
  <c r="FIU43" i="1" s="1"/>
  <c r="FIT42" i="1"/>
  <c r="FIT43" i="1" s="1"/>
  <c r="FIS42" i="1"/>
  <c r="FIS43" i="1" s="1"/>
  <c r="FIR42" i="1"/>
  <c r="FIR43" i="1" s="1"/>
  <c r="FIQ42" i="1"/>
  <c r="FIQ43" i="1" s="1"/>
  <c r="FIP42" i="1"/>
  <c r="FIP43" i="1" s="1"/>
  <c r="FIO42" i="1"/>
  <c r="FIO43" i="1" s="1"/>
  <c r="FIN42" i="1"/>
  <c r="FIN43" i="1" s="1"/>
  <c r="FIM42" i="1"/>
  <c r="FIM43" i="1" s="1"/>
  <c r="FIL42" i="1"/>
  <c r="FIL43" i="1" s="1"/>
  <c r="FIK42" i="1"/>
  <c r="FIK43" i="1" s="1"/>
  <c r="FIJ42" i="1"/>
  <c r="FIJ43" i="1" s="1"/>
  <c r="FII42" i="1"/>
  <c r="FII43" i="1" s="1"/>
  <c r="FIH42" i="1"/>
  <c r="FIH43" i="1" s="1"/>
  <c r="FIG42" i="1"/>
  <c r="FIG43" i="1" s="1"/>
  <c r="FIF42" i="1"/>
  <c r="FIF43" i="1" s="1"/>
  <c r="FIE42" i="1"/>
  <c r="FIE43" i="1" s="1"/>
  <c r="FID42" i="1"/>
  <c r="FID43" i="1" s="1"/>
  <c r="FIC42" i="1"/>
  <c r="FIC43" i="1" s="1"/>
  <c r="FIB42" i="1"/>
  <c r="FIB43" i="1" s="1"/>
  <c r="FIA42" i="1"/>
  <c r="FIA43" i="1" s="1"/>
  <c r="FHZ42" i="1"/>
  <c r="FHZ43" i="1" s="1"/>
  <c r="FHY42" i="1"/>
  <c r="FHY43" i="1" s="1"/>
  <c r="FHX42" i="1"/>
  <c r="FHX43" i="1" s="1"/>
  <c r="FHW42" i="1"/>
  <c r="FHW43" i="1" s="1"/>
  <c r="FHV42" i="1"/>
  <c r="FHV43" i="1" s="1"/>
  <c r="FHU42" i="1"/>
  <c r="FHU43" i="1" s="1"/>
  <c r="FHT42" i="1"/>
  <c r="FHT43" i="1" s="1"/>
  <c r="FHS42" i="1"/>
  <c r="FHS43" i="1" s="1"/>
  <c r="FHR42" i="1"/>
  <c r="FHR43" i="1" s="1"/>
  <c r="FHQ42" i="1"/>
  <c r="FHQ43" i="1" s="1"/>
  <c r="FHP42" i="1"/>
  <c r="FHP43" i="1" s="1"/>
  <c r="FHO42" i="1"/>
  <c r="FHO43" i="1" s="1"/>
  <c r="FHN42" i="1"/>
  <c r="FHN43" i="1" s="1"/>
  <c r="FHM42" i="1"/>
  <c r="FHM43" i="1" s="1"/>
  <c r="FHL42" i="1"/>
  <c r="FHL43" i="1" s="1"/>
  <c r="FHK42" i="1"/>
  <c r="FHK43" i="1" s="1"/>
  <c r="FHJ42" i="1"/>
  <c r="FHJ43" i="1" s="1"/>
  <c r="FHI42" i="1"/>
  <c r="FHI43" i="1" s="1"/>
  <c r="FHH42" i="1"/>
  <c r="FHH43" i="1" s="1"/>
  <c r="FHG42" i="1"/>
  <c r="FHG43" i="1" s="1"/>
  <c r="FHF42" i="1"/>
  <c r="FHF43" i="1" s="1"/>
  <c r="FHE42" i="1"/>
  <c r="FHE43" i="1" s="1"/>
  <c r="FHD42" i="1"/>
  <c r="FHD43" i="1" s="1"/>
  <c r="FHC42" i="1"/>
  <c r="FHC43" i="1" s="1"/>
  <c r="FHB42" i="1"/>
  <c r="FHB43" i="1" s="1"/>
  <c r="FHA42" i="1"/>
  <c r="FHA43" i="1" s="1"/>
  <c r="FGZ42" i="1"/>
  <c r="FGZ43" i="1" s="1"/>
  <c r="FGY42" i="1"/>
  <c r="FGY43" i="1" s="1"/>
  <c r="FGX42" i="1"/>
  <c r="FGX43" i="1" s="1"/>
  <c r="FGW42" i="1"/>
  <c r="FGW43" i="1" s="1"/>
  <c r="FGV42" i="1"/>
  <c r="FGV43" i="1" s="1"/>
  <c r="FGU42" i="1"/>
  <c r="FGU43" i="1" s="1"/>
  <c r="FGT42" i="1"/>
  <c r="FGT43" i="1" s="1"/>
  <c r="FGS42" i="1"/>
  <c r="FGS43" i="1" s="1"/>
  <c r="FGR42" i="1"/>
  <c r="FGR43" i="1" s="1"/>
  <c r="FGQ42" i="1"/>
  <c r="FGQ43" i="1" s="1"/>
  <c r="FGP42" i="1"/>
  <c r="FGP43" i="1" s="1"/>
  <c r="FGO42" i="1"/>
  <c r="FGO43" i="1" s="1"/>
  <c r="FGN42" i="1"/>
  <c r="FGN43" i="1" s="1"/>
  <c r="FGM42" i="1"/>
  <c r="FGM43" i="1" s="1"/>
  <c r="FGL42" i="1"/>
  <c r="FGL43" i="1" s="1"/>
  <c r="FGK42" i="1"/>
  <c r="FGK43" i="1" s="1"/>
  <c r="FGJ42" i="1"/>
  <c r="FGJ43" i="1" s="1"/>
  <c r="FGI42" i="1"/>
  <c r="FGI43" i="1" s="1"/>
  <c r="FGH42" i="1"/>
  <c r="FGH43" i="1" s="1"/>
  <c r="FGG42" i="1"/>
  <c r="FGG43" i="1" s="1"/>
  <c r="FGF42" i="1"/>
  <c r="FGF43" i="1" s="1"/>
  <c r="FGE42" i="1"/>
  <c r="FGE43" i="1" s="1"/>
  <c r="FGD42" i="1"/>
  <c r="FGD43" i="1" s="1"/>
  <c r="FGC42" i="1"/>
  <c r="FGC43" i="1" s="1"/>
  <c r="FGB42" i="1"/>
  <c r="FGB43" i="1" s="1"/>
  <c r="FGA42" i="1"/>
  <c r="FGA43" i="1" s="1"/>
  <c r="FFZ42" i="1"/>
  <c r="FFZ43" i="1" s="1"/>
  <c r="FFY42" i="1"/>
  <c r="FFY43" i="1" s="1"/>
  <c r="FFX42" i="1"/>
  <c r="FFX43" i="1" s="1"/>
  <c r="FFW42" i="1"/>
  <c r="FFW43" i="1" s="1"/>
  <c r="FFV42" i="1"/>
  <c r="FFV43" i="1" s="1"/>
  <c r="FFU42" i="1"/>
  <c r="FFU43" i="1" s="1"/>
  <c r="FFT42" i="1"/>
  <c r="FFT43" i="1" s="1"/>
  <c r="FFS42" i="1"/>
  <c r="FFS43" i="1" s="1"/>
  <c r="FFR42" i="1"/>
  <c r="FFR43" i="1" s="1"/>
  <c r="FFQ42" i="1"/>
  <c r="FFQ43" i="1" s="1"/>
  <c r="FFP42" i="1"/>
  <c r="FFP43" i="1" s="1"/>
  <c r="FFO42" i="1"/>
  <c r="FFO43" i="1" s="1"/>
  <c r="FFN42" i="1"/>
  <c r="FFN43" i="1" s="1"/>
  <c r="FFM42" i="1"/>
  <c r="FFM43" i="1" s="1"/>
  <c r="FFL42" i="1"/>
  <c r="FFL43" i="1" s="1"/>
  <c r="FFK42" i="1"/>
  <c r="FFK43" i="1" s="1"/>
  <c r="FFJ42" i="1"/>
  <c r="FFJ43" i="1" s="1"/>
  <c r="FFI42" i="1"/>
  <c r="FFI43" i="1" s="1"/>
  <c r="FFH42" i="1"/>
  <c r="FFH43" i="1" s="1"/>
  <c r="FFG42" i="1"/>
  <c r="FFG43" i="1" s="1"/>
  <c r="FFF42" i="1"/>
  <c r="FFF43" i="1" s="1"/>
  <c r="FFE42" i="1"/>
  <c r="FFE43" i="1" s="1"/>
  <c r="FFD42" i="1"/>
  <c r="FFD43" i="1" s="1"/>
  <c r="FFC42" i="1"/>
  <c r="FFC43" i="1" s="1"/>
  <c r="FFB42" i="1"/>
  <c r="FFB43" i="1" s="1"/>
  <c r="FFA42" i="1"/>
  <c r="FFA43" i="1" s="1"/>
  <c r="FEZ42" i="1"/>
  <c r="FEZ43" i="1" s="1"/>
  <c r="FEY42" i="1"/>
  <c r="FEY43" i="1" s="1"/>
  <c r="FEX42" i="1"/>
  <c r="FEX43" i="1" s="1"/>
  <c r="FEW42" i="1"/>
  <c r="FEW43" i="1" s="1"/>
  <c r="FEV42" i="1"/>
  <c r="FEV43" i="1" s="1"/>
  <c r="FEU42" i="1"/>
  <c r="FEU43" i="1" s="1"/>
  <c r="FET42" i="1"/>
  <c r="FET43" i="1" s="1"/>
  <c r="FES42" i="1"/>
  <c r="FES43" i="1" s="1"/>
  <c r="FER42" i="1"/>
  <c r="FER43" i="1" s="1"/>
  <c r="FEQ42" i="1"/>
  <c r="FEQ43" i="1" s="1"/>
  <c r="FEP42" i="1"/>
  <c r="FEP43" i="1" s="1"/>
  <c r="FEO42" i="1"/>
  <c r="FEO43" i="1" s="1"/>
  <c r="FEN42" i="1"/>
  <c r="FEN43" i="1" s="1"/>
  <c r="FEM42" i="1"/>
  <c r="FEM43" i="1" s="1"/>
  <c r="FEL42" i="1"/>
  <c r="FEL43" i="1" s="1"/>
  <c r="FEK42" i="1"/>
  <c r="FEK43" i="1" s="1"/>
  <c r="FEJ42" i="1"/>
  <c r="FEJ43" i="1" s="1"/>
  <c r="FEI42" i="1"/>
  <c r="FEI43" i="1" s="1"/>
  <c r="FEH42" i="1"/>
  <c r="FEH43" i="1" s="1"/>
  <c r="FEG42" i="1"/>
  <c r="FEG43" i="1" s="1"/>
  <c r="FEF42" i="1"/>
  <c r="FEF43" i="1" s="1"/>
  <c r="FEE42" i="1"/>
  <c r="FEE43" i="1" s="1"/>
  <c r="FED42" i="1"/>
  <c r="FED43" i="1" s="1"/>
  <c r="FEC42" i="1"/>
  <c r="FEC43" i="1" s="1"/>
  <c r="FEB42" i="1"/>
  <c r="FEB43" i="1" s="1"/>
  <c r="FEA42" i="1"/>
  <c r="FEA43" i="1" s="1"/>
  <c r="FDZ42" i="1"/>
  <c r="FDZ43" i="1" s="1"/>
  <c r="FDY42" i="1"/>
  <c r="FDY43" i="1" s="1"/>
  <c r="FDX42" i="1"/>
  <c r="FDX43" i="1" s="1"/>
  <c r="FDW42" i="1"/>
  <c r="FDW43" i="1" s="1"/>
  <c r="FDV42" i="1"/>
  <c r="FDV43" i="1" s="1"/>
  <c r="FDU42" i="1"/>
  <c r="FDU43" i="1" s="1"/>
  <c r="FDT42" i="1"/>
  <c r="FDT43" i="1" s="1"/>
  <c r="FDS42" i="1"/>
  <c r="FDS43" i="1" s="1"/>
  <c r="FDR42" i="1"/>
  <c r="FDR43" i="1" s="1"/>
  <c r="FDQ42" i="1"/>
  <c r="FDQ43" i="1" s="1"/>
  <c r="FDP42" i="1"/>
  <c r="FDP43" i="1" s="1"/>
  <c r="FDO42" i="1"/>
  <c r="FDO43" i="1" s="1"/>
  <c r="FDN42" i="1"/>
  <c r="FDN43" i="1" s="1"/>
  <c r="FDM42" i="1"/>
  <c r="FDM43" i="1" s="1"/>
  <c r="FDL42" i="1"/>
  <c r="FDL43" i="1" s="1"/>
  <c r="FDK42" i="1"/>
  <c r="FDK43" i="1" s="1"/>
  <c r="FDJ42" i="1"/>
  <c r="FDJ43" i="1" s="1"/>
  <c r="FDI42" i="1"/>
  <c r="FDI43" i="1" s="1"/>
  <c r="FDH42" i="1"/>
  <c r="FDH43" i="1" s="1"/>
  <c r="FDG42" i="1"/>
  <c r="FDG43" i="1" s="1"/>
  <c r="FDF42" i="1"/>
  <c r="FDF43" i="1" s="1"/>
  <c r="FDE42" i="1"/>
  <c r="FDE43" i="1" s="1"/>
  <c r="FDD42" i="1"/>
  <c r="FDD43" i="1" s="1"/>
  <c r="FDC42" i="1"/>
  <c r="FDC43" i="1" s="1"/>
  <c r="FDB42" i="1"/>
  <c r="FDB43" i="1" s="1"/>
  <c r="FDA42" i="1"/>
  <c r="FDA43" i="1" s="1"/>
  <c r="FCZ42" i="1"/>
  <c r="FCZ43" i="1" s="1"/>
  <c r="FCY42" i="1"/>
  <c r="FCY43" i="1" s="1"/>
  <c r="FCX42" i="1"/>
  <c r="FCX43" i="1" s="1"/>
  <c r="FCW42" i="1"/>
  <c r="FCW43" i="1" s="1"/>
  <c r="FCV42" i="1"/>
  <c r="FCV43" i="1" s="1"/>
  <c r="FCU42" i="1"/>
  <c r="FCU43" i="1" s="1"/>
  <c r="FCT42" i="1"/>
  <c r="FCT43" i="1" s="1"/>
  <c r="FCS42" i="1"/>
  <c r="FCS43" i="1" s="1"/>
  <c r="FCR42" i="1"/>
  <c r="FCR43" i="1" s="1"/>
  <c r="FCQ42" i="1"/>
  <c r="FCQ43" i="1" s="1"/>
  <c r="FCP42" i="1"/>
  <c r="FCP43" i="1" s="1"/>
  <c r="FCO42" i="1"/>
  <c r="FCO43" i="1" s="1"/>
  <c r="FCN42" i="1"/>
  <c r="FCN43" i="1" s="1"/>
  <c r="FCM42" i="1"/>
  <c r="FCM43" i="1" s="1"/>
  <c r="FCL42" i="1"/>
  <c r="FCL43" i="1" s="1"/>
  <c r="FCK42" i="1"/>
  <c r="FCK43" i="1" s="1"/>
  <c r="FCJ42" i="1"/>
  <c r="FCJ43" i="1" s="1"/>
  <c r="FCI42" i="1"/>
  <c r="FCI43" i="1" s="1"/>
  <c r="FCH42" i="1"/>
  <c r="FCH43" i="1" s="1"/>
  <c r="FCG42" i="1"/>
  <c r="FCG43" i="1" s="1"/>
  <c r="FCF42" i="1"/>
  <c r="FCF43" i="1" s="1"/>
  <c r="FCE42" i="1"/>
  <c r="FCE43" i="1" s="1"/>
  <c r="FCD42" i="1"/>
  <c r="FCD43" i="1" s="1"/>
  <c r="FCC42" i="1"/>
  <c r="FCC43" i="1" s="1"/>
  <c r="FCB42" i="1"/>
  <c r="FCB43" i="1" s="1"/>
  <c r="FCA42" i="1"/>
  <c r="FCA43" i="1" s="1"/>
  <c r="FBZ42" i="1"/>
  <c r="FBZ43" i="1" s="1"/>
  <c r="FBY42" i="1"/>
  <c r="FBY43" i="1" s="1"/>
  <c r="FBX42" i="1"/>
  <c r="FBX43" i="1" s="1"/>
  <c r="FBW42" i="1"/>
  <c r="FBW43" i="1" s="1"/>
  <c r="FBV42" i="1"/>
  <c r="FBV43" i="1" s="1"/>
  <c r="FBU42" i="1"/>
  <c r="FBU43" i="1" s="1"/>
  <c r="FBT42" i="1"/>
  <c r="FBT43" i="1" s="1"/>
  <c r="FBS42" i="1"/>
  <c r="FBS43" i="1" s="1"/>
  <c r="FBR42" i="1"/>
  <c r="FBR43" i="1" s="1"/>
  <c r="FBQ42" i="1"/>
  <c r="FBQ43" i="1" s="1"/>
  <c r="FBP42" i="1"/>
  <c r="FBP43" i="1" s="1"/>
  <c r="FBO42" i="1"/>
  <c r="FBO43" i="1" s="1"/>
  <c r="FBN42" i="1"/>
  <c r="FBN43" i="1" s="1"/>
  <c r="FBM42" i="1"/>
  <c r="FBM43" i="1" s="1"/>
  <c r="FBL42" i="1"/>
  <c r="FBL43" i="1" s="1"/>
  <c r="FBK42" i="1"/>
  <c r="FBK43" i="1" s="1"/>
  <c r="FBJ42" i="1"/>
  <c r="FBJ43" i="1" s="1"/>
  <c r="FBI42" i="1"/>
  <c r="FBI43" i="1" s="1"/>
  <c r="FBH42" i="1"/>
  <c r="FBH43" i="1" s="1"/>
  <c r="FBG42" i="1"/>
  <c r="FBG43" i="1" s="1"/>
  <c r="FBF42" i="1"/>
  <c r="FBF43" i="1" s="1"/>
  <c r="FBE42" i="1"/>
  <c r="FBE43" i="1" s="1"/>
  <c r="FBD42" i="1"/>
  <c r="FBD43" i="1" s="1"/>
  <c r="FBC42" i="1"/>
  <c r="FBC43" i="1" s="1"/>
  <c r="FBB42" i="1"/>
  <c r="FBB43" i="1" s="1"/>
  <c r="FBA42" i="1"/>
  <c r="FBA43" i="1" s="1"/>
  <c r="FAZ42" i="1"/>
  <c r="FAZ43" i="1" s="1"/>
  <c r="FAY42" i="1"/>
  <c r="FAY43" i="1" s="1"/>
  <c r="FAX42" i="1"/>
  <c r="FAX43" i="1" s="1"/>
  <c r="FAW42" i="1"/>
  <c r="FAW43" i="1" s="1"/>
  <c r="FAV42" i="1"/>
  <c r="FAV43" i="1" s="1"/>
  <c r="FAU42" i="1"/>
  <c r="FAU43" i="1" s="1"/>
  <c r="FAT42" i="1"/>
  <c r="FAT43" i="1" s="1"/>
  <c r="FAS42" i="1"/>
  <c r="FAS43" i="1" s="1"/>
  <c r="FAR42" i="1"/>
  <c r="FAR43" i="1" s="1"/>
  <c r="FAQ42" i="1"/>
  <c r="FAQ43" i="1" s="1"/>
  <c r="FAP42" i="1"/>
  <c r="FAP43" i="1" s="1"/>
  <c r="FAO42" i="1"/>
  <c r="FAO43" i="1" s="1"/>
  <c r="FAN42" i="1"/>
  <c r="FAN43" i="1" s="1"/>
  <c r="FAM42" i="1"/>
  <c r="FAM43" i="1" s="1"/>
  <c r="FAL42" i="1"/>
  <c r="FAL43" i="1" s="1"/>
  <c r="FAK42" i="1"/>
  <c r="FAK43" i="1" s="1"/>
  <c r="FAJ42" i="1"/>
  <c r="FAJ43" i="1" s="1"/>
  <c r="FAI42" i="1"/>
  <c r="FAI43" i="1" s="1"/>
  <c r="FAH42" i="1"/>
  <c r="FAH43" i="1" s="1"/>
  <c r="FAG42" i="1"/>
  <c r="FAG43" i="1" s="1"/>
  <c r="FAF42" i="1"/>
  <c r="FAF43" i="1" s="1"/>
  <c r="FAE42" i="1"/>
  <c r="FAE43" i="1" s="1"/>
  <c r="FAD42" i="1"/>
  <c r="FAD43" i="1" s="1"/>
  <c r="FAC42" i="1"/>
  <c r="FAC43" i="1" s="1"/>
  <c r="FAB42" i="1"/>
  <c r="FAB43" i="1" s="1"/>
  <c r="FAA42" i="1"/>
  <c r="FAA43" i="1" s="1"/>
  <c r="EZZ42" i="1"/>
  <c r="EZZ43" i="1" s="1"/>
  <c r="EZY42" i="1"/>
  <c r="EZY43" i="1" s="1"/>
  <c r="EZX42" i="1"/>
  <c r="EZX43" i="1" s="1"/>
  <c r="EZW42" i="1"/>
  <c r="EZW43" i="1" s="1"/>
  <c r="EZV42" i="1"/>
  <c r="EZV43" i="1" s="1"/>
  <c r="EZU42" i="1"/>
  <c r="EZU43" i="1" s="1"/>
  <c r="EZT42" i="1"/>
  <c r="EZT43" i="1" s="1"/>
  <c r="EZS42" i="1"/>
  <c r="EZS43" i="1" s="1"/>
  <c r="EZR42" i="1"/>
  <c r="EZR43" i="1" s="1"/>
  <c r="EZQ42" i="1"/>
  <c r="EZQ43" i="1" s="1"/>
  <c r="EZP42" i="1"/>
  <c r="EZP43" i="1" s="1"/>
  <c r="EZO42" i="1"/>
  <c r="EZO43" i="1" s="1"/>
  <c r="EZN42" i="1"/>
  <c r="EZN43" i="1" s="1"/>
  <c r="EZM42" i="1"/>
  <c r="EZM43" i="1" s="1"/>
  <c r="EZL42" i="1"/>
  <c r="EZL43" i="1" s="1"/>
  <c r="EZK42" i="1"/>
  <c r="EZK43" i="1" s="1"/>
  <c r="EZJ42" i="1"/>
  <c r="EZJ43" i="1" s="1"/>
  <c r="EZI42" i="1"/>
  <c r="EZI43" i="1" s="1"/>
  <c r="EZH42" i="1"/>
  <c r="EZH43" i="1" s="1"/>
  <c r="EZG42" i="1"/>
  <c r="EZG43" i="1" s="1"/>
  <c r="EZF42" i="1"/>
  <c r="EZF43" i="1" s="1"/>
  <c r="EZE42" i="1"/>
  <c r="EZE43" i="1" s="1"/>
  <c r="EZD42" i="1"/>
  <c r="EZD43" i="1" s="1"/>
  <c r="EZC42" i="1"/>
  <c r="EZC43" i="1" s="1"/>
  <c r="EZB42" i="1"/>
  <c r="EZB43" i="1" s="1"/>
  <c r="EZA42" i="1"/>
  <c r="EZA43" i="1" s="1"/>
  <c r="EYZ42" i="1"/>
  <c r="EYZ43" i="1" s="1"/>
  <c r="EYY42" i="1"/>
  <c r="EYY43" i="1" s="1"/>
  <c r="EYX42" i="1"/>
  <c r="EYX43" i="1" s="1"/>
  <c r="EYW42" i="1"/>
  <c r="EYW43" i="1" s="1"/>
  <c r="EYV42" i="1"/>
  <c r="EYV43" i="1" s="1"/>
  <c r="EYU42" i="1"/>
  <c r="EYU43" i="1" s="1"/>
  <c r="EYT42" i="1"/>
  <c r="EYT43" i="1" s="1"/>
  <c r="EYS42" i="1"/>
  <c r="EYS43" i="1" s="1"/>
  <c r="EYR42" i="1"/>
  <c r="EYR43" i="1" s="1"/>
  <c r="EYQ42" i="1"/>
  <c r="EYQ43" i="1" s="1"/>
  <c r="EYP42" i="1"/>
  <c r="EYP43" i="1" s="1"/>
  <c r="EYO42" i="1"/>
  <c r="EYO43" i="1" s="1"/>
  <c r="EYN42" i="1"/>
  <c r="EYN43" i="1" s="1"/>
  <c r="EYM42" i="1"/>
  <c r="EYM43" i="1" s="1"/>
  <c r="EYL42" i="1"/>
  <c r="EYL43" i="1" s="1"/>
  <c r="EYK42" i="1"/>
  <c r="EYK43" i="1" s="1"/>
  <c r="EYJ42" i="1"/>
  <c r="EYJ43" i="1" s="1"/>
  <c r="EYI42" i="1"/>
  <c r="EYI43" i="1" s="1"/>
  <c r="EYH42" i="1"/>
  <c r="EYH43" i="1" s="1"/>
  <c r="EYG42" i="1"/>
  <c r="EYG43" i="1" s="1"/>
  <c r="EYF42" i="1"/>
  <c r="EYE42" i="1"/>
  <c r="EYE43" i="1" s="1"/>
  <c r="EYD42" i="1"/>
  <c r="EYD43" i="1" s="1"/>
  <c r="EYC42" i="1"/>
  <c r="EYC43" i="1" s="1"/>
  <c r="EYB42" i="1"/>
  <c r="EYB43" i="1" s="1"/>
  <c r="EYA42" i="1"/>
  <c r="EYA43" i="1" s="1"/>
  <c r="EXZ42" i="1"/>
  <c r="EXZ43" i="1" s="1"/>
  <c r="EXY42" i="1"/>
  <c r="EXY43" i="1" s="1"/>
  <c r="EXX42" i="1"/>
  <c r="EXX43" i="1" s="1"/>
  <c r="EXW42" i="1"/>
  <c r="EXW43" i="1" s="1"/>
  <c r="EXV42" i="1"/>
  <c r="EXV43" i="1" s="1"/>
  <c r="EXU42" i="1"/>
  <c r="EXU43" i="1" s="1"/>
  <c r="EXT42" i="1"/>
  <c r="EXT43" i="1" s="1"/>
  <c r="EXS42" i="1"/>
  <c r="EXS43" i="1" s="1"/>
  <c r="EXR42" i="1"/>
  <c r="EXR43" i="1" s="1"/>
  <c r="EXQ42" i="1"/>
  <c r="EXQ43" i="1" s="1"/>
  <c r="EXP42" i="1"/>
  <c r="EXP43" i="1" s="1"/>
  <c r="EXO42" i="1"/>
  <c r="EXO43" i="1" s="1"/>
  <c r="EXN42" i="1"/>
  <c r="EXN43" i="1" s="1"/>
  <c r="EXM42" i="1"/>
  <c r="EXM43" i="1" s="1"/>
  <c r="EXL42" i="1"/>
  <c r="EXL43" i="1" s="1"/>
  <c r="EXK42" i="1"/>
  <c r="EXK43" i="1" s="1"/>
  <c r="EXJ42" i="1"/>
  <c r="EXJ43" i="1" s="1"/>
  <c r="EXI42" i="1"/>
  <c r="EXI43" i="1" s="1"/>
  <c r="EXH42" i="1"/>
  <c r="EXH43" i="1" s="1"/>
  <c r="EXG42" i="1"/>
  <c r="EXG43" i="1" s="1"/>
  <c r="EXF42" i="1"/>
  <c r="EXF43" i="1" s="1"/>
  <c r="EXE42" i="1"/>
  <c r="EXE43" i="1" s="1"/>
  <c r="EXD42" i="1"/>
  <c r="EXD43" i="1" s="1"/>
  <c r="EXC42" i="1"/>
  <c r="EXC43" i="1" s="1"/>
  <c r="EXB42" i="1"/>
  <c r="EXB43" i="1" s="1"/>
  <c r="EXA42" i="1"/>
  <c r="EXA43" i="1" s="1"/>
  <c r="EWZ42" i="1"/>
  <c r="EWZ43" i="1" s="1"/>
  <c r="EWY42" i="1"/>
  <c r="EWY43" i="1" s="1"/>
  <c r="EWX42" i="1"/>
  <c r="EWX43" i="1" s="1"/>
  <c r="EWW42" i="1"/>
  <c r="EWW43" i="1" s="1"/>
  <c r="EWV42" i="1"/>
  <c r="EWV43" i="1" s="1"/>
  <c r="EWU42" i="1"/>
  <c r="EWU43" i="1" s="1"/>
  <c r="EWT42" i="1"/>
  <c r="EWT43" i="1" s="1"/>
  <c r="EWS42" i="1"/>
  <c r="EWS43" i="1" s="1"/>
  <c r="EWR42" i="1"/>
  <c r="EWR43" i="1" s="1"/>
  <c r="EWQ42" i="1"/>
  <c r="EWQ43" i="1" s="1"/>
  <c r="EWP42" i="1"/>
  <c r="EWP43" i="1" s="1"/>
  <c r="EWO42" i="1"/>
  <c r="EWO43" i="1" s="1"/>
  <c r="EWN42" i="1"/>
  <c r="EWN43" i="1" s="1"/>
  <c r="EWM42" i="1"/>
  <c r="EWM43" i="1" s="1"/>
  <c r="EWL42" i="1"/>
  <c r="EWL43" i="1" s="1"/>
  <c r="EWK42" i="1"/>
  <c r="EWK43" i="1" s="1"/>
  <c r="EWJ42" i="1"/>
  <c r="EWJ43" i="1" s="1"/>
  <c r="EWI42" i="1"/>
  <c r="EWI43" i="1" s="1"/>
  <c r="EWH42" i="1"/>
  <c r="EWH43" i="1" s="1"/>
  <c r="EWG42" i="1"/>
  <c r="EWG43" i="1" s="1"/>
  <c r="EWF42" i="1"/>
  <c r="EWF43" i="1" s="1"/>
  <c r="EWE42" i="1"/>
  <c r="EWE43" i="1" s="1"/>
  <c r="EWD42" i="1"/>
  <c r="EWD43" i="1" s="1"/>
  <c r="EWC42" i="1"/>
  <c r="EWC43" i="1" s="1"/>
  <c r="EWB42" i="1"/>
  <c r="EWB43" i="1" s="1"/>
  <c r="EWA42" i="1"/>
  <c r="EWA43" i="1" s="1"/>
  <c r="EVZ42" i="1"/>
  <c r="EVZ43" i="1" s="1"/>
  <c r="EVY42" i="1"/>
  <c r="EVY43" i="1" s="1"/>
  <c r="EVX42" i="1"/>
  <c r="EVX43" i="1" s="1"/>
  <c r="EVW42" i="1"/>
  <c r="EVW43" i="1" s="1"/>
  <c r="EVV42" i="1"/>
  <c r="EVV43" i="1" s="1"/>
  <c r="EVU42" i="1"/>
  <c r="EVU43" i="1" s="1"/>
  <c r="EVT42" i="1"/>
  <c r="EVT43" i="1" s="1"/>
  <c r="EVS42" i="1"/>
  <c r="EVS43" i="1" s="1"/>
  <c r="EVR42" i="1"/>
  <c r="EVR43" i="1" s="1"/>
  <c r="EVQ42" i="1"/>
  <c r="EVQ43" i="1" s="1"/>
  <c r="EVP42" i="1"/>
  <c r="EVP43" i="1" s="1"/>
  <c r="EVO42" i="1"/>
  <c r="EVO43" i="1" s="1"/>
  <c r="EVN42" i="1"/>
  <c r="EVN43" i="1" s="1"/>
  <c r="EVM42" i="1"/>
  <c r="EVM43" i="1" s="1"/>
  <c r="EVL42" i="1"/>
  <c r="EVL43" i="1" s="1"/>
  <c r="EVK42" i="1"/>
  <c r="EVK43" i="1" s="1"/>
  <c r="EVJ42" i="1"/>
  <c r="EVJ43" i="1" s="1"/>
  <c r="EVI42" i="1"/>
  <c r="EVI43" i="1" s="1"/>
  <c r="EVH42" i="1"/>
  <c r="EVH43" i="1" s="1"/>
  <c r="EVG42" i="1"/>
  <c r="EVG43" i="1" s="1"/>
  <c r="EVF42" i="1"/>
  <c r="EVF43" i="1" s="1"/>
  <c r="EVE42" i="1"/>
  <c r="EVE43" i="1" s="1"/>
  <c r="EVD42" i="1"/>
  <c r="EVD43" i="1" s="1"/>
  <c r="EVC42" i="1"/>
  <c r="EVC43" i="1" s="1"/>
  <c r="EVB42" i="1"/>
  <c r="EVB43" i="1" s="1"/>
  <c r="EVA42" i="1"/>
  <c r="EVA43" i="1" s="1"/>
  <c r="EUZ42" i="1"/>
  <c r="EUZ43" i="1" s="1"/>
  <c r="EUY42" i="1"/>
  <c r="EUY43" i="1" s="1"/>
  <c r="EUX42" i="1"/>
  <c r="EUX43" i="1" s="1"/>
  <c r="EUW42" i="1"/>
  <c r="EUW43" i="1" s="1"/>
  <c r="EUV42" i="1"/>
  <c r="EUV43" i="1" s="1"/>
  <c r="EUU42" i="1"/>
  <c r="EUU43" i="1" s="1"/>
  <c r="EUT42" i="1"/>
  <c r="EUT43" i="1" s="1"/>
  <c r="EUS42" i="1"/>
  <c r="EUS43" i="1" s="1"/>
  <c r="EUR42" i="1"/>
  <c r="EUR43" i="1" s="1"/>
  <c r="EUQ42" i="1"/>
  <c r="EUQ43" i="1" s="1"/>
  <c r="EUP42" i="1"/>
  <c r="EUP43" i="1" s="1"/>
  <c r="EUO42" i="1"/>
  <c r="EUO43" i="1" s="1"/>
  <c r="EUN42" i="1"/>
  <c r="EUN43" i="1" s="1"/>
  <c r="EUM42" i="1"/>
  <c r="EUM43" i="1" s="1"/>
  <c r="EUL42" i="1"/>
  <c r="EUL43" i="1" s="1"/>
  <c r="EUK42" i="1"/>
  <c r="EUK43" i="1" s="1"/>
  <c r="EUJ42" i="1"/>
  <c r="EUJ43" i="1" s="1"/>
  <c r="EUI42" i="1"/>
  <c r="EUI43" i="1" s="1"/>
  <c r="EUH42" i="1"/>
  <c r="EUH43" i="1" s="1"/>
  <c r="EUG42" i="1"/>
  <c r="EUG43" i="1" s="1"/>
  <c r="EUF42" i="1"/>
  <c r="EUF43" i="1" s="1"/>
  <c r="EUE42" i="1"/>
  <c r="EUE43" i="1" s="1"/>
  <c r="EUD42" i="1"/>
  <c r="EUD43" i="1" s="1"/>
  <c r="EUC42" i="1"/>
  <c r="EUC43" i="1" s="1"/>
  <c r="EUB42" i="1"/>
  <c r="EUB43" i="1" s="1"/>
  <c r="EUA42" i="1"/>
  <c r="EUA43" i="1" s="1"/>
  <c r="ETZ42" i="1"/>
  <c r="ETZ43" i="1" s="1"/>
  <c r="ETY42" i="1"/>
  <c r="ETY43" i="1" s="1"/>
  <c r="ETX42" i="1"/>
  <c r="ETX43" i="1" s="1"/>
  <c r="ETW42" i="1"/>
  <c r="ETW43" i="1" s="1"/>
  <c r="ETV42" i="1"/>
  <c r="ETV43" i="1" s="1"/>
  <c r="ETU42" i="1"/>
  <c r="ETU43" i="1" s="1"/>
  <c r="ETT42" i="1"/>
  <c r="ETT43" i="1" s="1"/>
  <c r="ETS42" i="1"/>
  <c r="ETS43" i="1" s="1"/>
  <c r="ETR42" i="1"/>
  <c r="ETR43" i="1" s="1"/>
  <c r="ETQ42" i="1"/>
  <c r="ETQ43" i="1" s="1"/>
  <c r="ETP42" i="1"/>
  <c r="ETP43" i="1" s="1"/>
  <c r="ETO42" i="1"/>
  <c r="ETO43" i="1" s="1"/>
  <c r="ETN42" i="1"/>
  <c r="ETN43" i="1" s="1"/>
  <c r="ETM42" i="1"/>
  <c r="ETM43" i="1" s="1"/>
  <c r="ETL42" i="1"/>
  <c r="ETL43" i="1" s="1"/>
  <c r="ETK42" i="1"/>
  <c r="ETK43" i="1" s="1"/>
  <c r="ETJ42" i="1"/>
  <c r="ETJ43" i="1" s="1"/>
  <c r="ETI42" i="1"/>
  <c r="ETI43" i="1" s="1"/>
  <c r="ETH42" i="1"/>
  <c r="ETH43" i="1" s="1"/>
  <c r="ETG42" i="1"/>
  <c r="ETG43" i="1" s="1"/>
  <c r="ETF42" i="1"/>
  <c r="ETF43" i="1" s="1"/>
  <c r="ETE42" i="1"/>
  <c r="ETE43" i="1" s="1"/>
  <c r="ETD42" i="1"/>
  <c r="ETD43" i="1" s="1"/>
  <c r="ETC42" i="1"/>
  <c r="ETC43" i="1" s="1"/>
  <c r="ETB42" i="1"/>
  <c r="ETB43" i="1" s="1"/>
  <c r="ETA42" i="1"/>
  <c r="ETA43" i="1" s="1"/>
  <c r="ESZ42" i="1"/>
  <c r="ESZ43" i="1" s="1"/>
  <c r="ESY42" i="1"/>
  <c r="ESY43" i="1" s="1"/>
  <c r="ESX42" i="1"/>
  <c r="ESX43" i="1" s="1"/>
  <c r="ESW42" i="1"/>
  <c r="ESW43" i="1" s="1"/>
  <c r="ESV42" i="1"/>
  <c r="ESV43" i="1" s="1"/>
  <c r="ESU42" i="1"/>
  <c r="ESU43" i="1" s="1"/>
  <c r="EST42" i="1"/>
  <c r="EST43" i="1" s="1"/>
  <c r="ESS42" i="1"/>
  <c r="ESS43" i="1" s="1"/>
  <c r="ESR42" i="1"/>
  <c r="ESR43" i="1" s="1"/>
  <c r="ESQ42" i="1"/>
  <c r="ESQ43" i="1" s="1"/>
  <c r="ESP42" i="1"/>
  <c r="ESP43" i="1" s="1"/>
  <c r="ESO42" i="1"/>
  <c r="ESO43" i="1" s="1"/>
  <c r="ESN42" i="1"/>
  <c r="ESN43" i="1" s="1"/>
  <c r="ESM42" i="1"/>
  <c r="ESM43" i="1" s="1"/>
  <c r="ESL42" i="1"/>
  <c r="ESL43" i="1" s="1"/>
  <c r="ESK42" i="1"/>
  <c r="ESK43" i="1" s="1"/>
  <c r="ESJ42" i="1"/>
  <c r="ESJ43" i="1" s="1"/>
  <c r="ESI42" i="1"/>
  <c r="ESI43" i="1" s="1"/>
  <c r="ESH42" i="1"/>
  <c r="ESH43" i="1" s="1"/>
  <c r="ESG42" i="1"/>
  <c r="ESG43" i="1" s="1"/>
  <c r="ESF42" i="1"/>
  <c r="ESF43" i="1" s="1"/>
  <c r="ESE42" i="1"/>
  <c r="ESE43" i="1" s="1"/>
  <c r="ESD42" i="1"/>
  <c r="ESD43" i="1" s="1"/>
  <c r="ESC42" i="1"/>
  <c r="ESB42" i="1"/>
  <c r="ESB43" i="1" s="1"/>
  <c r="ESA42" i="1"/>
  <c r="ESA43" i="1" s="1"/>
  <c r="ERZ42" i="1"/>
  <c r="ERZ43" i="1" s="1"/>
  <c r="ERY42" i="1"/>
  <c r="ERY43" i="1" s="1"/>
  <c r="ERX42" i="1"/>
  <c r="ERX43" i="1" s="1"/>
  <c r="ERW42" i="1"/>
  <c r="ERW43" i="1" s="1"/>
  <c r="ERV42" i="1"/>
  <c r="ERV43" i="1" s="1"/>
  <c r="ERU42" i="1"/>
  <c r="ERU43" i="1" s="1"/>
  <c r="ERT42" i="1"/>
  <c r="ERT43" i="1" s="1"/>
  <c r="ERS42" i="1"/>
  <c r="ERS43" i="1" s="1"/>
  <c r="ERR42" i="1"/>
  <c r="ERR43" i="1" s="1"/>
  <c r="ERQ42" i="1"/>
  <c r="ERQ43" i="1" s="1"/>
  <c r="ERP42" i="1"/>
  <c r="ERP43" i="1" s="1"/>
  <c r="ERO42" i="1"/>
  <c r="ERO43" i="1" s="1"/>
  <c r="ERN42" i="1"/>
  <c r="ERN43" i="1" s="1"/>
  <c r="ERM42" i="1"/>
  <c r="ERM43" i="1" s="1"/>
  <c r="ERL42" i="1"/>
  <c r="ERL43" i="1" s="1"/>
  <c r="ERK42" i="1"/>
  <c r="ERK43" i="1" s="1"/>
  <c r="ERJ42" i="1"/>
  <c r="ERJ43" i="1" s="1"/>
  <c r="ERI42" i="1"/>
  <c r="ERI43" i="1" s="1"/>
  <c r="ERH42" i="1"/>
  <c r="ERH43" i="1" s="1"/>
  <c r="ERG42" i="1"/>
  <c r="ERG43" i="1" s="1"/>
  <c r="ERF42" i="1"/>
  <c r="ERF43" i="1" s="1"/>
  <c r="ERE42" i="1"/>
  <c r="ERE43" i="1" s="1"/>
  <c r="ERD42" i="1"/>
  <c r="ERD43" i="1" s="1"/>
  <c r="ERC42" i="1"/>
  <c r="ERC43" i="1" s="1"/>
  <c r="ERB42" i="1"/>
  <c r="ERB43" i="1" s="1"/>
  <c r="ERA42" i="1"/>
  <c r="ERA43" i="1" s="1"/>
  <c r="EQZ42" i="1"/>
  <c r="EQZ43" i="1" s="1"/>
  <c r="EQY42" i="1"/>
  <c r="EQY43" i="1" s="1"/>
  <c r="EQX42" i="1"/>
  <c r="EQX43" i="1" s="1"/>
  <c r="EQW42" i="1"/>
  <c r="EQW43" i="1" s="1"/>
  <c r="EQV42" i="1"/>
  <c r="EQV43" i="1" s="1"/>
  <c r="EQU42" i="1"/>
  <c r="EQU43" i="1" s="1"/>
  <c r="EQT42" i="1"/>
  <c r="EQT43" i="1" s="1"/>
  <c r="EQS42" i="1"/>
  <c r="EQS43" i="1" s="1"/>
  <c r="EQR42" i="1"/>
  <c r="EQR43" i="1" s="1"/>
  <c r="EQQ42" i="1"/>
  <c r="EQQ43" i="1" s="1"/>
  <c r="EQP42" i="1"/>
  <c r="EQP43" i="1" s="1"/>
  <c r="EQO42" i="1"/>
  <c r="EQO43" i="1" s="1"/>
  <c r="EQN42" i="1"/>
  <c r="EQN43" i="1" s="1"/>
  <c r="EQM42" i="1"/>
  <c r="EQM43" i="1" s="1"/>
  <c r="EQL42" i="1"/>
  <c r="EQL43" i="1" s="1"/>
  <c r="EQK42" i="1"/>
  <c r="EQK43" i="1" s="1"/>
  <c r="EQJ42" i="1"/>
  <c r="EQJ43" i="1" s="1"/>
  <c r="EQI42" i="1"/>
  <c r="EQI43" i="1" s="1"/>
  <c r="EQH42" i="1"/>
  <c r="EQH43" i="1" s="1"/>
  <c r="EQG42" i="1"/>
  <c r="EQG43" i="1" s="1"/>
  <c r="EQF42" i="1"/>
  <c r="EQF43" i="1" s="1"/>
  <c r="EQE42" i="1"/>
  <c r="EQE43" i="1" s="1"/>
  <c r="EQD42" i="1"/>
  <c r="EQD43" i="1" s="1"/>
  <c r="EQC42" i="1"/>
  <c r="EQC43" i="1" s="1"/>
  <c r="EQB42" i="1"/>
  <c r="EQB43" i="1" s="1"/>
  <c r="EQA42" i="1"/>
  <c r="EQA43" i="1" s="1"/>
  <c r="EPZ42" i="1"/>
  <c r="EPZ43" i="1" s="1"/>
  <c r="EPY42" i="1"/>
  <c r="EPY43" i="1" s="1"/>
  <c r="EPX42" i="1"/>
  <c r="EPX43" i="1" s="1"/>
  <c r="EPW42" i="1"/>
  <c r="EPW43" i="1" s="1"/>
  <c r="EPV42" i="1"/>
  <c r="EPV43" i="1" s="1"/>
  <c r="EPU42" i="1"/>
  <c r="EPU43" i="1" s="1"/>
  <c r="EPT42" i="1"/>
  <c r="EPT43" i="1" s="1"/>
  <c r="EPS42" i="1"/>
  <c r="EPS43" i="1" s="1"/>
  <c r="EPR42" i="1"/>
  <c r="EPR43" i="1" s="1"/>
  <c r="EPQ42" i="1"/>
  <c r="EPQ43" i="1" s="1"/>
  <c r="EPP42" i="1"/>
  <c r="EPP43" i="1" s="1"/>
  <c r="EPO42" i="1"/>
  <c r="EPO43" i="1" s="1"/>
  <c r="EPN42" i="1"/>
  <c r="EPN43" i="1" s="1"/>
  <c r="EPM42" i="1"/>
  <c r="EPM43" i="1" s="1"/>
  <c r="EPL42" i="1"/>
  <c r="EPL43" i="1" s="1"/>
  <c r="EPK42" i="1"/>
  <c r="EPK43" i="1" s="1"/>
  <c r="EPJ42" i="1"/>
  <c r="EPJ43" i="1" s="1"/>
  <c r="EPI42" i="1"/>
  <c r="EPI43" i="1" s="1"/>
  <c r="EPH42" i="1"/>
  <c r="EPH43" i="1" s="1"/>
  <c r="EPG42" i="1"/>
  <c r="EPG43" i="1" s="1"/>
  <c r="EPF42" i="1"/>
  <c r="EPF43" i="1" s="1"/>
  <c r="EPE42" i="1"/>
  <c r="EPE43" i="1" s="1"/>
  <c r="EPD42" i="1"/>
  <c r="EPD43" i="1" s="1"/>
  <c r="EPC42" i="1"/>
  <c r="EPC43" i="1" s="1"/>
  <c r="EPB42" i="1"/>
  <c r="EPB43" i="1" s="1"/>
  <c r="EPA42" i="1"/>
  <c r="EPA43" i="1" s="1"/>
  <c r="EOZ42" i="1"/>
  <c r="EOZ43" i="1" s="1"/>
  <c r="EOY42" i="1"/>
  <c r="EOY43" i="1" s="1"/>
  <c r="EOX42" i="1"/>
  <c r="EOX43" i="1" s="1"/>
  <c r="EOW42" i="1"/>
  <c r="EOW43" i="1" s="1"/>
  <c r="EOV42" i="1"/>
  <c r="EOV43" i="1" s="1"/>
  <c r="EOU42" i="1"/>
  <c r="EOU43" i="1" s="1"/>
  <c r="EOT42" i="1"/>
  <c r="EOT43" i="1" s="1"/>
  <c r="EOS42" i="1"/>
  <c r="EOS43" i="1" s="1"/>
  <c r="EOR42" i="1"/>
  <c r="EOR43" i="1" s="1"/>
  <c r="EOQ42" i="1"/>
  <c r="EOQ43" i="1" s="1"/>
  <c r="EOP42" i="1"/>
  <c r="EOP43" i="1" s="1"/>
  <c r="EOO42" i="1"/>
  <c r="EOO43" i="1" s="1"/>
  <c r="EON42" i="1"/>
  <c r="EON43" i="1" s="1"/>
  <c r="EOM42" i="1"/>
  <c r="EOM43" i="1" s="1"/>
  <c r="EOL42" i="1"/>
  <c r="EOL43" i="1" s="1"/>
  <c r="EOK42" i="1"/>
  <c r="EOK43" i="1" s="1"/>
  <c r="EOJ42" i="1"/>
  <c r="EOJ43" i="1" s="1"/>
  <c r="EOI42" i="1"/>
  <c r="EOI43" i="1" s="1"/>
  <c r="EOH42" i="1"/>
  <c r="EOH43" i="1" s="1"/>
  <c r="EOG42" i="1"/>
  <c r="EOG43" i="1" s="1"/>
  <c r="EOF42" i="1"/>
  <c r="EOF43" i="1" s="1"/>
  <c r="EOE42" i="1"/>
  <c r="EOE43" i="1" s="1"/>
  <c r="EOD42" i="1"/>
  <c r="EOD43" i="1" s="1"/>
  <c r="EOC42" i="1"/>
  <c r="EOC43" i="1" s="1"/>
  <c r="EOB42" i="1"/>
  <c r="EOB43" i="1" s="1"/>
  <c r="EOA42" i="1"/>
  <c r="EOA43" i="1" s="1"/>
  <c r="ENZ42" i="1"/>
  <c r="ENZ43" i="1" s="1"/>
  <c r="ENY42" i="1"/>
  <c r="ENY43" i="1" s="1"/>
  <c r="ENX42" i="1"/>
  <c r="ENX43" i="1" s="1"/>
  <c r="ENW42" i="1"/>
  <c r="ENW43" i="1" s="1"/>
  <c r="ENV42" i="1"/>
  <c r="ENV43" i="1" s="1"/>
  <c r="ENU42" i="1"/>
  <c r="ENU43" i="1" s="1"/>
  <c r="ENT42" i="1"/>
  <c r="ENT43" i="1" s="1"/>
  <c r="ENS42" i="1"/>
  <c r="ENS43" i="1" s="1"/>
  <c r="ENR42" i="1"/>
  <c r="ENR43" i="1" s="1"/>
  <c r="ENQ42" i="1"/>
  <c r="ENQ43" i="1" s="1"/>
  <c r="ENP42" i="1"/>
  <c r="ENP43" i="1" s="1"/>
  <c r="ENO42" i="1"/>
  <c r="ENO43" i="1" s="1"/>
  <c r="ENN42" i="1"/>
  <c r="ENN43" i="1" s="1"/>
  <c r="ENM42" i="1"/>
  <c r="ENM43" i="1" s="1"/>
  <c r="ENL42" i="1"/>
  <c r="ENL43" i="1" s="1"/>
  <c r="ENK42" i="1"/>
  <c r="ENK43" i="1" s="1"/>
  <c r="ENJ42" i="1"/>
  <c r="ENJ43" i="1" s="1"/>
  <c r="ENI42" i="1"/>
  <c r="ENI43" i="1" s="1"/>
  <c r="ENH42" i="1"/>
  <c r="ENH43" i="1" s="1"/>
  <c r="ENG42" i="1"/>
  <c r="ENG43" i="1" s="1"/>
  <c r="ENF42" i="1"/>
  <c r="ENF43" i="1" s="1"/>
  <c r="ENE42" i="1"/>
  <c r="ENE43" i="1" s="1"/>
  <c r="END42" i="1"/>
  <c r="END43" i="1" s="1"/>
  <c r="ENC42" i="1"/>
  <c r="ENC43" i="1" s="1"/>
  <c r="ENB42" i="1"/>
  <c r="ENB43" i="1" s="1"/>
  <c r="ENA42" i="1"/>
  <c r="ENA43" i="1" s="1"/>
  <c r="EMZ42" i="1"/>
  <c r="EMZ43" i="1" s="1"/>
  <c r="EMY42" i="1"/>
  <c r="EMY43" i="1" s="1"/>
  <c r="EMX42" i="1"/>
  <c r="EMX43" i="1" s="1"/>
  <c r="EMW42" i="1"/>
  <c r="EMW43" i="1" s="1"/>
  <c r="EMV42" i="1"/>
  <c r="EMV43" i="1" s="1"/>
  <c r="EMU42" i="1"/>
  <c r="EMU43" i="1" s="1"/>
  <c r="EMT42" i="1"/>
  <c r="EMT43" i="1" s="1"/>
  <c r="EMS42" i="1"/>
  <c r="EMS43" i="1" s="1"/>
  <c r="EMR42" i="1"/>
  <c r="EMR43" i="1" s="1"/>
  <c r="EMQ42" i="1"/>
  <c r="EMQ43" i="1" s="1"/>
  <c r="EMP42" i="1"/>
  <c r="EMP43" i="1" s="1"/>
  <c r="EMO42" i="1"/>
  <c r="EMO43" i="1" s="1"/>
  <c r="EMN42" i="1"/>
  <c r="EMN43" i="1" s="1"/>
  <c r="EMM42" i="1"/>
  <c r="EMM43" i="1" s="1"/>
  <c r="EML42" i="1"/>
  <c r="EML43" i="1" s="1"/>
  <c r="EMK42" i="1"/>
  <c r="EMK43" i="1" s="1"/>
  <c r="EMJ42" i="1"/>
  <c r="EMJ43" i="1" s="1"/>
  <c r="EMI42" i="1"/>
  <c r="EMI43" i="1" s="1"/>
  <c r="EMH42" i="1"/>
  <c r="EMH43" i="1" s="1"/>
  <c r="EMG42" i="1"/>
  <c r="EMG43" i="1" s="1"/>
  <c r="EMF42" i="1"/>
  <c r="EMF43" i="1" s="1"/>
  <c r="EME42" i="1"/>
  <c r="EME43" i="1" s="1"/>
  <c r="EMD42" i="1"/>
  <c r="EMC42" i="1"/>
  <c r="EMB42" i="1"/>
  <c r="EMB43" i="1" s="1"/>
  <c r="EMA42" i="1"/>
  <c r="EMA43" i="1" s="1"/>
  <c r="ELZ42" i="1"/>
  <c r="ELZ43" i="1" s="1"/>
  <c r="ELY42" i="1"/>
  <c r="ELY43" i="1" s="1"/>
  <c r="ELX42" i="1"/>
  <c r="ELX43" i="1" s="1"/>
  <c r="ELW42" i="1"/>
  <c r="ELW43" i="1" s="1"/>
  <c r="ELV42" i="1"/>
  <c r="ELV43" i="1" s="1"/>
  <c r="ELU42" i="1"/>
  <c r="ELU43" i="1" s="1"/>
  <c r="ELT42" i="1"/>
  <c r="ELT43" i="1" s="1"/>
  <c r="ELS42" i="1"/>
  <c r="ELS43" i="1" s="1"/>
  <c r="ELR42" i="1"/>
  <c r="ELR43" i="1" s="1"/>
  <c r="ELQ42" i="1"/>
  <c r="ELQ43" i="1" s="1"/>
  <c r="ELP42" i="1"/>
  <c r="ELP43" i="1" s="1"/>
  <c r="ELO42" i="1"/>
  <c r="ELO43" i="1" s="1"/>
  <c r="ELN42" i="1"/>
  <c r="ELN43" i="1" s="1"/>
  <c r="ELM42" i="1"/>
  <c r="ELM43" i="1" s="1"/>
  <c r="ELL42" i="1"/>
  <c r="ELL43" i="1" s="1"/>
  <c r="ELK42" i="1"/>
  <c r="ELK43" i="1" s="1"/>
  <c r="ELJ42" i="1"/>
  <c r="ELJ43" i="1" s="1"/>
  <c r="ELI42" i="1"/>
  <c r="ELI43" i="1" s="1"/>
  <c r="ELH42" i="1"/>
  <c r="ELH43" i="1" s="1"/>
  <c r="ELG42" i="1"/>
  <c r="ELG43" i="1" s="1"/>
  <c r="ELF42" i="1"/>
  <c r="ELF43" i="1" s="1"/>
  <c r="ELE42" i="1"/>
  <c r="ELE43" i="1" s="1"/>
  <c r="ELD42" i="1"/>
  <c r="ELD43" i="1" s="1"/>
  <c r="ELC42" i="1"/>
  <c r="ELC43" i="1" s="1"/>
  <c r="ELB42" i="1"/>
  <c r="ELB43" i="1" s="1"/>
  <c r="ELA42" i="1"/>
  <c r="ELA43" i="1" s="1"/>
  <c r="EKZ42" i="1"/>
  <c r="EKZ43" i="1" s="1"/>
  <c r="EKY42" i="1"/>
  <c r="EKY43" i="1" s="1"/>
  <c r="EKX42" i="1"/>
  <c r="EKX43" i="1" s="1"/>
  <c r="EKW42" i="1"/>
  <c r="EKW43" i="1" s="1"/>
  <c r="EKV42" i="1"/>
  <c r="EKV43" i="1" s="1"/>
  <c r="EKU42" i="1"/>
  <c r="EKU43" i="1" s="1"/>
  <c r="EKT42" i="1"/>
  <c r="EKT43" i="1" s="1"/>
  <c r="EKS42" i="1"/>
  <c r="EKS43" i="1" s="1"/>
  <c r="EKR42" i="1"/>
  <c r="EKR43" i="1" s="1"/>
  <c r="EKQ42" i="1"/>
  <c r="EKQ43" i="1" s="1"/>
  <c r="EKP42" i="1"/>
  <c r="EKP43" i="1" s="1"/>
  <c r="EKO42" i="1"/>
  <c r="EKO43" i="1" s="1"/>
  <c r="EKN42" i="1"/>
  <c r="EKN43" i="1" s="1"/>
  <c r="EKM42" i="1"/>
  <c r="EKM43" i="1" s="1"/>
  <c r="EKL42" i="1"/>
  <c r="EKL43" i="1" s="1"/>
  <c r="EKK42" i="1"/>
  <c r="EKK43" i="1" s="1"/>
  <c r="EKJ42" i="1"/>
  <c r="EKJ43" i="1" s="1"/>
  <c r="EKI42" i="1"/>
  <c r="EKI43" i="1" s="1"/>
  <c r="EKH42" i="1"/>
  <c r="EKH43" i="1" s="1"/>
  <c r="EKG42" i="1"/>
  <c r="EKG43" i="1" s="1"/>
  <c r="EKF42" i="1"/>
  <c r="EKF43" i="1" s="1"/>
  <c r="EKE42" i="1"/>
  <c r="EKE43" i="1" s="1"/>
  <c r="EKD42" i="1"/>
  <c r="EKD43" i="1" s="1"/>
  <c r="EKC42" i="1"/>
  <c r="EKC43" i="1" s="1"/>
  <c r="EKB42" i="1"/>
  <c r="EKB43" i="1" s="1"/>
  <c r="EKA42" i="1"/>
  <c r="EKA43" i="1" s="1"/>
  <c r="EJZ42" i="1"/>
  <c r="EJZ43" i="1" s="1"/>
  <c r="EJY42" i="1"/>
  <c r="EJY43" i="1" s="1"/>
  <c r="EJX42" i="1"/>
  <c r="EJX43" i="1" s="1"/>
  <c r="EJW42" i="1"/>
  <c r="EJW43" i="1" s="1"/>
  <c r="EJV42" i="1"/>
  <c r="EJV43" i="1" s="1"/>
  <c r="EJU42" i="1"/>
  <c r="EJU43" i="1" s="1"/>
  <c r="EJT42" i="1"/>
  <c r="EJT43" i="1" s="1"/>
  <c r="EJS42" i="1"/>
  <c r="EJS43" i="1" s="1"/>
  <c r="EJR42" i="1"/>
  <c r="EJR43" i="1" s="1"/>
  <c r="EJQ42" i="1"/>
  <c r="EJQ43" i="1" s="1"/>
  <c r="EJP42" i="1"/>
  <c r="EJP43" i="1" s="1"/>
  <c r="EJO42" i="1"/>
  <c r="EJO43" i="1" s="1"/>
  <c r="EJN42" i="1"/>
  <c r="EJN43" i="1" s="1"/>
  <c r="EJM42" i="1"/>
  <c r="EJM43" i="1" s="1"/>
  <c r="EJL42" i="1"/>
  <c r="EJL43" i="1" s="1"/>
  <c r="EJK42" i="1"/>
  <c r="EJK43" i="1" s="1"/>
  <c r="EJJ42" i="1"/>
  <c r="EJJ43" i="1" s="1"/>
  <c r="EJI42" i="1"/>
  <c r="EJI43" i="1" s="1"/>
  <c r="EJH42" i="1"/>
  <c r="EJH43" i="1" s="1"/>
  <c r="EJG42" i="1"/>
  <c r="EJG43" i="1" s="1"/>
  <c r="EJF42" i="1"/>
  <c r="EJF43" i="1" s="1"/>
  <c r="EJE42" i="1"/>
  <c r="EJE43" i="1" s="1"/>
  <c r="EJD42" i="1"/>
  <c r="EJD43" i="1" s="1"/>
  <c r="EJC42" i="1"/>
  <c r="EJC43" i="1" s="1"/>
  <c r="EJB42" i="1"/>
  <c r="EJB43" i="1" s="1"/>
  <c r="EJA42" i="1"/>
  <c r="EJA43" i="1" s="1"/>
  <c r="EIZ42" i="1"/>
  <c r="EIZ43" i="1" s="1"/>
  <c r="EIY42" i="1"/>
  <c r="EIY43" i="1" s="1"/>
  <c r="EIX42" i="1"/>
  <c r="EIX43" i="1" s="1"/>
  <c r="EIW42" i="1"/>
  <c r="EIW43" i="1" s="1"/>
  <c r="EIV42" i="1"/>
  <c r="EIV43" i="1" s="1"/>
  <c r="EIU42" i="1"/>
  <c r="EIU43" i="1" s="1"/>
  <c r="EIT42" i="1"/>
  <c r="EIT43" i="1" s="1"/>
  <c r="EIS42" i="1"/>
  <c r="EIS43" i="1" s="1"/>
  <c r="EIR42" i="1"/>
  <c r="EIR43" i="1" s="1"/>
  <c r="EIQ42" i="1"/>
  <c r="EIQ43" i="1" s="1"/>
  <c r="EIP42" i="1"/>
  <c r="EIP43" i="1" s="1"/>
  <c r="EIO42" i="1"/>
  <c r="EIO43" i="1" s="1"/>
  <c r="EIN42" i="1"/>
  <c r="EIN43" i="1" s="1"/>
  <c r="EIM42" i="1"/>
  <c r="EIM43" i="1" s="1"/>
  <c r="EIL42" i="1"/>
  <c r="EIL43" i="1" s="1"/>
  <c r="EIK42" i="1"/>
  <c r="EIK43" i="1" s="1"/>
  <c r="EIJ42" i="1"/>
  <c r="EIJ43" i="1" s="1"/>
  <c r="EII42" i="1"/>
  <c r="EII43" i="1" s="1"/>
  <c r="EIH42" i="1"/>
  <c r="EIH43" i="1" s="1"/>
  <c r="EIG42" i="1"/>
  <c r="EIG43" i="1" s="1"/>
  <c r="EIF42" i="1"/>
  <c r="EIF43" i="1" s="1"/>
  <c r="EIE42" i="1"/>
  <c r="EIE43" i="1" s="1"/>
  <c r="EID42" i="1"/>
  <c r="EID43" i="1" s="1"/>
  <c r="EIC42" i="1"/>
  <c r="EIC43" i="1" s="1"/>
  <c r="EIB42" i="1"/>
  <c r="EIB43" i="1" s="1"/>
  <c r="EIA42" i="1"/>
  <c r="EIA43" i="1" s="1"/>
  <c r="EHZ42" i="1"/>
  <c r="EHZ43" i="1" s="1"/>
  <c r="EHY42" i="1"/>
  <c r="EHY43" i="1" s="1"/>
  <c r="EHX42" i="1"/>
  <c r="EHX43" i="1" s="1"/>
  <c r="EHW42" i="1"/>
  <c r="EHW43" i="1" s="1"/>
  <c r="EHV42" i="1"/>
  <c r="EHV43" i="1" s="1"/>
  <c r="EHU42" i="1"/>
  <c r="EHU43" i="1" s="1"/>
  <c r="EHT42" i="1"/>
  <c r="EHT43" i="1" s="1"/>
  <c r="EHS42" i="1"/>
  <c r="EHS43" i="1" s="1"/>
  <c r="EHR42" i="1"/>
  <c r="EHR43" i="1" s="1"/>
  <c r="EHQ42" i="1"/>
  <c r="EHQ43" i="1" s="1"/>
  <c r="EHP42" i="1"/>
  <c r="EHP43" i="1" s="1"/>
  <c r="EHO42" i="1"/>
  <c r="EHO43" i="1" s="1"/>
  <c r="EHN42" i="1"/>
  <c r="EHN43" i="1" s="1"/>
  <c r="EHM42" i="1"/>
  <c r="EHM43" i="1" s="1"/>
  <c r="EHL42" i="1"/>
  <c r="EHL43" i="1" s="1"/>
  <c r="EHK42" i="1"/>
  <c r="EHK43" i="1" s="1"/>
  <c r="EHJ42" i="1"/>
  <c r="EHJ43" i="1" s="1"/>
  <c r="EHI42" i="1"/>
  <c r="EHI43" i="1" s="1"/>
  <c r="EHH42" i="1"/>
  <c r="EHH43" i="1" s="1"/>
  <c r="EHG42" i="1"/>
  <c r="EHG43" i="1" s="1"/>
  <c r="EHF42" i="1"/>
  <c r="EHF43" i="1" s="1"/>
  <c r="EHE42" i="1"/>
  <c r="EHE43" i="1" s="1"/>
  <c r="EHD42" i="1"/>
  <c r="EHD43" i="1" s="1"/>
  <c r="EHC42" i="1"/>
  <c r="EHC43" i="1" s="1"/>
  <c r="EHB42" i="1"/>
  <c r="EHB43" i="1" s="1"/>
  <c r="EHA42" i="1"/>
  <c r="EHA43" i="1" s="1"/>
  <c r="EGZ42" i="1"/>
  <c r="EGZ43" i="1" s="1"/>
  <c r="EGY42" i="1"/>
  <c r="EGY43" i="1" s="1"/>
  <c r="EGX42" i="1"/>
  <c r="EGX43" i="1" s="1"/>
  <c r="EGW42" i="1"/>
  <c r="EGW43" i="1" s="1"/>
  <c r="EGV42" i="1"/>
  <c r="EGV43" i="1" s="1"/>
  <c r="EGU42" i="1"/>
  <c r="EGU43" i="1" s="1"/>
  <c r="EGT42" i="1"/>
  <c r="EGT43" i="1" s="1"/>
  <c r="EGS42" i="1"/>
  <c r="EGS43" i="1" s="1"/>
  <c r="EGR42" i="1"/>
  <c r="EGR43" i="1" s="1"/>
  <c r="EGQ42" i="1"/>
  <c r="EGQ43" i="1" s="1"/>
  <c r="EGP42" i="1"/>
  <c r="EGP43" i="1" s="1"/>
  <c r="EGO42" i="1"/>
  <c r="EGO43" i="1" s="1"/>
  <c r="EGN42" i="1"/>
  <c r="EGN43" i="1" s="1"/>
  <c r="EGM42" i="1"/>
  <c r="EGM43" i="1" s="1"/>
  <c r="EGL42" i="1"/>
  <c r="EGL43" i="1" s="1"/>
  <c r="EGK42" i="1"/>
  <c r="EGK43" i="1" s="1"/>
  <c r="EGJ42" i="1"/>
  <c r="EGJ43" i="1" s="1"/>
  <c r="EGI42" i="1"/>
  <c r="EGI43" i="1" s="1"/>
  <c r="EGH42" i="1"/>
  <c r="EGH43" i="1" s="1"/>
  <c r="EGG42" i="1"/>
  <c r="EGG43" i="1" s="1"/>
  <c r="EGF42" i="1"/>
  <c r="EGF43" i="1" s="1"/>
  <c r="EGE42" i="1"/>
  <c r="EGE43" i="1" s="1"/>
  <c r="EGD42" i="1"/>
  <c r="EGD43" i="1" s="1"/>
  <c r="EGC42" i="1"/>
  <c r="EGC43" i="1" s="1"/>
  <c r="EGB42" i="1"/>
  <c r="EGB43" i="1" s="1"/>
  <c r="EGA42" i="1"/>
  <c r="EGA43" i="1" s="1"/>
  <c r="EFZ42" i="1"/>
  <c r="EFZ43" i="1" s="1"/>
  <c r="EFY42" i="1"/>
  <c r="EFY43" i="1" s="1"/>
  <c r="EFX42" i="1"/>
  <c r="EFX43" i="1" s="1"/>
  <c r="EFW42" i="1"/>
  <c r="EFW43" i="1" s="1"/>
  <c r="EFV42" i="1"/>
  <c r="EFV43" i="1" s="1"/>
  <c r="EFU42" i="1"/>
  <c r="EFU43" i="1" s="1"/>
  <c r="EFT42" i="1"/>
  <c r="EFT43" i="1" s="1"/>
  <c r="EFS42" i="1"/>
  <c r="EFS43" i="1" s="1"/>
  <c r="EFR42" i="1"/>
  <c r="EFR43" i="1" s="1"/>
  <c r="EFQ42" i="1"/>
  <c r="EFQ43" i="1" s="1"/>
  <c r="EFP42" i="1"/>
  <c r="EFP43" i="1" s="1"/>
  <c r="EFO42" i="1"/>
  <c r="EFO43" i="1" s="1"/>
  <c r="EFN42" i="1"/>
  <c r="EFN43" i="1" s="1"/>
  <c r="EFM42" i="1"/>
  <c r="EFM43" i="1" s="1"/>
  <c r="EFL42" i="1"/>
  <c r="EFL43" i="1" s="1"/>
  <c r="EFK42" i="1"/>
  <c r="EFK43" i="1" s="1"/>
  <c r="EFJ42" i="1"/>
  <c r="EFJ43" i="1" s="1"/>
  <c r="EFI42" i="1"/>
  <c r="EFI43" i="1" s="1"/>
  <c r="EFH42" i="1"/>
  <c r="EFH43" i="1" s="1"/>
  <c r="EFG42" i="1"/>
  <c r="EFG43" i="1" s="1"/>
  <c r="EFF42" i="1"/>
  <c r="EFF43" i="1" s="1"/>
  <c r="EFE42" i="1"/>
  <c r="EFE43" i="1" s="1"/>
  <c r="EFD42" i="1"/>
  <c r="EFD43" i="1" s="1"/>
  <c r="EFC42" i="1"/>
  <c r="EFC43" i="1" s="1"/>
  <c r="EFB42" i="1"/>
  <c r="EFB43" i="1" s="1"/>
  <c r="EFA42" i="1"/>
  <c r="EFA43" i="1" s="1"/>
  <c r="EEZ42" i="1"/>
  <c r="EEZ43" i="1" s="1"/>
  <c r="EEY42" i="1"/>
  <c r="EEY43" i="1" s="1"/>
  <c r="EEX42" i="1"/>
  <c r="EEX43" i="1" s="1"/>
  <c r="EEW42" i="1"/>
  <c r="EEW43" i="1" s="1"/>
  <c r="EEV42" i="1"/>
  <c r="EEV43" i="1" s="1"/>
  <c r="EEU42" i="1"/>
  <c r="EEU43" i="1" s="1"/>
  <c r="EET42" i="1"/>
  <c r="EET43" i="1" s="1"/>
  <c r="EES42" i="1"/>
  <c r="EES43" i="1" s="1"/>
  <c r="EER42" i="1"/>
  <c r="EER43" i="1" s="1"/>
  <c r="EEQ42" i="1"/>
  <c r="EEQ43" i="1" s="1"/>
  <c r="EEP42" i="1"/>
  <c r="EEP43" i="1" s="1"/>
  <c r="EEO42" i="1"/>
  <c r="EEO43" i="1" s="1"/>
  <c r="EEN42" i="1"/>
  <c r="EEN43" i="1" s="1"/>
  <c r="EEM42" i="1"/>
  <c r="EEM43" i="1" s="1"/>
  <c r="EEL42" i="1"/>
  <c r="EEL43" i="1" s="1"/>
  <c r="EEK42" i="1"/>
  <c r="EEK43" i="1" s="1"/>
  <c r="EEJ42" i="1"/>
  <c r="EEJ43" i="1" s="1"/>
  <c r="EEI42" i="1"/>
  <c r="EEI43" i="1" s="1"/>
  <c r="EEH42" i="1"/>
  <c r="EEH43" i="1" s="1"/>
  <c r="EEG42" i="1"/>
  <c r="EEG43" i="1" s="1"/>
  <c r="EEF42" i="1"/>
  <c r="EEF43" i="1" s="1"/>
  <c r="EEE42" i="1"/>
  <c r="EEE43" i="1" s="1"/>
  <c r="EED42" i="1"/>
  <c r="EED43" i="1" s="1"/>
  <c r="EEC42" i="1"/>
  <c r="EEC43" i="1" s="1"/>
  <c r="EEB42" i="1"/>
  <c r="EEB43" i="1" s="1"/>
  <c r="EEA42" i="1"/>
  <c r="EEA43" i="1" s="1"/>
  <c r="EDZ42" i="1"/>
  <c r="EDZ43" i="1" s="1"/>
  <c r="EDY42" i="1"/>
  <c r="EDY43" i="1" s="1"/>
  <c r="EDX42" i="1"/>
  <c r="EDX43" i="1" s="1"/>
  <c r="EDW42" i="1"/>
  <c r="EDW43" i="1" s="1"/>
  <c r="EDV42" i="1"/>
  <c r="EDV43" i="1" s="1"/>
  <c r="EDU42" i="1"/>
  <c r="EDU43" i="1" s="1"/>
  <c r="EDT42" i="1"/>
  <c r="EDT43" i="1" s="1"/>
  <c r="EDS42" i="1"/>
  <c r="EDS43" i="1" s="1"/>
  <c r="EDR42" i="1"/>
  <c r="EDR43" i="1" s="1"/>
  <c r="EDQ42" i="1"/>
  <c r="EDQ43" i="1" s="1"/>
  <c r="EDP42" i="1"/>
  <c r="EDP43" i="1" s="1"/>
  <c r="EDO42" i="1"/>
  <c r="EDO43" i="1" s="1"/>
  <c r="EDN42" i="1"/>
  <c r="EDN43" i="1" s="1"/>
  <c r="EDM42" i="1"/>
  <c r="EDM43" i="1" s="1"/>
  <c r="EDL42" i="1"/>
  <c r="EDL43" i="1" s="1"/>
  <c r="EDK42" i="1"/>
  <c r="EDK43" i="1" s="1"/>
  <c r="EDJ42" i="1"/>
  <c r="EDJ43" i="1" s="1"/>
  <c r="EDI42" i="1"/>
  <c r="EDI43" i="1" s="1"/>
  <c r="EDH42" i="1"/>
  <c r="EDH43" i="1" s="1"/>
  <c r="EDG42" i="1"/>
  <c r="EDG43" i="1" s="1"/>
  <c r="EDF42" i="1"/>
  <c r="EDF43" i="1" s="1"/>
  <c r="EDE42" i="1"/>
  <c r="EDE43" i="1" s="1"/>
  <c r="EDD42" i="1"/>
  <c r="EDD43" i="1" s="1"/>
  <c r="EDC42" i="1"/>
  <c r="EDC43" i="1" s="1"/>
  <c r="EDB42" i="1"/>
  <c r="EDB43" i="1" s="1"/>
  <c r="EDA42" i="1"/>
  <c r="EDA43" i="1" s="1"/>
  <c r="ECZ42" i="1"/>
  <c r="ECZ43" i="1" s="1"/>
  <c r="ECY42" i="1"/>
  <c r="ECY43" i="1" s="1"/>
  <c r="ECX42" i="1"/>
  <c r="ECX43" i="1" s="1"/>
  <c r="ECW42" i="1"/>
  <c r="ECW43" i="1" s="1"/>
  <c r="ECV42" i="1"/>
  <c r="ECV43" i="1" s="1"/>
  <c r="ECU42" i="1"/>
  <c r="ECU43" i="1" s="1"/>
  <c r="ECT42" i="1"/>
  <c r="ECT43" i="1" s="1"/>
  <c r="ECS42" i="1"/>
  <c r="ECS43" i="1" s="1"/>
  <c r="ECR42" i="1"/>
  <c r="ECR43" i="1" s="1"/>
  <c r="ECQ42" i="1"/>
  <c r="ECQ43" i="1" s="1"/>
  <c r="ECP42" i="1"/>
  <c r="ECP43" i="1" s="1"/>
  <c r="ECO42" i="1"/>
  <c r="ECO43" i="1" s="1"/>
  <c r="ECN42" i="1"/>
  <c r="ECN43" i="1" s="1"/>
  <c r="ECM42" i="1"/>
  <c r="ECM43" i="1" s="1"/>
  <c r="ECL42" i="1"/>
  <c r="ECL43" i="1" s="1"/>
  <c r="ECK42" i="1"/>
  <c r="ECK43" i="1" s="1"/>
  <c r="ECJ42" i="1"/>
  <c r="ECJ43" i="1" s="1"/>
  <c r="ECI42" i="1"/>
  <c r="ECI43" i="1" s="1"/>
  <c r="ECH42" i="1"/>
  <c r="ECH43" i="1" s="1"/>
  <c r="ECG42" i="1"/>
  <c r="ECG43" i="1" s="1"/>
  <c r="ECF42" i="1"/>
  <c r="ECF43" i="1" s="1"/>
  <c r="ECE42" i="1"/>
  <c r="ECE43" i="1" s="1"/>
  <c r="ECD42" i="1"/>
  <c r="ECD43" i="1" s="1"/>
  <c r="ECC42" i="1"/>
  <c r="ECC43" i="1" s="1"/>
  <c r="ECB42" i="1"/>
  <c r="ECB43" i="1" s="1"/>
  <c r="ECA42" i="1"/>
  <c r="ECA43" i="1" s="1"/>
  <c r="EBZ42" i="1"/>
  <c r="EBZ43" i="1" s="1"/>
  <c r="EBY42" i="1"/>
  <c r="EBY43" i="1" s="1"/>
  <c r="EBX42" i="1"/>
  <c r="EBX43" i="1" s="1"/>
  <c r="EBW42" i="1"/>
  <c r="EBW43" i="1" s="1"/>
  <c r="EBV42" i="1"/>
  <c r="EBV43" i="1" s="1"/>
  <c r="EBU42" i="1"/>
  <c r="EBU43" i="1" s="1"/>
  <c r="EBT42" i="1"/>
  <c r="EBT43" i="1" s="1"/>
  <c r="EBS42" i="1"/>
  <c r="EBS43" i="1" s="1"/>
  <c r="EBR42" i="1"/>
  <c r="EBR43" i="1" s="1"/>
  <c r="EBQ42" i="1"/>
  <c r="EBQ43" i="1" s="1"/>
  <c r="EBP42" i="1"/>
  <c r="EBP43" i="1" s="1"/>
  <c r="EBO42" i="1"/>
  <c r="EBO43" i="1" s="1"/>
  <c r="EBN42" i="1"/>
  <c r="EBN43" i="1" s="1"/>
  <c r="EBM42" i="1"/>
  <c r="EBM43" i="1" s="1"/>
  <c r="EBL42" i="1"/>
  <c r="EBL43" i="1" s="1"/>
  <c r="EBK42" i="1"/>
  <c r="EBK43" i="1" s="1"/>
  <c r="EBJ42" i="1"/>
  <c r="EBJ43" i="1" s="1"/>
  <c r="EBI42" i="1"/>
  <c r="EBI43" i="1" s="1"/>
  <c r="EBH42" i="1"/>
  <c r="EBH43" i="1" s="1"/>
  <c r="EBG42" i="1"/>
  <c r="EBG43" i="1" s="1"/>
  <c r="EBF42" i="1"/>
  <c r="EBF43" i="1" s="1"/>
  <c r="EBE42" i="1"/>
  <c r="EBE43" i="1" s="1"/>
  <c r="EBD42" i="1"/>
  <c r="EBD43" i="1" s="1"/>
  <c r="EBC42" i="1"/>
  <c r="EBC43" i="1" s="1"/>
  <c r="EBB42" i="1"/>
  <c r="EBB43" i="1" s="1"/>
  <c r="EBA42" i="1"/>
  <c r="EBA43" i="1" s="1"/>
  <c r="EAZ42" i="1"/>
  <c r="EAZ43" i="1" s="1"/>
  <c r="EAY42" i="1"/>
  <c r="EAY43" i="1" s="1"/>
  <c r="EAX42" i="1"/>
  <c r="EAX43" i="1" s="1"/>
  <c r="EAW42" i="1"/>
  <c r="EAW43" i="1" s="1"/>
  <c r="EAV42" i="1"/>
  <c r="EAV43" i="1" s="1"/>
  <c r="EAU42" i="1"/>
  <c r="EAU43" i="1" s="1"/>
  <c r="EAT42" i="1"/>
  <c r="EAT43" i="1" s="1"/>
  <c r="EAS42" i="1"/>
  <c r="EAS43" i="1" s="1"/>
  <c r="EAR42" i="1"/>
  <c r="EAR43" i="1" s="1"/>
  <c r="EAQ42" i="1"/>
  <c r="EAQ43" i="1" s="1"/>
  <c r="EAP42" i="1"/>
  <c r="EAP43" i="1" s="1"/>
  <c r="EAO42" i="1"/>
  <c r="EAN42" i="1"/>
  <c r="EAN43" i="1" s="1"/>
  <c r="EAM42" i="1"/>
  <c r="EAM43" i="1" s="1"/>
  <c r="EAL42" i="1"/>
  <c r="EAL43" i="1" s="1"/>
  <c r="EAK42" i="1"/>
  <c r="EAK43" i="1" s="1"/>
  <c r="EAJ42" i="1"/>
  <c r="EAJ43" i="1" s="1"/>
  <c r="EAI42" i="1"/>
  <c r="EAI43" i="1" s="1"/>
  <c r="EAH42" i="1"/>
  <c r="EAH43" i="1" s="1"/>
  <c r="EAG42" i="1"/>
  <c r="EAG43" i="1" s="1"/>
  <c r="EAF42" i="1"/>
  <c r="EAF43" i="1" s="1"/>
  <c r="EAE42" i="1"/>
  <c r="EAE43" i="1" s="1"/>
  <c r="EAD42" i="1"/>
  <c r="EAD43" i="1" s="1"/>
  <c r="EAC42" i="1"/>
  <c r="EAC43" i="1" s="1"/>
  <c r="EAB42" i="1"/>
  <c r="EAB43" i="1" s="1"/>
  <c r="EAA42" i="1"/>
  <c r="EAA43" i="1" s="1"/>
  <c r="DZZ42" i="1"/>
  <c r="DZZ43" i="1" s="1"/>
  <c r="DZY42" i="1"/>
  <c r="DZY43" i="1" s="1"/>
  <c r="DZX42" i="1"/>
  <c r="DZX43" i="1" s="1"/>
  <c r="DZW42" i="1"/>
  <c r="DZW43" i="1" s="1"/>
  <c r="DZV42" i="1"/>
  <c r="DZV43" i="1" s="1"/>
  <c r="DZU42" i="1"/>
  <c r="DZU43" i="1" s="1"/>
  <c r="DZT42" i="1"/>
  <c r="DZT43" i="1" s="1"/>
  <c r="DZS42" i="1"/>
  <c r="DZS43" i="1" s="1"/>
  <c r="DZR42" i="1"/>
  <c r="DZR43" i="1" s="1"/>
  <c r="DZQ42" i="1"/>
  <c r="DZQ43" i="1" s="1"/>
  <c r="DZP42" i="1"/>
  <c r="DZP43" i="1" s="1"/>
  <c r="DZO42" i="1"/>
  <c r="DZO43" i="1" s="1"/>
  <c r="DZN42" i="1"/>
  <c r="DZN43" i="1" s="1"/>
  <c r="DZM42" i="1"/>
  <c r="DZM43" i="1" s="1"/>
  <c r="DZL42" i="1"/>
  <c r="DZL43" i="1" s="1"/>
  <c r="DZK42" i="1"/>
  <c r="DZK43" i="1" s="1"/>
  <c r="DZJ42" i="1"/>
  <c r="DZJ43" i="1" s="1"/>
  <c r="DZI42" i="1"/>
  <c r="DZI43" i="1" s="1"/>
  <c r="DZH42" i="1"/>
  <c r="DZH43" i="1" s="1"/>
  <c r="DZG42" i="1"/>
  <c r="DZG43" i="1" s="1"/>
  <c r="DZF42" i="1"/>
  <c r="DZF43" i="1" s="1"/>
  <c r="DZE42" i="1"/>
  <c r="DZE43" i="1" s="1"/>
  <c r="DZD42" i="1"/>
  <c r="DZD43" i="1" s="1"/>
  <c r="DZC42" i="1"/>
  <c r="DZC43" i="1" s="1"/>
  <c r="DZB42" i="1"/>
  <c r="DZB43" i="1" s="1"/>
  <c r="DZA42" i="1"/>
  <c r="DZA43" i="1" s="1"/>
  <c r="DYZ42" i="1"/>
  <c r="DYZ43" i="1" s="1"/>
  <c r="DYY42" i="1"/>
  <c r="DYY43" i="1" s="1"/>
  <c r="DYX42" i="1"/>
  <c r="DYX43" i="1" s="1"/>
  <c r="DYW42" i="1"/>
  <c r="DYW43" i="1" s="1"/>
  <c r="DYV42" i="1"/>
  <c r="DYV43" i="1" s="1"/>
  <c r="DYU42" i="1"/>
  <c r="DYU43" i="1" s="1"/>
  <c r="DYT42" i="1"/>
  <c r="DYT43" i="1" s="1"/>
  <c r="DYS42" i="1"/>
  <c r="DYS43" i="1" s="1"/>
  <c r="DYR42" i="1"/>
  <c r="DYR43" i="1" s="1"/>
  <c r="DYQ42" i="1"/>
  <c r="DYQ43" i="1" s="1"/>
  <c r="DYP42" i="1"/>
  <c r="DYP43" i="1" s="1"/>
  <c r="DYO42" i="1"/>
  <c r="DYO43" i="1" s="1"/>
  <c r="DYN42" i="1"/>
  <c r="DYN43" i="1" s="1"/>
  <c r="DYM42" i="1"/>
  <c r="DYM43" i="1" s="1"/>
  <c r="DYL42" i="1"/>
  <c r="DYL43" i="1" s="1"/>
  <c r="DYK42" i="1"/>
  <c r="DYK43" i="1" s="1"/>
  <c r="DYJ42" i="1"/>
  <c r="DYJ43" i="1" s="1"/>
  <c r="DYI42" i="1"/>
  <c r="DYI43" i="1" s="1"/>
  <c r="DYH42" i="1"/>
  <c r="DYH43" i="1" s="1"/>
  <c r="DYG42" i="1"/>
  <c r="DYG43" i="1" s="1"/>
  <c r="DYF42" i="1"/>
  <c r="DYF43" i="1" s="1"/>
  <c r="DYE42" i="1"/>
  <c r="DYE43" i="1" s="1"/>
  <c r="DYD42" i="1"/>
  <c r="DYD43" i="1" s="1"/>
  <c r="DYC42" i="1"/>
  <c r="DYC43" i="1" s="1"/>
  <c r="DYB42" i="1"/>
  <c r="DYB43" i="1" s="1"/>
  <c r="DYA42" i="1"/>
  <c r="DYA43" i="1" s="1"/>
  <c r="DXZ42" i="1"/>
  <c r="DXZ43" i="1" s="1"/>
  <c r="DXY42" i="1"/>
  <c r="DXY43" i="1" s="1"/>
  <c r="DXX42" i="1"/>
  <c r="DXX43" i="1" s="1"/>
  <c r="DXW42" i="1"/>
  <c r="DXW43" i="1" s="1"/>
  <c r="DXV42" i="1"/>
  <c r="DXV43" i="1" s="1"/>
  <c r="DXU42" i="1"/>
  <c r="DXU43" i="1" s="1"/>
  <c r="DXT42" i="1"/>
  <c r="DXT43" i="1" s="1"/>
  <c r="DXS42" i="1"/>
  <c r="DXS43" i="1" s="1"/>
  <c r="DXR42" i="1"/>
  <c r="DXR43" i="1" s="1"/>
  <c r="DXQ42" i="1"/>
  <c r="DXQ43" i="1" s="1"/>
  <c r="DXP42" i="1"/>
  <c r="DXP43" i="1" s="1"/>
  <c r="DXO42" i="1"/>
  <c r="DXO43" i="1" s="1"/>
  <c r="DXN42" i="1"/>
  <c r="DXN43" i="1" s="1"/>
  <c r="DXM42" i="1"/>
  <c r="DXM43" i="1" s="1"/>
  <c r="DXL42" i="1"/>
  <c r="DXL43" i="1" s="1"/>
  <c r="DXK42" i="1"/>
  <c r="DXK43" i="1" s="1"/>
  <c r="DXJ42" i="1"/>
  <c r="DXJ43" i="1" s="1"/>
  <c r="DXI42" i="1"/>
  <c r="DXI43" i="1" s="1"/>
  <c r="DXH42" i="1"/>
  <c r="DXH43" i="1" s="1"/>
  <c r="DXG42" i="1"/>
  <c r="DXG43" i="1" s="1"/>
  <c r="DXF42" i="1"/>
  <c r="DXF43" i="1" s="1"/>
  <c r="DXE42" i="1"/>
  <c r="DXE43" i="1" s="1"/>
  <c r="DXD42" i="1"/>
  <c r="DXD43" i="1" s="1"/>
  <c r="DXC42" i="1"/>
  <c r="DXC43" i="1" s="1"/>
  <c r="DXB42" i="1"/>
  <c r="DXB43" i="1" s="1"/>
  <c r="DXA42" i="1"/>
  <c r="DXA43" i="1" s="1"/>
  <c r="DWZ42" i="1"/>
  <c r="DWZ43" i="1" s="1"/>
  <c r="DWY42" i="1"/>
  <c r="DWY43" i="1" s="1"/>
  <c r="DWX42" i="1"/>
  <c r="DWX43" i="1" s="1"/>
  <c r="DWW42" i="1"/>
  <c r="DWW43" i="1" s="1"/>
  <c r="DWV42" i="1"/>
  <c r="DWV43" i="1" s="1"/>
  <c r="DWU42" i="1"/>
  <c r="DWU43" i="1" s="1"/>
  <c r="DWT42" i="1"/>
  <c r="DWT43" i="1" s="1"/>
  <c r="DWS42" i="1"/>
  <c r="DWS43" i="1" s="1"/>
  <c r="DWR42" i="1"/>
  <c r="DWR43" i="1" s="1"/>
  <c r="DWQ42" i="1"/>
  <c r="DWQ43" i="1" s="1"/>
  <c r="DWP42" i="1"/>
  <c r="DWP43" i="1" s="1"/>
  <c r="DWO42" i="1"/>
  <c r="DWO43" i="1" s="1"/>
  <c r="DWN42" i="1"/>
  <c r="DWN43" i="1" s="1"/>
  <c r="DWM42" i="1"/>
  <c r="DWM43" i="1" s="1"/>
  <c r="DWL42" i="1"/>
  <c r="DWL43" i="1" s="1"/>
  <c r="DWK42" i="1"/>
  <c r="DWK43" i="1" s="1"/>
  <c r="DWJ42" i="1"/>
  <c r="DWJ43" i="1" s="1"/>
  <c r="DWI42" i="1"/>
  <c r="DWI43" i="1" s="1"/>
  <c r="DWH42" i="1"/>
  <c r="DWH43" i="1" s="1"/>
  <c r="DWG42" i="1"/>
  <c r="DWG43" i="1" s="1"/>
  <c r="DWF42" i="1"/>
  <c r="DWF43" i="1" s="1"/>
  <c r="DWE42" i="1"/>
  <c r="DWE43" i="1" s="1"/>
  <c r="DWD42" i="1"/>
  <c r="DWD43" i="1" s="1"/>
  <c r="DWC42" i="1"/>
  <c r="DWC43" i="1" s="1"/>
  <c r="DWB42" i="1"/>
  <c r="DWB43" i="1" s="1"/>
  <c r="DWA42" i="1"/>
  <c r="DWA43" i="1" s="1"/>
  <c r="DVZ42" i="1"/>
  <c r="DVZ43" i="1" s="1"/>
  <c r="DVY42" i="1"/>
  <c r="DVY43" i="1" s="1"/>
  <c r="DVX42" i="1"/>
  <c r="DVX43" i="1" s="1"/>
  <c r="DVW42" i="1"/>
  <c r="DVW43" i="1" s="1"/>
  <c r="DVV42" i="1"/>
  <c r="DVV43" i="1" s="1"/>
  <c r="DVU42" i="1"/>
  <c r="DVU43" i="1" s="1"/>
  <c r="DVT42" i="1"/>
  <c r="DVT43" i="1" s="1"/>
  <c r="DVS42" i="1"/>
  <c r="DVS43" i="1" s="1"/>
  <c r="DVR42" i="1"/>
  <c r="DVR43" i="1" s="1"/>
  <c r="DVQ42" i="1"/>
  <c r="DVQ43" i="1" s="1"/>
  <c r="DVP42" i="1"/>
  <c r="DVO42" i="1"/>
  <c r="DVO43" i="1" s="1"/>
  <c r="DVN42" i="1"/>
  <c r="DVN43" i="1" s="1"/>
  <c r="DVM42" i="1"/>
  <c r="DVM43" i="1" s="1"/>
  <c r="DVL42" i="1"/>
  <c r="DVL43" i="1" s="1"/>
  <c r="DVK42" i="1"/>
  <c r="DVK43" i="1" s="1"/>
  <c r="DVJ42" i="1"/>
  <c r="DVJ43" i="1" s="1"/>
  <c r="DVI42" i="1"/>
  <c r="DVI43" i="1" s="1"/>
  <c r="DVH42" i="1"/>
  <c r="DVH43" i="1" s="1"/>
  <c r="DVG42" i="1"/>
  <c r="DVG43" i="1" s="1"/>
  <c r="DVF42" i="1"/>
  <c r="DVF43" i="1" s="1"/>
  <c r="DVE42" i="1"/>
  <c r="DVE43" i="1" s="1"/>
  <c r="DVD42" i="1"/>
  <c r="DVD43" i="1" s="1"/>
  <c r="DVC42" i="1"/>
  <c r="DVC43" i="1" s="1"/>
  <c r="DVB42" i="1"/>
  <c r="DVB43" i="1" s="1"/>
  <c r="DVA42" i="1"/>
  <c r="DVA43" i="1" s="1"/>
  <c r="DUZ42" i="1"/>
  <c r="DUZ43" i="1" s="1"/>
  <c r="DUY42" i="1"/>
  <c r="DUY43" i="1" s="1"/>
  <c r="DUX42" i="1"/>
  <c r="DUX43" i="1" s="1"/>
  <c r="DUW42" i="1"/>
  <c r="DUW43" i="1" s="1"/>
  <c r="DUV42" i="1"/>
  <c r="DUV43" i="1" s="1"/>
  <c r="DUU42" i="1"/>
  <c r="DUU43" i="1" s="1"/>
  <c r="DUT42" i="1"/>
  <c r="DUT43" i="1" s="1"/>
  <c r="DUS42" i="1"/>
  <c r="DUS43" i="1" s="1"/>
  <c r="DUR42" i="1"/>
  <c r="DUR43" i="1" s="1"/>
  <c r="DUQ42" i="1"/>
  <c r="DUQ43" i="1" s="1"/>
  <c r="DUP42" i="1"/>
  <c r="DUP43" i="1" s="1"/>
  <c r="DUO42" i="1"/>
  <c r="DUO43" i="1" s="1"/>
  <c r="DUN42" i="1"/>
  <c r="DUN43" i="1" s="1"/>
  <c r="DUM42" i="1"/>
  <c r="DUM43" i="1" s="1"/>
  <c r="DUL42" i="1"/>
  <c r="DUL43" i="1" s="1"/>
  <c r="DUK42" i="1"/>
  <c r="DUK43" i="1" s="1"/>
  <c r="DUJ42" i="1"/>
  <c r="DUJ43" i="1" s="1"/>
  <c r="DUI42" i="1"/>
  <c r="DUI43" i="1" s="1"/>
  <c r="DUH42" i="1"/>
  <c r="DUH43" i="1" s="1"/>
  <c r="DUG42" i="1"/>
  <c r="DUG43" i="1" s="1"/>
  <c r="DUF42" i="1"/>
  <c r="DUF43" i="1" s="1"/>
  <c r="DUE42" i="1"/>
  <c r="DUE43" i="1" s="1"/>
  <c r="DUD42" i="1"/>
  <c r="DUD43" i="1" s="1"/>
  <c r="DUC42" i="1"/>
  <c r="DUC43" i="1" s="1"/>
  <c r="DUB42" i="1"/>
  <c r="DUB43" i="1" s="1"/>
  <c r="DUA42" i="1"/>
  <c r="DUA43" i="1" s="1"/>
  <c r="DTZ42" i="1"/>
  <c r="DTZ43" i="1" s="1"/>
  <c r="DTY42" i="1"/>
  <c r="DTY43" i="1" s="1"/>
  <c r="DTX42" i="1"/>
  <c r="DTX43" i="1" s="1"/>
  <c r="DTW42" i="1"/>
  <c r="DTW43" i="1" s="1"/>
  <c r="DTV42" i="1"/>
  <c r="DTV43" i="1" s="1"/>
  <c r="DTU42" i="1"/>
  <c r="DTU43" i="1" s="1"/>
  <c r="DTT42" i="1"/>
  <c r="DTT43" i="1" s="1"/>
  <c r="DTS42" i="1"/>
  <c r="DTS43" i="1" s="1"/>
  <c r="DTR42" i="1"/>
  <c r="DTR43" i="1" s="1"/>
  <c r="DTQ42" i="1"/>
  <c r="DTQ43" i="1" s="1"/>
  <c r="DTP42" i="1"/>
  <c r="DTP43" i="1" s="1"/>
  <c r="DTO42" i="1"/>
  <c r="DTO43" i="1" s="1"/>
  <c r="DTN42" i="1"/>
  <c r="DTN43" i="1" s="1"/>
  <c r="DTM42" i="1"/>
  <c r="DTM43" i="1" s="1"/>
  <c r="DTL42" i="1"/>
  <c r="DTL43" i="1" s="1"/>
  <c r="DTK42" i="1"/>
  <c r="DTK43" i="1" s="1"/>
  <c r="DTJ42" i="1"/>
  <c r="DTJ43" i="1" s="1"/>
  <c r="DTI42" i="1"/>
  <c r="DTI43" i="1" s="1"/>
  <c r="DTH42" i="1"/>
  <c r="DTH43" i="1" s="1"/>
  <c r="DTG42" i="1"/>
  <c r="DTG43" i="1" s="1"/>
  <c r="DTF42" i="1"/>
  <c r="DTF43" i="1" s="1"/>
  <c r="DTE42" i="1"/>
  <c r="DTE43" i="1" s="1"/>
  <c r="DTD42" i="1"/>
  <c r="DTD43" i="1" s="1"/>
  <c r="DTC42" i="1"/>
  <c r="DTC43" i="1" s="1"/>
  <c r="DTB42" i="1"/>
  <c r="DTB43" i="1" s="1"/>
  <c r="DTA42" i="1"/>
  <c r="DTA43" i="1" s="1"/>
  <c r="DSZ42" i="1"/>
  <c r="DSZ43" i="1" s="1"/>
  <c r="DSY42" i="1"/>
  <c r="DSY43" i="1" s="1"/>
  <c r="DSX42" i="1"/>
  <c r="DSX43" i="1" s="1"/>
  <c r="DSW42" i="1"/>
  <c r="DSW43" i="1" s="1"/>
  <c r="DSV42" i="1"/>
  <c r="DSV43" i="1" s="1"/>
  <c r="DSU42" i="1"/>
  <c r="DSU43" i="1" s="1"/>
  <c r="DST42" i="1"/>
  <c r="DST43" i="1" s="1"/>
  <c r="DSS42" i="1"/>
  <c r="DSS43" i="1" s="1"/>
  <c r="DSR42" i="1"/>
  <c r="DSR43" i="1" s="1"/>
  <c r="DSQ42" i="1"/>
  <c r="DSQ43" i="1" s="1"/>
  <c r="DSP42" i="1"/>
  <c r="DSP43" i="1" s="1"/>
  <c r="DSO42" i="1"/>
  <c r="DSO43" i="1" s="1"/>
  <c r="DSN42" i="1"/>
  <c r="DSN43" i="1" s="1"/>
  <c r="DSM42" i="1"/>
  <c r="DSM43" i="1" s="1"/>
  <c r="DSL42" i="1"/>
  <c r="DSL43" i="1" s="1"/>
  <c r="DSK42" i="1"/>
  <c r="DSK43" i="1" s="1"/>
  <c r="DSJ42" i="1"/>
  <c r="DSJ43" i="1" s="1"/>
  <c r="DSI42" i="1"/>
  <c r="DSI43" i="1" s="1"/>
  <c r="DSH42" i="1"/>
  <c r="DSH43" i="1" s="1"/>
  <c r="DSG42" i="1"/>
  <c r="DSG43" i="1" s="1"/>
  <c r="DSF42" i="1"/>
  <c r="DSF43" i="1" s="1"/>
  <c r="DSE42" i="1"/>
  <c r="DSE43" i="1" s="1"/>
  <c r="DSD42" i="1"/>
  <c r="DSD43" i="1" s="1"/>
  <c r="DSC42" i="1"/>
  <c r="DSC43" i="1" s="1"/>
  <c r="DSB42" i="1"/>
  <c r="DSB43" i="1" s="1"/>
  <c r="DSA42" i="1"/>
  <c r="DSA43" i="1" s="1"/>
  <c r="DRZ42" i="1"/>
  <c r="DRZ43" i="1" s="1"/>
  <c r="DRY42" i="1"/>
  <c r="DRY43" i="1" s="1"/>
  <c r="DRX42" i="1"/>
  <c r="DRX43" i="1" s="1"/>
  <c r="DRW42" i="1"/>
  <c r="DRW43" i="1" s="1"/>
  <c r="DRV42" i="1"/>
  <c r="DRV43" i="1" s="1"/>
  <c r="DRU42" i="1"/>
  <c r="DRU43" i="1" s="1"/>
  <c r="DRT42" i="1"/>
  <c r="DRT43" i="1" s="1"/>
  <c r="DRS42" i="1"/>
  <c r="DRS43" i="1" s="1"/>
  <c r="DRR42" i="1"/>
  <c r="DRR43" i="1" s="1"/>
  <c r="DRQ42" i="1"/>
  <c r="DRQ43" i="1" s="1"/>
  <c r="DRP42" i="1"/>
  <c r="DRP43" i="1" s="1"/>
  <c r="DRO42" i="1"/>
  <c r="DRO43" i="1" s="1"/>
  <c r="DRN42" i="1"/>
  <c r="DRN43" i="1" s="1"/>
  <c r="DRM42" i="1"/>
  <c r="DRM43" i="1" s="1"/>
  <c r="DRL42" i="1"/>
  <c r="DRL43" i="1" s="1"/>
  <c r="DRK42" i="1"/>
  <c r="DRK43" i="1" s="1"/>
  <c r="DRJ42" i="1"/>
  <c r="DRJ43" i="1" s="1"/>
  <c r="DRI42" i="1"/>
  <c r="DRI43" i="1" s="1"/>
  <c r="DRH42" i="1"/>
  <c r="DRH43" i="1" s="1"/>
  <c r="DRG42" i="1"/>
  <c r="DRG43" i="1" s="1"/>
  <c r="DRF42" i="1"/>
  <c r="DRF43" i="1" s="1"/>
  <c r="DRE42" i="1"/>
  <c r="DRE43" i="1" s="1"/>
  <c r="DRD42" i="1"/>
  <c r="DRD43" i="1" s="1"/>
  <c r="DRC42" i="1"/>
  <c r="DRC43" i="1" s="1"/>
  <c r="DRB42" i="1"/>
  <c r="DRB43" i="1" s="1"/>
  <c r="DRA42" i="1"/>
  <c r="DRA43" i="1" s="1"/>
  <c r="DQZ42" i="1"/>
  <c r="DQZ43" i="1" s="1"/>
  <c r="DQY42" i="1"/>
  <c r="DQY43" i="1" s="1"/>
  <c r="DQX42" i="1"/>
  <c r="DQX43" i="1" s="1"/>
  <c r="DQW42" i="1"/>
  <c r="DQV42" i="1"/>
  <c r="DQV43" i="1" s="1"/>
  <c r="DQU42" i="1"/>
  <c r="DQT42" i="1"/>
  <c r="DQT43" i="1" s="1"/>
  <c r="DQS42" i="1"/>
  <c r="DQS43" i="1" s="1"/>
  <c r="DQR42" i="1"/>
  <c r="DQR43" i="1" s="1"/>
  <c r="DQQ42" i="1"/>
  <c r="DQQ43" i="1" s="1"/>
  <c r="DQP42" i="1"/>
  <c r="DQP43" i="1" s="1"/>
  <c r="DQO42" i="1"/>
  <c r="DQO43" i="1" s="1"/>
  <c r="DQN42" i="1"/>
  <c r="DQN43" i="1" s="1"/>
  <c r="DQM42" i="1"/>
  <c r="DQM43" i="1" s="1"/>
  <c r="DQL42" i="1"/>
  <c r="DQL43" i="1" s="1"/>
  <c r="DQK42" i="1"/>
  <c r="DQK43" i="1" s="1"/>
  <c r="DQJ42" i="1"/>
  <c r="DQJ43" i="1" s="1"/>
  <c r="DQI42" i="1"/>
  <c r="DQI43" i="1" s="1"/>
  <c r="DQH42" i="1"/>
  <c r="DQH43" i="1" s="1"/>
  <c r="DQG42" i="1"/>
  <c r="DQG43" i="1" s="1"/>
  <c r="DQF42" i="1"/>
  <c r="DQF43" i="1" s="1"/>
  <c r="DQE42" i="1"/>
  <c r="DQE43" i="1" s="1"/>
  <c r="DQD42" i="1"/>
  <c r="DQD43" i="1" s="1"/>
  <c r="DQC42" i="1"/>
  <c r="DQC43" i="1" s="1"/>
  <c r="DQB42" i="1"/>
  <c r="DQB43" i="1" s="1"/>
  <c r="DQA42" i="1"/>
  <c r="DQA43" i="1" s="1"/>
  <c r="DPZ42" i="1"/>
  <c r="DPZ43" i="1" s="1"/>
  <c r="DPY42" i="1"/>
  <c r="DPY43" i="1" s="1"/>
  <c r="DPX42" i="1"/>
  <c r="DPX43" i="1" s="1"/>
  <c r="DPW42" i="1"/>
  <c r="DPW43" i="1" s="1"/>
  <c r="DPV42" i="1"/>
  <c r="DPV43" i="1" s="1"/>
  <c r="DPU42" i="1"/>
  <c r="DPU43" i="1" s="1"/>
  <c r="DPT42" i="1"/>
  <c r="DPT43" i="1" s="1"/>
  <c r="DPS42" i="1"/>
  <c r="DPS43" i="1" s="1"/>
  <c r="DPR42" i="1"/>
  <c r="DPR43" i="1" s="1"/>
  <c r="DPQ42" i="1"/>
  <c r="DPQ43" i="1" s="1"/>
  <c r="DPP42" i="1"/>
  <c r="DPP43" i="1" s="1"/>
  <c r="DPO42" i="1"/>
  <c r="DPO43" i="1" s="1"/>
  <c r="DPN42" i="1"/>
  <c r="DPN43" i="1" s="1"/>
  <c r="DPM42" i="1"/>
  <c r="DPM43" i="1" s="1"/>
  <c r="DPL42" i="1"/>
  <c r="DPL43" i="1" s="1"/>
  <c r="DPK42" i="1"/>
  <c r="DPK43" i="1" s="1"/>
  <c r="DPJ42" i="1"/>
  <c r="DPJ43" i="1" s="1"/>
  <c r="DPI42" i="1"/>
  <c r="DPI43" i="1" s="1"/>
  <c r="DPH42" i="1"/>
  <c r="DPH43" i="1" s="1"/>
  <c r="DPG42" i="1"/>
  <c r="DPG43" i="1" s="1"/>
  <c r="DPF42" i="1"/>
  <c r="DPF43" i="1" s="1"/>
  <c r="DPE42" i="1"/>
  <c r="DPE43" i="1" s="1"/>
  <c r="DPD42" i="1"/>
  <c r="DPD43" i="1" s="1"/>
  <c r="DPC42" i="1"/>
  <c r="DPC43" i="1" s="1"/>
  <c r="DPB42" i="1"/>
  <c r="DPB43" i="1" s="1"/>
  <c r="DPA42" i="1"/>
  <c r="DPA43" i="1" s="1"/>
  <c r="DOZ42" i="1"/>
  <c r="DOZ43" i="1" s="1"/>
  <c r="DOY42" i="1"/>
  <c r="DOY43" i="1" s="1"/>
  <c r="DOX42" i="1"/>
  <c r="DOX43" i="1" s="1"/>
  <c r="DOW42" i="1"/>
  <c r="DOW43" i="1" s="1"/>
  <c r="DOV42" i="1"/>
  <c r="DOV43" i="1" s="1"/>
  <c r="DOU42" i="1"/>
  <c r="DOU43" i="1" s="1"/>
  <c r="DOT42" i="1"/>
  <c r="DOT43" i="1" s="1"/>
  <c r="DOS42" i="1"/>
  <c r="DOS43" i="1" s="1"/>
  <c r="DOR42" i="1"/>
  <c r="DOR43" i="1" s="1"/>
  <c r="DOQ42" i="1"/>
  <c r="DOQ43" i="1" s="1"/>
  <c r="DOP42" i="1"/>
  <c r="DOP43" i="1" s="1"/>
  <c r="DOO42" i="1"/>
  <c r="DOO43" i="1" s="1"/>
  <c r="DON42" i="1"/>
  <c r="DON43" i="1" s="1"/>
  <c r="DOM42" i="1"/>
  <c r="DOM43" i="1" s="1"/>
  <c r="DOL42" i="1"/>
  <c r="DOL43" i="1" s="1"/>
  <c r="DOK42" i="1"/>
  <c r="DOK43" i="1" s="1"/>
  <c r="DOJ42" i="1"/>
  <c r="DOJ43" i="1" s="1"/>
  <c r="DOI42" i="1"/>
  <c r="DOI43" i="1" s="1"/>
  <c r="DOH42" i="1"/>
  <c r="DOH43" i="1" s="1"/>
  <c r="DOG42" i="1"/>
  <c r="DOG43" i="1" s="1"/>
  <c r="DOF42" i="1"/>
  <c r="DOF43" i="1" s="1"/>
  <c r="DOE42" i="1"/>
  <c r="DOE43" i="1" s="1"/>
  <c r="DOD42" i="1"/>
  <c r="DOD43" i="1" s="1"/>
  <c r="DOC42" i="1"/>
  <c r="DOC43" i="1" s="1"/>
  <c r="DOB42" i="1"/>
  <c r="DOB43" i="1" s="1"/>
  <c r="DOA42" i="1"/>
  <c r="DOA43" i="1" s="1"/>
  <c r="DNZ42" i="1"/>
  <c r="DNZ43" i="1" s="1"/>
  <c r="DNY42" i="1"/>
  <c r="DNY43" i="1" s="1"/>
  <c r="DNX42" i="1"/>
  <c r="DNX43" i="1" s="1"/>
  <c r="DNW42" i="1"/>
  <c r="DNW43" i="1" s="1"/>
  <c r="DNV42" i="1"/>
  <c r="DNV43" i="1" s="1"/>
  <c r="DNU42" i="1"/>
  <c r="DNU43" i="1" s="1"/>
  <c r="DNT42" i="1"/>
  <c r="DNT43" i="1" s="1"/>
  <c r="DNS42" i="1"/>
  <c r="DNS43" i="1" s="1"/>
  <c r="DNR42" i="1"/>
  <c r="DNR43" i="1" s="1"/>
  <c r="DNQ42" i="1"/>
  <c r="DNQ43" i="1" s="1"/>
  <c r="DNP42" i="1"/>
  <c r="DNP43" i="1" s="1"/>
  <c r="DNO42" i="1"/>
  <c r="DNO43" i="1" s="1"/>
  <c r="DNN42" i="1"/>
  <c r="DNN43" i="1" s="1"/>
  <c r="DNM42" i="1"/>
  <c r="DNM43" i="1" s="1"/>
  <c r="DNL42" i="1"/>
  <c r="DNL43" i="1" s="1"/>
  <c r="DNK42" i="1"/>
  <c r="DNK43" i="1" s="1"/>
  <c r="DNJ42" i="1"/>
  <c r="DNJ43" i="1" s="1"/>
  <c r="DNI42" i="1"/>
  <c r="DNI43" i="1" s="1"/>
  <c r="DNH42" i="1"/>
  <c r="DNH43" i="1" s="1"/>
  <c r="DNG42" i="1"/>
  <c r="DNG43" i="1" s="1"/>
  <c r="DNF42" i="1"/>
  <c r="DNF43" i="1" s="1"/>
  <c r="DNE42" i="1"/>
  <c r="DNE43" i="1" s="1"/>
  <c r="DND42" i="1"/>
  <c r="DND43" i="1" s="1"/>
  <c r="DNC42" i="1"/>
  <c r="DNC43" i="1" s="1"/>
  <c r="DNB42" i="1"/>
  <c r="DNB43" i="1" s="1"/>
  <c r="DNA42" i="1"/>
  <c r="DNA43" i="1" s="1"/>
  <c r="DMZ42" i="1"/>
  <c r="DMZ43" i="1" s="1"/>
  <c r="DMY42" i="1"/>
  <c r="DMY43" i="1" s="1"/>
  <c r="DMX42" i="1"/>
  <c r="DMX43" i="1" s="1"/>
  <c r="DMW42" i="1"/>
  <c r="DMW43" i="1" s="1"/>
  <c r="DMV42" i="1"/>
  <c r="DMV43" i="1" s="1"/>
  <c r="DMU42" i="1"/>
  <c r="DMU43" i="1" s="1"/>
  <c r="DMT42" i="1"/>
  <c r="DMT43" i="1" s="1"/>
  <c r="DMS42" i="1"/>
  <c r="DMS43" i="1" s="1"/>
  <c r="DMR42" i="1"/>
  <c r="DMR43" i="1" s="1"/>
  <c r="DMQ42" i="1"/>
  <c r="DMQ43" i="1" s="1"/>
  <c r="DMP42" i="1"/>
  <c r="DMP43" i="1" s="1"/>
  <c r="DMO42" i="1"/>
  <c r="DMO43" i="1" s="1"/>
  <c r="DMN42" i="1"/>
  <c r="DMN43" i="1" s="1"/>
  <c r="DMM42" i="1"/>
  <c r="DMM43" i="1" s="1"/>
  <c r="DML42" i="1"/>
  <c r="DML43" i="1" s="1"/>
  <c r="DMK42" i="1"/>
  <c r="DMK43" i="1" s="1"/>
  <c r="DMJ42" i="1"/>
  <c r="DMJ43" i="1" s="1"/>
  <c r="DMI42" i="1"/>
  <c r="DMI43" i="1" s="1"/>
  <c r="DMH42" i="1"/>
  <c r="DMH43" i="1" s="1"/>
  <c r="DMG42" i="1"/>
  <c r="DMG43" i="1" s="1"/>
  <c r="DMF42" i="1"/>
  <c r="DMF43" i="1" s="1"/>
  <c r="DME42" i="1"/>
  <c r="DME43" i="1" s="1"/>
  <c r="DMD42" i="1"/>
  <c r="DMD43" i="1" s="1"/>
  <c r="DMC42" i="1"/>
  <c r="DMC43" i="1" s="1"/>
  <c r="DMB42" i="1"/>
  <c r="DMB43" i="1" s="1"/>
  <c r="DMA42" i="1"/>
  <c r="DMA43" i="1" s="1"/>
  <c r="DLZ42" i="1"/>
  <c r="DLZ43" i="1" s="1"/>
  <c r="DLY42" i="1"/>
  <c r="DLY43" i="1" s="1"/>
  <c r="DLX42" i="1"/>
  <c r="DLW42" i="1"/>
  <c r="DLW43" i="1" s="1"/>
  <c r="DLV42" i="1"/>
  <c r="DLV43" i="1" s="1"/>
  <c r="DLU42" i="1"/>
  <c r="DLU43" i="1" s="1"/>
  <c r="DLT42" i="1"/>
  <c r="DLT43" i="1" s="1"/>
  <c r="DLS42" i="1"/>
  <c r="DLS43" i="1" s="1"/>
  <c r="DLR42" i="1"/>
  <c r="DLR43" i="1" s="1"/>
  <c r="DLQ42" i="1"/>
  <c r="DLQ43" i="1" s="1"/>
  <c r="DLP42" i="1"/>
  <c r="DLP43" i="1" s="1"/>
  <c r="DLO42" i="1"/>
  <c r="DLO43" i="1" s="1"/>
  <c r="DLN42" i="1"/>
  <c r="DLN43" i="1" s="1"/>
  <c r="DLM42" i="1"/>
  <c r="DLM43" i="1" s="1"/>
  <c r="DLL42" i="1"/>
  <c r="DLL43" i="1" s="1"/>
  <c r="DLK42" i="1"/>
  <c r="DLK43" i="1" s="1"/>
  <c r="DLJ42" i="1"/>
  <c r="DLJ43" i="1" s="1"/>
  <c r="DLI42" i="1"/>
  <c r="DLI43" i="1" s="1"/>
  <c r="DLH42" i="1"/>
  <c r="DLH43" i="1" s="1"/>
  <c r="DLG42" i="1"/>
  <c r="DLG43" i="1" s="1"/>
  <c r="DLF42" i="1"/>
  <c r="DLF43" i="1" s="1"/>
  <c r="DLE42" i="1"/>
  <c r="DLE43" i="1" s="1"/>
  <c r="DLD42" i="1"/>
  <c r="DLD43" i="1" s="1"/>
  <c r="DLC42" i="1"/>
  <c r="DLC43" i="1" s="1"/>
  <c r="DLB42" i="1"/>
  <c r="DLB43" i="1" s="1"/>
  <c r="DLA42" i="1"/>
  <c r="DLA43" i="1" s="1"/>
  <c r="DKZ42" i="1"/>
  <c r="DKZ43" i="1" s="1"/>
  <c r="DKY42" i="1"/>
  <c r="DKY43" i="1" s="1"/>
  <c r="DKX42" i="1"/>
  <c r="DKX43" i="1" s="1"/>
  <c r="DKW42" i="1"/>
  <c r="DKW43" i="1" s="1"/>
  <c r="DKV42" i="1"/>
  <c r="DKV43" i="1" s="1"/>
  <c r="DKU42" i="1"/>
  <c r="DKU43" i="1" s="1"/>
  <c r="DKT42" i="1"/>
  <c r="DKT43" i="1" s="1"/>
  <c r="DKS42" i="1"/>
  <c r="DKS43" i="1" s="1"/>
  <c r="DKR42" i="1"/>
  <c r="DKR43" i="1" s="1"/>
  <c r="DKQ42" i="1"/>
  <c r="DKQ43" i="1" s="1"/>
  <c r="DKP42" i="1"/>
  <c r="DKP43" i="1" s="1"/>
  <c r="DKO42" i="1"/>
  <c r="DKO43" i="1" s="1"/>
  <c r="DKN42" i="1"/>
  <c r="DKN43" i="1" s="1"/>
  <c r="DKM42" i="1"/>
  <c r="DKM43" i="1" s="1"/>
  <c r="DKL42" i="1"/>
  <c r="DKL43" i="1" s="1"/>
  <c r="DKK42" i="1"/>
  <c r="DKK43" i="1" s="1"/>
  <c r="DKJ42" i="1"/>
  <c r="DKJ43" i="1" s="1"/>
  <c r="DKI42" i="1"/>
  <c r="DKI43" i="1" s="1"/>
  <c r="DKH42" i="1"/>
  <c r="DKH43" i="1" s="1"/>
  <c r="DKG42" i="1"/>
  <c r="DKG43" i="1" s="1"/>
  <c r="DKF42" i="1"/>
  <c r="DKF43" i="1" s="1"/>
  <c r="DKE42" i="1"/>
  <c r="DKE43" i="1" s="1"/>
  <c r="DKD42" i="1"/>
  <c r="DKD43" i="1" s="1"/>
  <c r="DKC42" i="1"/>
  <c r="DKC43" i="1" s="1"/>
  <c r="DKB42" i="1"/>
  <c r="DKB43" i="1" s="1"/>
  <c r="DKA42" i="1"/>
  <c r="DKA43" i="1" s="1"/>
  <c r="DJZ42" i="1"/>
  <c r="DJZ43" i="1" s="1"/>
  <c r="DJY42" i="1"/>
  <c r="DJY43" i="1" s="1"/>
  <c r="DJX42" i="1"/>
  <c r="DJX43" i="1" s="1"/>
  <c r="DJW42" i="1"/>
  <c r="DJW43" i="1" s="1"/>
  <c r="DJV42" i="1"/>
  <c r="DJV43" i="1" s="1"/>
  <c r="DJU42" i="1"/>
  <c r="DJU43" i="1" s="1"/>
  <c r="DJT42" i="1"/>
  <c r="DJT43" i="1" s="1"/>
  <c r="DJS42" i="1"/>
  <c r="DJS43" i="1" s="1"/>
  <c r="DJR42" i="1"/>
  <c r="DJR43" i="1" s="1"/>
  <c r="DJQ42" i="1"/>
  <c r="DJQ43" i="1" s="1"/>
  <c r="DJP42" i="1"/>
  <c r="DJP43" i="1" s="1"/>
  <c r="DJO42" i="1"/>
  <c r="DJO43" i="1" s="1"/>
  <c r="DJN42" i="1"/>
  <c r="DJN43" i="1" s="1"/>
  <c r="DJM42" i="1"/>
  <c r="DJM43" i="1" s="1"/>
  <c r="DJL42" i="1"/>
  <c r="DJL43" i="1" s="1"/>
  <c r="DJK42" i="1"/>
  <c r="DJK43" i="1" s="1"/>
  <c r="DJJ42" i="1"/>
  <c r="DJJ43" i="1" s="1"/>
  <c r="DJI42" i="1"/>
  <c r="DJI43" i="1" s="1"/>
  <c r="DJH42" i="1"/>
  <c r="DJH43" i="1" s="1"/>
  <c r="DJG42" i="1"/>
  <c r="DJG43" i="1" s="1"/>
  <c r="DJF42" i="1"/>
  <c r="DJF43" i="1" s="1"/>
  <c r="DJE42" i="1"/>
  <c r="DJE43" i="1" s="1"/>
  <c r="DJD42" i="1"/>
  <c r="DJD43" i="1" s="1"/>
  <c r="DJC42" i="1"/>
  <c r="DJC43" i="1" s="1"/>
  <c r="DJB42" i="1"/>
  <c r="DJB43" i="1" s="1"/>
  <c r="DJA42" i="1"/>
  <c r="DJA43" i="1" s="1"/>
  <c r="DIZ42" i="1"/>
  <c r="DIZ43" i="1" s="1"/>
  <c r="DIY42" i="1"/>
  <c r="DIY43" i="1" s="1"/>
  <c r="DIX42" i="1"/>
  <c r="DIX43" i="1" s="1"/>
  <c r="DIW42" i="1"/>
  <c r="DIW43" i="1" s="1"/>
  <c r="DIV42" i="1"/>
  <c r="DIV43" i="1" s="1"/>
  <c r="DIU42" i="1"/>
  <c r="DIU43" i="1" s="1"/>
  <c r="DIT42" i="1"/>
  <c r="DIT43" i="1" s="1"/>
  <c r="DIS42" i="1"/>
  <c r="DIS43" i="1" s="1"/>
  <c r="DIR42" i="1"/>
  <c r="DIR43" i="1" s="1"/>
  <c r="DIQ42" i="1"/>
  <c r="DIQ43" i="1" s="1"/>
  <c r="DIP42" i="1"/>
  <c r="DIP43" i="1" s="1"/>
  <c r="DIO42" i="1"/>
  <c r="DIO43" i="1" s="1"/>
  <c r="DIN42" i="1"/>
  <c r="DIN43" i="1" s="1"/>
  <c r="DIM42" i="1"/>
  <c r="DIM43" i="1" s="1"/>
  <c r="DIL42" i="1"/>
  <c r="DIL43" i="1" s="1"/>
  <c r="DIK42" i="1"/>
  <c r="DIK43" i="1" s="1"/>
  <c r="DIJ42" i="1"/>
  <c r="DIJ43" i="1" s="1"/>
  <c r="DII42" i="1"/>
  <c r="DII43" i="1" s="1"/>
  <c r="DIH42" i="1"/>
  <c r="DIH43" i="1" s="1"/>
  <c r="DIG42" i="1"/>
  <c r="DIG43" i="1" s="1"/>
  <c r="DIF42" i="1"/>
  <c r="DIF43" i="1" s="1"/>
  <c r="DIE42" i="1"/>
  <c r="DIE43" i="1" s="1"/>
  <c r="DID42" i="1"/>
  <c r="DID43" i="1" s="1"/>
  <c r="DIC42" i="1"/>
  <c r="DIC43" i="1" s="1"/>
  <c r="DIB42" i="1"/>
  <c r="DIB43" i="1" s="1"/>
  <c r="DIA42" i="1"/>
  <c r="DIA43" i="1" s="1"/>
  <c r="DHZ42" i="1"/>
  <c r="DHZ43" i="1" s="1"/>
  <c r="DHY42" i="1"/>
  <c r="DHY43" i="1" s="1"/>
  <c r="DHX42" i="1"/>
  <c r="DHX43" i="1" s="1"/>
  <c r="DHW42" i="1"/>
  <c r="DHW43" i="1" s="1"/>
  <c r="DHV42" i="1"/>
  <c r="DHV43" i="1" s="1"/>
  <c r="DHU42" i="1"/>
  <c r="DHU43" i="1" s="1"/>
  <c r="DHT42" i="1"/>
  <c r="DHT43" i="1" s="1"/>
  <c r="DHS42" i="1"/>
  <c r="DHS43" i="1" s="1"/>
  <c r="DHR42" i="1"/>
  <c r="DHR43" i="1" s="1"/>
  <c r="DHQ42" i="1"/>
  <c r="DHQ43" i="1" s="1"/>
  <c r="DHP42" i="1"/>
  <c r="DHP43" i="1" s="1"/>
  <c r="DHO42" i="1"/>
  <c r="DHO43" i="1" s="1"/>
  <c r="DHN42" i="1"/>
  <c r="DHN43" i="1" s="1"/>
  <c r="DHM42" i="1"/>
  <c r="DHM43" i="1" s="1"/>
  <c r="DHL42" i="1"/>
  <c r="DHL43" i="1" s="1"/>
  <c r="DHK42" i="1"/>
  <c r="DHK43" i="1" s="1"/>
  <c r="DHJ42" i="1"/>
  <c r="DHJ43" i="1" s="1"/>
  <c r="DHI42" i="1"/>
  <c r="DHI43" i="1" s="1"/>
  <c r="DHH42" i="1"/>
  <c r="DHH43" i="1" s="1"/>
  <c r="DHG42" i="1"/>
  <c r="DHG43" i="1" s="1"/>
  <c r="DHF42" i="1"/>
  <c r="DHE42" i="1"/>
  <c r="DHE43" i="1" s="1"/>
  <c r="DHD42" i="1"/>
  <c r="DHD43" i="1" s="1"/>
  <c r="DHC42" i="1"/>
  <c r="DHB42" i="1"/>
  <c r="DHB43" i="1" s="1"/>
  <c r="DHA42" i="1"/>
  <c r="DHA43" i="1" s="1"/>
  <c r="DGZ42" i="1"/>
  <c r="DGZ43" i="1" s="1"/>
  <c r="DGY42" i="1"/>
  <c r="DGY43" i="1" s="1"/>
  <c r="DGX42" i="1"/>
  <c r="DGX43" i="1" s="1"/>
  <c r="DGW42" i="1"/>
  <c r="DGW43" i="1" s="1"/>
  <c r="DGV42" i="1"/>
  <c r="DGV43" i="1" s="1"/>
  <c r="DGU42" i="1"/>
  <c r="DGU43" i="1" s="1"/>
  <c r="DGT42" i="1"/>
  <c r="DGT43" i="1" s="1"/>
  <c r="DGS42" i="1"/>
  <c r="DGS43" i="1" s="1"/>
  <c r="DGR42" i="1"/>
  <c r="DGR43" i="1" s="1"/>
  <c r="DGQ42" i="1"/>
  <c r="DGQ43" i="1" s="1"/>
  <c r="DGP42" i="1"/>
  <c r="DGP43" i="1" s="1"/>
  <c r="DGO42" i="1"/>
  <c r="DGO43" i="1" s="1"/>
  <c r="DGN42" i="1"/>
  <c r="DGN43" i="1" s="1"/>
  <c r="DGM42" i="1"/>
  <c r="DGM43" i="1" s="1"/>
  <c r="DGL42" i="1"/>
  <c r="DGL43" i="1" s="1"/>
  <c r="DGK42" i="1"/>
  <c r="DGK43" i="1" s="1"/>
  <c r="DGJ42" i="1"/>
  <c r="DGJ43" i="1" s="1"/>
  <c r="DGI42" i="1"/>
  <c r="DGI43" i="1" s="1"/>
  <c r="DGH42" i="1"/>
  <c r="DGH43" i="1" s="1"/>
  <c r="DGG42" i="1"/>
  <c r="DGG43" i="1" s="1"/>
  <c r="DGF42" i="1"/>
  <c r="DGF43" i="1" s="1"/>
  <c r="DGE42" i="1"/>
  <c r="DGE43" i="1" s="1"/>
  <c r="DGD42" i="1"/>
  <c r="DGD43" i="1" s="1"/>
  <c r="DGC42" i="1"/>
  <c r="DGC43" i="1" s="1"/>
  <c r="DGB42" i="1"/>
  <c r="DGB43" i="1" s="1"/>
  <c r="DGA42" i="1"/>
  <c r="DGA43" i="1" s="1"/>
  <c r="DFZ42" i="1"/>
  <c r="DFZ43" i="1" s="1"/>
  <c r="DFY42" i="1"/>
  <c r="DFY43" i="1" s="1"/>
  <c r="DFX42" i="1"/>
  <c r="DFX43" i="1" s="1"/>
  <c r="DFW42" i="1"/>
  <c r="DFW43" i="1" s="1"/>
  <c r="DFV42" i="1"/>
  <c r="DFV43" i="1" s="1"/>
  <c r="DFU42" i="1"/>
  <c r="DFU43" i="1" s="1"/>
  <c r="DFT42" i="1"/>
  <c r="DFT43" i="1" s="1"/>
  <c r="DFS42" i="1"/>
  <c r="DFS43" i="1" s="1"/>
  <c r="DFR42" i="1"/>
  <c r="DFR43" i="1" s="1"/>
  <c r="DFQ42" i="1"/>
  <c r="DFQ43" i="1" s="1"/>
  <c r="DFP42" i="1"/>
  <c r="DFP43" i="1" s="1"/>
  <c r="DFO42" i="1"/>
  <c r="DFO43" i="1" s="1"/>
  <c r="DFN42" i="1"/>
  <c r="DFN43" i="1" s="1"/>
  <c r="DFM42" i="1"/>
  <c r="DFM43" i="1" s="1"/>
  <c r="DFL42" i="1"/>
  <c r="DFL43" i="1" s="1"/>
  <c r="DFK42" i="1"/>
  <c r="DFK43" i="1" s="1"/>
  <c r="DFJ42" i="1"/>
  <c r="DFJ43" i="1" s="1"/>
  <c r="DFI42" i="1"/>
  <c r="DFI43" i="1" s="1"/>
  <c r="DFH42" i="1"/>
  <c r="DFH43" i="1" s="1"/>
  <c r="DFG42" i="1"/>
  <c r="DFG43" i="1" s="1"/>
  <c r="DFF42" i="1"/>
  <c r="DFF43" i="1" s="1"/>
  <c r="DFE42" i="1"/>
  <c r="DFE43" i="1" s="1"/>
  <c r="DFD42" i="1"/>
  <c r="DFD43" i="1" s="1"/>
  <c r="DFC42" i="1"/>
  <c r="DFC43" i="1" s="1"/>
  <c r="DFB42" i="1"/>
  <c r="DFB43" i="1" s="1"/>
  <c r="DFA42" i="1"/>
  <c r="DFA43" i="1" s="1"/>
  <c r="DEZ42" i="1"/>
  <c r="DEZ43" i="1" s="1"/>
  <c r="DEY42" i="1"/>
  <c r="DEY43" i="1" s="1"/>
  <c r="DEX42" i="1"/>
  <c r="DEX43" i="1" s="1"/>
  <c r="DEW42" i="1"/>
  <c r="DEW43" i="1" s="1"/>
  <c r="DEV42" i="1"/>
  <c r="DEV43" i="1" s="1"/>
  <c r="DEU42" i="1"/>
  <c r="DEU43" i="1" s="1"/>
  <c r="DET42" i="1"/>
  <c r="DET43" i="1" s="1"/>
  <c r="DES42" i="1"/>
  <c r="DES43" i="1" s="1"/>
  <c r="DER42" i="1"/>
  <c r="DER43" i="1" s="1"/>
  <c r="DEQ42" i="1"/>
  <c r="DEQ43" i="1" s="1"/>
  <c r="DEP42" i="1"/>
  <c r="DEP43" i="1" s="1"/>
  <c r="DEO42" i="1"/>
  <c r="DEO43" i="1" s="1"/>
  <c r="DEN42" i="1"/>
  <c r="DEN43" i="1" s="1"/>
  <c r="DEM42" i="1"/>
  <c r="DEM43" i="1" s="1"/>
  <c r="DEL42" i="1"/>
  <c r="DEL43" i="1" s="1"/>
  <c r="DEK42" i="1"/>
  <c r="DEK43" i="1" s="1"/>
  <c r="DEJ42" i="1"/>
  <c r="DEJ43" i="1" s="1"/>
  <c r="DEI42" i="1"/>
  <c r="DEI43" i="1" s="1"/>
  <c r="DEH42" i="1"/>
  <c r="DEH43" i="1" s="1"/>
  <c r="DEG42" i="1"/>
  <c r="DEG43" i="1" s="1"/>
  <c r="DEF42" i="1"/>
  <c r="DEF43" i="1" s="1"/>
  <c r="DEE42" i="1"/>
  <c r="DEE43" i="1" s="1"/>
  <c r="DED42" i="1"/>
  <c r="DED43" i="1" s="1"/>
  <c r="DEC42" i="1"/>
  <c r="DEC43" i="1" s="1"/>
  <c r="DEB42" i="1"/>
  <c r="DEB43" i="1" s="1"/>
  <c r="DEA42" i="1"/>
  <c r="DEA43" i="1" s="1"/>
  <c r="DDZ42" i="1"/>
  <c r="DDZ43" i="1" s="1"/>
  <c r="DDY42" i="1"/>
  <c r="DDY43" i="1" s="1"/>
  <c r="DDX42" i="1"/>
  <c r="DDX43" i="1" s="1"/>
  <c r="DDW42" i="1"/>
  <c r="DDW43" i="1" s="1"/>
  <c r="DDV42" i="1"/>
  <c r="DDV43" i="1" s="1"/>
  <c r="DDU42" i="1"/>
  <c r="DDU43" i="1" s="1"/>
  <c r="DDT42" i="1"/>
  <c r="DDT43" i="1" s="1"/>
  <c r="DDS42" i="1"/>
  <c r="DDS43" i="1" s="1"/>
  <c r="DDR42" i="1"/>
  <c r="DDR43" i="1" s="1"/>
  <c r="DDQ42" i="1"/>
  <c r="DDQ43" i="1" s="1"/>
  <c r="DDP42" i="1"/>
  <c r="DDP43" i="1" s="1"/>
  <c r="DDO42" i="1"/>
  <c r="DDO43" i="1" s="1"/>
  <c r="DDN42" i="1"/>
  <c r="DDN43" i="1" s="1"/>
  <c r="DDM42" i="1"/>
  <c r="DDM43" i="1" s="1"/>
  <c r="DDL42" i="1"/>
  <c r="DDL43" i="1" s="1"/>
  <c r="DDK42" i="1"/>
  <c r="DDK43" i="1" s="1"/>
  <c r="DDJ42" i="1"/>
  <c r="DDJ43" i="1" s="1"/>
  <c r="DDI42" i="1"/>
  <c r="DDI43" i="1" s="1"/>
  <c r="DDH42" i="1"/>
  <c r="DDH43" i="1" s="1"/>
  <c r="DDG42" i="1"/>
  <c r="DDG43" i="1" s="1"/>
  <c r="DDF42" i="1"/>
  <c r="DDF43" i="1" s="1"/>
  <c r="DDE42" i="1"/>
  <c r="DDE43" i="1" s="1"/>
  <c r="DDD42" i="1"/>
  <c r="DDD43" i="1" s="1"/>
  <c r="DDC42" i="1"/>
  <c r="DDC43" i="1" s="1"/>
  <c r="DDB42" i="1"/>
  <c r="DDB43" i="1" s="1"/>
  <c r="DDA42" i="1"/>
  <c r="DDA43" i="1" s="1"/>
  <c r="DCZ42" i="1"/>
  <c r="DCZ43" i="1" s="1"/>
  <c r="DCY42" i="1"/>
  <c r="DCY43" i="1" s="1"/>
  <c r="DCX42" i="1"/>
  <c r="DCX43" i="1" s="1"/>
  <c r="DCW42" i="1"/>
  <c r="DCW43" i="1" s="1"/>
  <c r="DCV42" i="1"/>
  <c r="DCV43" i="1" s="1"/>
  <c r="DCU42" i="1"/>
  <c r="DCU43" i="1" s="1"/>
  <c r="DCT42" i="1"/>
  <c r="DCT43" i="1" s="1"/>
  <c r="DCS42" i="1"/>
  <c r="DCS43" i="1" s="1"/>
  <c r="DCR42" i="1"/>
  <c r="DCR43" i="1" s="1"/>
  <c r="DCQ42" i="1"/>
  <c r="DCQ43" i="1" s="1"/>
  <c r="DCP42" i="1"/>
  <c r="DCP43" i="1" s="1"/>
  <c r="DCO42" i="1"/>
  <c r="DCO43" i="1" s="1"/>
  <c r="DCN42" i="1"/>
  <c r="DCN43" i="1" s="1"/>
  <c r="DCM42" i="1"/>
  <c r="DCM43" i="1" s="1"/>
  <c r="DCL42" i="1"/>
  <c r="DCL43" i="1" s="1"/>
  <c r="DCK42" i="1"/>
  <c r="DCK43" i="1" s="1"/>
  <c r="DCJ42" i="1"/>
  <c r="DCJ43" i="1" s="1"/>
  <c r="DCI42" i="1"/>
  <c r="DCI43" i="1" s="1"/>
  <c r="DCH42" i="1"/>
  <c r="DCH43" i="1" s="1"/>
  <c r="DCG42" i="1"/>
  <c r="DCF42" i="1"/>
  <c r="DCF43" i="1" s="1"/>
  <c r="DCE42" i="1"/>
  <c r="DCE43" i="1" s="1"/>
  <c r="DCD42" i="1"/>
  <c r="DCD43" i="1" s="1"/>
  <c r="DCC42" i="1"/>
  <c r="DCC43" i="1" s="1"/>
  <c r="DCB42" i="1"/>
  <c r="DCB43" i="1" s="1"/>
  <c r="DCA42" i="1"/>
  <c r="DCA43" i="1" s="1"/>
  <c r="DBZ42" i="1"/>
  <c r="DBZ43" i="1" s="1"/>
  <c r="DBY42" i="1"/>
  <c r="DBY43" i="1" s="1"/>
  <c r="DBX42" i="1"/>
  <c r="DBX43" i="1" s="1"/>
  <c r="DBW42" i="1"/>
  <c r="DBW43" i="1" s="1"/>
  <c r="DBV42" i="1"/>
  <c r="DBV43" i="1" s="1"/>
  <c r="DBU42" i="1"/>
  <c r="DBU43" i="1" s="1"/>
  <c r="DBT42" i="1"/>
  <c r="DBT43" i="1" s="1"/>
  <c r="DBS42" i="1"/>
  <c r="DBS43" i="1" s="1"/>
  <c r="DBR42" i="1"/>
  <c r="DBR43" i="1" s="1"/>
  <c r="DBQ42" i="1"/>
  <c r="DBQ43" i="1" s="1"/>
  <c r="DBP42" i="1"/>
  <c r="DBP43" i="1" s="1"/>
  <c r="DBO42" i="1"/>
  <c r="DBO43" i="1" s="1"/>
  <c r="DBN42" i="1"/>
  <c r="DBN43" i="1" s="1"/>
  <c r="DBM42" i="1"/>
  <c r="DBM43" i="1" s="1"/>
  <c r="DBL42" i="1"/>
  <c r="DBL43" i="1" s="1"/>
  <c r="DBK42" i="1"/>
  <c r="DBK43" i="1" s="1"/>
  <c r="DBJ42" i="1"/>
  <c r="DBJ43" i="1" s="1"/>
  <c r="DBI42" i="1"/>
  <c r="DBI43" i="1" s="1"/>
  <c r="DBH42" i="1"/>
  <c r="DBH43" i="1" s="1"/>
  <c r="DBG42" i="1"/>
  <c r="DBG43" i="1" s="1"/>
  <c r="DBF42" i="1"/>
  <c r="DBF43" i="1" s="1"/>
  <c r="DBE42" i="1"/>
  <c r="DBE43" i="1" s="1"/>
  <c r="DBD42" i="1"/>
  <c r="DBD43" i="1" s="1"/>
  <c r="DBC42" i="1"/>
  <c r="DBC43" i="1" s="1"/>
  <c r="DBB42" i="1"/>
  <c r="DBB43" i="1" s="1"/>
  <c r="DBA42" i="1"/>
  <c r="DBA43" i="1" s="1"/>
  <c r="DAZ42" i="1"/>
  <c r="DAZ43" i="1" s="1"/>
  <c r="DAY42" i="1"/>
  <c r="DAY43" i="1" s="1"/>
  <c r="DAX42" i="1"/>
  <c r="DAX43" i="1" s="1"/>
  <c r="DAW42" i="1"/>
  <c r="DAW43" i="1" s="1"/>
  <c r="DAV42" i="1"/>
  <c r="DAV43" i="1" s="1"/>
  <c r="DAU42" i="1"/>
  <c r="DAU43" i="1" s="1"/>
  <c r="DAT42" i="1"/>
  <c r="DAT43" i="1" s="1"/>
  <c r="DAS42" i="1"/>
  <c r="DAS43" i="1" s="1"/>
  <c r="DAR42" i="1"/>
  <c r="DAR43" i="1" s="1"/>
  <c r="DAQ42" i="1"/>
  <c r="DAQ43" i="1" s="1"/>
  <c r="DAP42" i="1"/>
  <c r="DAP43" i="1" s="1"/>
  <c r="DAO42" i="1"/>
  <c r="DAO43" i="1" s="1"/>
  <c r="DAN42" i="1"/>
  <c r="DAN43" i="1" s="1"/>
  <c r="DAM42" i="1"/>
  <c r="DAM43" i="1" s="1"/>
  <c r="DAL42" i="1"/>
  <c r="DAL43" i="1" s="1"/>
  <c r="DAK42" i="1"/>
  <c r="DAK43" i="1" s="1"/>
  <c r="DAJ42" i="1"/>
  <c r="DAJ43" i="1" s="1"/>
  <c r="DAI42" i="1"/>
  <c r="DAI43" i="1" s="1"/>
  <c r="DAH42" i="1"/>
  <c r="DAH43" i="1" s="1"/>
  <c r="DAG42" i="1"/>
  <c r="DAG43" i="1" s="1"/>
  <c r="DAF42" i="1"/>
  <c r="DAF43" i="1" s="1"/>
  <c r="DAE42" i="1"/>
  <c r="DAE43" i="1" s="1"/>
  <c r="DAD42" i="1"/>
  <c r="DAD43" i="1" s="1"/>
  <c r="DAC42" i="1"/>
  <c r="DAC43" i="1" s="1"/>
  <c r="DAB42" i="1"/>
  <c r="DAB43" i="1" s="1"/>
  <c r="DAA42" i="1"/>
  <c r="DAA43" i="1" s="1"/>
  <c r="CZZ42" i="1"/>
  <c r="CZZ43" i="1" s="1"/>
  <c r="CZY42" i="1"/>
  <c r="CZY43" i="1" s="1"/>
  <c r="CZX42" i="1"/>
  <c r="CZX43" i="1" s="1"/>
  <c r="CZW42" i="1"/>
  <c r="CZW43" i="1" s="1"/>
  <c r="CZV42" i="1"/>
  <c r="CZV43" i="1" s="1"/>
  <c r="CZU42" i="1"/>
  <c r="CZU43" i="1" s="1"/>
  <c r="CZT42" i="1"/>
  <c r="CZT43" i="1" s="1"/>
  <c r="CZS42" i="1"/>
  <c r="CZS43" i="1" s="1"/>
  <c r="CZR42" i="1"/>
  <c r="CZR43" i="1" s="1"/>
  <c r="CZQ42" i="1"/>
  <c r="CZQ43" i="1" s="1"/>
  <c r="CZP42" i="1"/>
  <c r="CZP43" i="1" s="1"/>
  <c r="CZO42" i="1"/>
  <c r="CZO43" i="1" s="1"/>
  <c r="CZN42" i="1"/>
  <c r="CZN43" i="1" s="1"/>
  <c r="CZM42" i="1"/>
  <c r="CZM43" i="1" s="1"/>
  <c r="CZL42" i="1"/>
  <c r="CZL43" i="1" s="1"/>
  <c r="CZK42" i="1"/>
  <c r="CZK43" i="1" s="1"/>
  <c r="CZJ42" i="1"/>
  <c r="CZJ43" i="1" s="1"/>
  <c r="CZI42" i="1"/>
  <c r="CZI43" i="1" s="1"/>
  <c r="CZH42" i="1"/>
  <c r="CZH43" i="1" s="1"/>
  <c r="CZG42" i="1"/>
  <c r="CZG43" i="1" s="1"/>
  <c r="CZF42" i="1"/>
  <c r="CZF43" i="1" s="1"/>
  <c r="CZE42" i="1"/>
  <c r="CZE43" i="1" s="1"/>
  <c r="CZD42" i="1"/>
  <c r="CZD43" i="1" s="1"/>
  <c r="CZC42" i="1"/>
  <c r="CZC43" i="1" s="1"/>
  <c r="CZB42" i="1"/>
  <c r="CZB43" i="1" s="1"/>
  <c r="CZA42" i="1"/>
  <c r="CZA43" i="1" s="1"/>
  <c r="CYZ42" i="1"/>
  <c r="CYZ43" i="1" s="1"/>
  <c r="CYY42" i="1"/>
  <c r="CYY43" i="1" s="1"/>
  <c r="CYX42" i="1"/>
  <c r="CYX43" i="1" s="1"/>
  <c r="CYW42" i="1"/>
  <c r="CYW43" i="1" s="1"/>
  <c r="CYV42" i="1"/>
  <c r="CYV43" i="1" s="1"/>
  <c r="CYU42" i="1"/>
  <c r="CYU43" i="1" s="1"/>
  <c r="CYT42" i="1"/>
  <c r="CYT43" i="1" s="1"/>
  <c r="CYS42" i="1"/>
  <c r="CYS43" i="1" s="1"/>
  <c r="CYR42" i="1"/>
  <c r="CYR43" i="1" s="1"/>
  <c r="CYQ42" i="1"/>
  <c r="CYQ43" i="1" s="1"/>
  <c r="CYP42" i="1"/>
  <c r="CYP43" i="1" s="1"/>
  <c r="CYO42" i="1"/>
  <c r="CYO43" i="1" s="1"/>
  <c r="CYN42" i="1"/>
  <c r="CYN43" i="1" s="1"/>
  <c r="CYM42" i="1"/>
  <c r="CYM43" i="1" s="1"/>
  <c r="CYL42" i="1"/>
  <c r="CYL43" i="1" s="1"/>
  <c r="CYK42" i="1"/>
  <c r="CYK43" i="1" s="1"/>
  <c r="CYJ42" i="1"/>
  <c r="CYJ43" i="1" s="1"/>
  <c r="CYI42" i="1"/>
  <c r="CYI43" i="1" s="1"/>
  <c r="CYH42" i="1"/>
  <c r="CYH43" i="1" s="1"/>
  <c r="CYG42" i="1"/>
  <c r="CYG43" i="1" s="1"/>
  <c r="CYF42" i="1"/>
  <c r="CYF43" i="1" s="1"/>
  <c r="CYE42" i="1"/>
  <c r="CYE43" i="1" s="1"/>
  <c r="CYD42" i="1"/>
  <c r="CYD43" i="1" s="1"/>
  <c r="CYC42" i="1"/>
  <c r="CYC43" i="1" s="1"/>
  <c r="CYB42" i="1"/>
  <c r="CYB43" i="1" s="1"/>
  <c r="CYA42" i="1"/>
  <c r="CYA43" i="1" s="1"/>
  <c r="CXZ42" i="1"/>
  <c r="CXZ43" i="1" s="1"/>
  <c r="CXY42" i="1"/>
  <c r="CXY43" i="1" s="1"/>
  <c r="CXX42" i="1"/>
  <c r="CXX43" i="1" s="1"/>
  <c r="CXW42" i="1"/>
  <c r="CXW43" i="1" s="1"/>
  <c r="CXV42" i="1"/>
  <c r="CXV43" i="1" s="1"/>
  <c r="CXU42" i="1"/>
  <c r="CXU43" i="1" s="1"/>
  <c r="CXT42" i="1"/>
  <c r="CXT43" i="1" s="1"/>
  <c r="CXS42" i="1"/>
  <c r="CXS43" i="1" s="1"/>
  <c r="CXR42" i="1"/>
  <c r="CXR43" i="1" s="1"/>
  <c r="CXQ42" i="1"/>
  <c r="CXQ43" i="1" s="1"/>
  <c r="CXP42" i="1"/>
  <c r="CXP43" i="1" s="1"/>
  <c r="CXO42" i="1"/>
  <c r="CXO43" i="1" s="1"/>
  <c r="CXN42" i="1"/>
  <c r="CXM42" i="1"/>
  <c r="CXM43" i="1" s="1"/>
  <c r="CXL42" i="1"/>
  <c r="CXK42" i="1"/>
  <c r="CXK43" i="1" s="1"/>
  <c r="CXJ42" i="1"/>
  <c r="CXJ43" i="1" s="1"/>
  <c r="CXI42" i="1"/>
  <c r="CXI43" i="1" s="1"/>
  <c r="CXH42" i="1"/>
  <c r="CXH43" i="1" s="1"/>
  <c r="CXG42" i="1"/>
  <c r="CXG43" i="1" s="1"/>
  <c r="CXF42" i="1"/>
  <c r="CXF43" i="1" s="1"/>
  <c r="CXE42" i="1"/>
  <c r="CXE43" i="1" s="1"/>
  <c r="CXD42" i="1"/>
  <c r="CXD43" i="1" s="1"/>
  <c r="CXC42" i="1"/>
  <c r="CXC43" i="1" s="1"/>
  <c r="CXB42" i="1"/>
  <c r="CXB43" i="1" s="1"/>
  <c r="CXA42" i="1"/>
  <c r="CXA43" i="1" s="1"/>
  <c r="CWZ42" i="1"/>
  <c r="CWZ43" i="1" s="1"/>
  <c r="CWY42" i="1"/>
  <c r="CWY43" i="1" s="1"/>
  <c r="CWX42" i="1"/>
  <c r="CWX43" i="1" s="1"/>
  <c r="CWW42" i="1"/>
  <c r="CWW43" i="1" s="1"/>
  <c r="CWV42" i="1"/>
  <c r="CWV43" i="1" s="1"/>
  <c r="CWU42" i="1"/>
  <c r="CWU43" i="1" s="1"/>
  <c r="CWT42" i="1"/>
  <c r="CWT43" i="1" s="1"/>
  <c r="CWS42" i="1"/>
  <c r="CWS43" i="1" s="1"/>
  <c r="CWR42" i="1"/>
  <c r="CWR43" i="1" s="1"/>
  <c r="CWQ42" i="1"/>
  <c r="CWQ43" i="1" s="1"/>
  <c r="CWP42" i="1"/>
  <c r="CWP43" i="1" s="1"/>
  <c r="CWO42" i="1"/>
  <c r="CWO43" i="1" s="1"/>
  <c r="CWN42" i="1"/>
  <c r="CWN43" i="1" s="1"/>
  <c r="CWM42" i="1"/>
  <c r="CWM43" i="1" s="1"/>
  <c r="CWL42" i="1"/>
  <c r="CWL43" i="1" s="1"/>
  <c r="CWK42" i="1"/>
  <c r="CWK43" i="1" s="1"/>
  <c r="CWJ42" i="1"/>
  <c r="CWJ43" i="1" s="1"/>
  <c r="CWI42" i="1"/>
  <c r="CWI43" i="1" s="1"/>
  <c r="CWH42" i="1"/>
  <c r="CWH43" i="1" s="1"/>
  <c r="CWG42" i="1"/>
  <c r="CWG43" i="1" s="1"/>
  <c r="CWF42" i="1"/>
  <c r="CWF43" i="1" s="1"/>
  <c r="CWE42" i="1"/>
  <c r="CWE43" i="1" s="1"/>
  <c r="CWD42" i="1"/>
  <c r="CWD43" i="1" s="1"/>
  <c r="CWC42" i="1"/>
  <c r="CWC43" i="1" s="1"/>
  <c r="CWB42" i="1"/>
  <c r="CWB43" i="1" s="1"/>
  <c r="CWA42" i="1"/>
  <c r="CWA43" i="1" s="1"/>
  <c r="CVZ42" i="1"/>
  <c r="CVZ43" i="1" s="1"/>
  <c r="CVY42" i="1"/>
  <c r="CVY43" i="1" s="1"/>
  <c r="CVX42" i="1"/>
  <c r="CVX43" i="1" s="1"/>
  <c r="CVW42" i="1"/>
  <c r="CVW43" i="1" s="1"/>
  <c r="CVV42" i="1"/>
  <c r="CVV43" i="1" s="1"/>
  <c r="CVU42" i="1"/>
  <c r="CVU43" i="1" s="1"/>
  <c r="CVT42" i="1"/>
  <c r="CVT43" i="1" s="1"/>
  <c r="CVS42" i="1"/>
  <c r="CVS43" i="1" s="1"/>
  <c r="CVR42" i="1"/>
  <c r="CVR43" i="1" s="1"/>
  <c r="CVQ42" i="1"/>
  <c r="CVQ43" i="1" s="1"/>
  <c r="CVP42" i="1"/>
  <c r="CVP43" i="1" s="1"/>
  <c r="CVO42" i="1"/>
  <c r="CVO43" i="1" s="1"/>
  <c r="CVN42" i="1"/>
  <c r="CVN43" i="1" s="1"/>
  <c r="CVM42" i="1"/>
  <c r="CVM43" i="1" s="1"/>
  <c r="CVL42" i="1"/>
  <c r="CVL43" i="1" s="1"/>
  <c r="CVK42" i="1"/>
  <c r="CVK43" i="1" s="1"/>
  <c r="CVJ42" i="1"/>
  <c r="CVJ43" i="1" s="1"/>
  <c r="CVI42" i="1"/>
  <c r="CVI43" i="1" s="1"/>
  <c r="CVH42" i="1"/>
  <c r="CVH43" i="1" s="1"/>
  <c r="CVG42" i="1"/>
  <c r="CVG43" i="1" s="1"/>
  <c r="CVF42" i="1"/>
  <c r="CVF43" i="1" s="1"/>
  <c r="CVE42" i="1"/>
  <c r="CVE43" i="1" s="1"/>
  <c r="CVD42" i="1"/>
  <c r="CVD43" i="1" s="1"/>
  <c r="CVC42" i="1"/>
  <c r="CVC43" i="1" s="1"/>
  <c r="CVB42" i="1"/>
  <c r="CVB43" i="1" s="1"/>
  <c r="CVA42" i="1"/>
  <c r="CVA43" i="1" s="1"/>
  <c r="CUZ42" i="1"/>
  <c r="CUZ43" i="1" s="1"/>
  <c r="CUY42" i="1"/>
  <c r="CUY43" i="1" s="1"/>
  <c r="CUX42" i="1"/>
  <c r="CUX43" i="1" s="1"/>
  <c r="CUW42" i="1"/>
  <c r="CUW43" i="1" s="1"/>
  <c r="CUV42" i="1"/>
  <c r="CUV43" i="1" s="1"/>
  <c r="CUU42" i="1"/>
  <c r="CUU43" i="1" s="1"/>
  <c r="CUT42" i="1"/>
  <c r="CUT43" i="1" s="1"/>
  <c r="CUS42" i="1"/>
  <c r="CUS43" i="1" s="1"/>
  <c r="CUR42" i="1"/>
  <c r="CUR43" i="1" s="1"/>
  <c r="CUQ42" i="1"/>
  <c r="CUQ43" i="1" s="1"/>
  <c r="CUP42" i="1"/>
  <c r="CUP43" i="1" s="1"/>
  <c r="CUO42" i="1"/>
  <c r="CUO43" i="1" s="1"/>
  <c r="CUN42" i="1"/>
  <c r="CUN43" i="1" s="1"/>
  <c r="CUM42" i="1"/>
  <c r="CUM43" i="1" s="1"/>
  <c r="CUL42" i="1"/>
  <c r="CUL43" i="1" s="1"/>
  <c r="CUK42" i="1"/>
  <c r="CUK43" i="1" s="1"/>
  <c r="CUJ42" i="1"/>
  <c r="CUJ43" i="1" s="1"/>
  <c r="CUI42" i="1"/>
  <c r="CUI43" i="1" s="1"/>
  <c r="CUH42" i="1"/>
  <c r="CUH43" i="1" s="1"/>
  <c r="CUG42" i="1"/>
  <c r="CUG43" i="1" s="1"/>
  <c r="CUF42" i="1"/>
  <c r="CUF43" i="1" s="1"/>
  <c r="CUE42" i="1"/>
  <c r="CUE43" i="1" s="1"/>
  <c r="CUD42" i="1"/>
  <c r="CUD43" i="1" s="1"/>
  <c r="CUC42" i="1"/>
  <c r="CUC43" i="1" s="1"/>
  <c r="CUB42" i="1"/>
  <c r="CUB43" i="1" s="1"/>
  <c r="CUA42" i="1"/>
  <c r="CUA43" i="1" s="1"/>
  <c r="CTZ42" i="1"/>
  <c r="CTZ43" i="1" s="1"/>
  <c r="CTY42" i="1"/>
  <c r="CTY43" i="1" s="1"/>
  <c r="CTX42" i="1"/>
  <c r="CTX43" i="1" s="1"/>
  <c r="CTW42" i="1"/>
  <c r="CTW43" i="1" s="1"/>
  <c r="CTV42" i="1"/>
  <c r="CTV43" i="1" s="1"/>
  <c r="CTU42" i="1"/>
  <c r="CTU43" i="1" s="1"/>
  <c r="CTT42" i="1"/>
  <c r="CTT43" i="1" s="1"/>
  <c r="CTS42" i="1"/>
  <c r="CTS43" i="1" s="1"/>
  <c r="CTR42" i="1"/>
  <c r="CTR43" i="1" s="1"/>
  <c r="CTQ42" i="1"/>
  <c r="CTQ43" i="1" s="1"/>
  <c r="CTP42" i="1"/>
  <c r="CTP43" i="1" s="1"/>
  <c r="CTO42" i="1"/>
  <c r="CTO43" i="1" s="1"/>
  <c r="CTN42" i="1"/>
  <c r="CTN43" i="1" s="1"/>
  <c r="CTM42" i="1"/>
  <c r="CTM43" i="1" s="1"/>
  <c r="CTL42" i="1"/>
  <c r="CTL43" i="1" s="1"/>
  <c r="CTK42" i="1"/>
  <c r="CTK43" i="1" s="1"/>
  <c r="CTJ42" i="1"/>
  <c r="CTJ43" i="1" s="1"/>
  <c r="CTI42" i="1"/>
  <c r="CTI43" i="1" s="1"/>
  <c r="CTH42" i="1"/>
  <c r="CTH43" i="1" s="1"/>
  <c r="CTG42" i="1"/>
  <c r="CTG43" i="1" s="1"/>
  <c r="CTF42" i="1"/>
  <c r="CTF43" i="1" s="1"/>
  <c r="CTE42" i="1"/>
  <c r="CTE43" i="1" s="1"/>
  <c r="CTD42" i="1"/>
  <c r="CTD43" i="1" s="1"/>
  <c r="CTC42" i="1"/>
  <c r="CTC43" i="1" s="1"/>
  <c r="CTB42" i="1"/>
  <c r="CTB43" i="1" s="1"/>
  <c r="CTA42" i="1"/>
  <c r="CTA43" i="1" s="1"/>
  <c r="CSZ42" i="1"/>
  <c r="CSZ43" i="1" s="1"/>
  <c r="CSY42" i="1"/>
  <c r="CSY43" i="1" s="1"/>
  <c r="CSX42" i="1"/>
  <c r="CSX43" i="1" s="1"/>
  <c r="CSW42" i="1"/>
  <c r="CSW43" i="1" s="1"/>
  <c r="CSV42" i="1"/>
  <c r="CSV43" i="1" s="1"/>
  <c r="CSU42" i="1"/>
  <c r="CSU43" i="1" s="1"/>
  <c r="CST42" i="1"/>
  <c r="CST43" i="1" s="1"/>
  <c r="CSS42" i="1"/>
  <c r="CSS43" i="1" s="1"/>
  <c r="CSR42" i="1"/>
  <c r="CSR43" i="1" s="1"/>
  <c r="CSQ42" i="1"/>
  <c r="CSQ43" i="1" s="1"/>
  <c r="CSP42" i="1"/>
  <c r="CSP43" i="1" s="1"/>
  <c r="CSO42" i="1"/>
  <c r="CSN42" i="1"/>
  <c r="CSN43" i="1" s="1"/>
  <c r="CSM42" i="1"/>
  <c r="CSM43" i="1" s="1"/>
  <c r="CSL42" i="1"/>
  <c r="CSL43" i="1" s="1"/>
  <c r="CSK42" i="1"/>
  <c r="CSK43" i="1" s="1"/>
  <c r="CSJ42" i="1"/>
  <c r="CSJ43" i="1" s="1"/>
  <c r="CSI42" i="1"/>
  <c r="CSI43" i="1" s="1"/>
  <c r="CSH42" i="1"/>
  <c r="CSH43" i="1" s="1"/>
  <c r="CSG42" i="1"/>
  <c r="CSG43" i="1" s="1"/>
  <c r="CSF42" i="1"/>
  <c r="CSF43" i="1" s="1"/>
  <c r="CSE42" i="1"/>
  <c r="CSE43" i="1" s="1"/>
  <c r="CSD42" i="1"/>
  <c r="CSD43" i="1" s="1"/>
  <c r="CSC42" i="1"/>
  <c r="CSC43" i="1" s="1"/>
  <c r="CSB42" i="1"/>
  <c r="CSB43" i="1" s="1"/>
  <c r="CSA42" i="1"/>
  <c r="CSA43" i="1" s="1"/>
  <c r="CRZ42" i="1"/>
  <c r="CRZ43" i="1" s="1"/>
  <c r="CRY42" i="1"/>
  <c r="CRY43" i="1" s="1"/>
  <c r="CRX42" i="1"/>
  <c r="CRX43" i="1" s="1"/>
  <c r="CRW42" i="1"/>
  <c r="CRW43" i="1" s="1"/>
  <c r="CRV42" i="1"/>
  <c r="CRV43" i="1" s="1"/>
  <c r="CRU42" i="1"/>
  <c r="CRU43" i="1" s="1"/>
  <c r="CRT42" i="1"/>
  <c r="CRT43" i="1" s="1"/>
  <c r="CRS42" i="1"/>
  <c r="CRS43" i="1" s="1"/>
  <c r="CRR42" i="1"/>
  <c r="CRR43" i="1" s="1"/>
  <c r="CRQ42" i="1"/>
  <c r="CRQ43" i="1" s="1"/>
  <c r="CRP42" i="1"/>
  <c r="CRP43" i="1" s="1"/>
  <c r="CRO42" i="1"/>
  <c r="CRO43" i="1" s="1"/>
  <c r="CRN42" i="1"/>
  <c r="CRN43" i="1" s="1"/>
  <c r="CRM42" i="1"/>
  <c r="CRM43" i="1" s="1"/>
  <c r="CRL42" i="1"/>
  <c r="CRL43" i="1" s="1"/>
  <c r="CRK42" i="1"/>
  <c r="CRK43" i="1" s="1"/>
  <c r="CRJ42" i="1"/>
  <c r="CRJ43" i="1" s="1"/>
  <c r="CRI42" i="1"/>
  <c r="CRI43" i="1" s="1"/>
  <c r="CRH42" i="1"/>
  <c r="CRH43" i="1" s="1"/>
  <c r="CRG42" i="1"/>
  <c r="CRG43" i="1" s="1"/>
  <c r="CRF42" i="1"/>
  <c r="CRF43" i="1" s="1"/>
  <c r="CRE42" i="1"/>
  <c r="CRE43" i="1" s="1"/>
  <c r="CRD42" i="1"/>
  <c r="CRD43" i="1" s="1"/>
  <c r="CRC42" i="1"/>
  <c r="CRC43" i="1" s="1"/>
  <c r="CRB42" i="1"/>
  <c r="CRB43" i="1" s="1"/>
  <c r="CRA42" i="1"/>
  <c r="CRA43" i="1" s="1"/>
  <c r="CQZ42" i="1"/>
  <c r="CQZ43" i="1" s="1"/>
  <c r="CQY42" i="1"/>
  <c r="CQY43" i="1" s="1"/>
  <c r="CQX42" i="1"/>
  <c r="CQX43" i="1" s="1"/>
  <c r="CQW42" i="1"/>
  <c r="CQW43" i="1" s="1"/>
  <c r="CQV42" i="1"/>
  <c r="CQV43" i="1" s="1"/>
  <c r="CQU42" i="1"/>
  <c r="CQU43" i="1" s="1"/>
  <c r="CQT42" i="1"/>
  <c r="CQT43" i="1" s="1"/>
  <c r="CQS42" i="1"/>
  <c r="CQS43" i="1" s="1"/>
  <c r="CQR42" i="1"/>
  <c r="CQR43" i="1" s="1"/>
  <c r="CQQ42" i="1"/>
  <c r="CQQ43" i="1" s="1"/>
  <c r="CQP42" i="1"/>
  <c r="CQP43" i="1" s="1"/>
  <c r="CQO42" i="1"/>
  <c r="CQO43" i="1" s="1"/>
  <c r="CQN42" i="1"/>
  <c r="CQN43" i="1" s="1"/>
  <c r="CQM42" i="1"/>
  <c r="CQM43" i="1" s="1"/>
  <c r="CQL42" i="1"/>
  <c r="CQL43" i="1" s="1"/>
  <c r="CQK42" i="1"/>
  <c r="CQK43" i="1" s="1"/>
  <c r="CQJ42" i="1"/>
  <c r="CQJ43" i="1" s="1"/>
  <c r="CQI42" i="1"/>
  <c r="CQI43" i="1" s="1"/>
  <c r="CQH42" i="1"/>
  <c r="CQH43" i="1" s="1"/>
  <c r="CQG42" i="1"/>
  <c r="CQG43" i="1" s="1"/>
  <c r="CQF42" i="1"/>
  <c r="CQF43" i="1" s="1"/>
  <c r="CQE42" i="1"/>
  <c r="CQE43" i="1" s="1"/>
  <c r="CQD42" i="1"/>
  <c r="CQD43" i="1" s="1"/>
  <c r="CQC42" i="1"/>
  <c r="CQC43" i="1" s="1"/>
  <c r="CQB42" i="1"/>
  <c r="CQB43" i="1" s="1"/>
  <c r="CQA42" i="1"/>
  <c r="CQA43" i="1" s="1"/>
  <c r="CPZ42" i="1"/>
  <c r="CPZ43" i="1" s="1"/>
  <c r="CPY42" i="1"/>
  <c r="CPY43" i="1" s="1"/>
  <c r="CPX42" i="1"/>
  <c r="CPX43" i="1" s="1"/>
  <c r="CPW42" i="1"/>
  <c r="CPW43" i="1" s="1"/>
  <c r="CPV42" i="1"/>
  <c r="CPV43" i="1" s="1"/>
  <c r="CPU42" i="1"/>
  <c r="CPU43" i="1" s="1"/>
  <c r="CPT42" i="1"/>
  <c r="CPT43" i="1" s="1"/>
  <c r="CPS42" i="1"/>
  <c r="CPS43" i="1" s="1"/>
  <c r="CPR42" i="1"/>
  <c r="CPR43" i="1" s="1"/>
  <c r="CPQ42" i="1"/>
  <c r="CPQ43" i="1" s="1"/>
  <c r="CPP42" i="1"/>
  <c r="CPP43" i="1" s="1"/>
  <c r="CPO42" i="1"/>
  <c r="CPO43" i="1" s="1"/>
  <c r="CPN42" i="1"/>
  <c r="CPN43" i="1" s="1"/>
  <c r="CPM42" i="1"/>
  <c r="CPM43" i="1" s="1"/>
  <c r="CPL42" i="1"/>
  <c r="CPL43" i="1" s="1"/>
  <c r="CPK42" i="1"/>
  <c r="CPK43" i="1" s="1"/>
  <c r="CPJ42" i="1"/>
  <c r="CPJ43" i="1" s="1"/>
  <c r="CPI42" i="1"/>
  <c r="CPI43" i="1" s="1"/>
  <c r="CPH42" i="1"/>
  <c r="CPH43" i="1" s="1"/>
  <c r="CPG42" i="1"/>
  <c r="CPG43" i="1" s="1"/>
  <c r="CPF42" i="1"/>
  <c r="CPF43" i="1" s="1"/>
  <c r="CPE42" i="1"/>
  <c r="CPE43" i="1" s="1"/>
  <c r="CPD42" i="1"/>
  <c r="CPD43" i="1" s="1"/>
  <c r="CPC42" i="1"/>
  <c r="CPC43" i="1" s="1"/>
  <c r="CPB42" i="1"/>
  <c r="CPB43" i="1" s="1"/>
  <c r="CPA42" i="1"/>
  <c r="CPA43" i="1" s="1"/>
  <c r="COZ42" i="1"/>
  <c r="COZ43" i="1" s="1"/>
  <c r="COY42" i="1"/>
  <c r="COY43" i="1" s="1"/>
  <c r="COX42" i="1"/>
  <c r="COX43" i="1" s="1"/>
  <c r="COW42" i="1"/>
  <c r="COW43" i="1" s="1"/>
  <c r="COV42" i="1"/>
  <c r="COV43" i="1" s="1"/>
  <c r="COU42" i="1"/>
  <c r="COU43" i="1" s="1"/>
  <c r="COT42" i="1"/>
  <c r="COT43" i="1" s="1"/>
  <c r="COS42" i="1"/>
  <c r="COS43" i="1" s="1"/>
  <c r="COR42" i="1"/>
  <c r="COR43" i="1" s="1"/>
  <c r="COQ42" i="1"/>
  <c r="COQ43" i="1" s="1"/>
  <c r="COP42" i="1"/>
  <c r="COP43" i="1" s="1"/>
  <c r="COO42" i="1"/>
  <c r="COO43" i="1" s="1"/>
  <c r="CON42" i="1"/>
  <c r="CON43" i="1" s="1"/>
  <c r="COM42" i="1"/>
  <c r="COM43" i="1" s="1"/>
  <c r="COL42" i="1"/>
  <c r="COL43" i="1" s="1"/>
  <c r="COK42" i="1"/>
  <c r="COK43" i="1" s="1"/>
  <c r="COJ42" i="1"/>
  <c r="COJ43" i="1" s="1"/>
  <c r="COI42" i="1"/>
  <c r="COI43" i="1" s="1"/>
  <c r="COH42" i="1"/>
  <c r="COH43" i="1" s="1"/>
  <c r="COG42" i="1"/>
  <c r="COF42" i="1"/>
  <c r="COF43" i="1" s="1"/>
  <c r="COE42" i="1"/>
  <c r="COD42" i="1"/>
  <c r="COD43" i="1" s="1"/>
  <c r="COC42" i="1"/>
  <c r="COC43" i="1" s="1"/>
  <c r="COB42" i="1"/>
  <c r="COB43" i="1" s="1"/>
  <c r="COA42" i="1"/>
  <c r="COA43" i="1" s="1"/>
  <c r="CNZ42" i="1"/>
  <c r="CNZ43" i="1" s="1"/>
  <c r="CNY42" i="1"/>
  <c r="CNY43" i="1" s="1"/>
  <c r="CNX42" i="1"/>
  <c r="CNX43" i="1" s="1"/>
  <c r="CNW42" i="1"/>
  <c r="CNW43" i="1" s="1"/>
  <c r="CNV42" i="1"/>
  <c r="CNV43" i="1" s="1"/>
  <c r="CNU42" i="1"/>
  <c r="CNU43" i="1" s="1"/>
  <c r="CNT42" i="1"/>
  <c r="CNT43" i="1" s="1"/>
  <c r="CNS42" i="1"/>
  <c r="CNS43" i="1" s="1"/>
  <c r="CNR42" i="1"/>
  <c r="CNR43" i="1" s="1"/>
  <c r="CNQ42" i="1"/>
  <c r="CNQ43" i="1" s="1"/>
  <c r="CNP42" i="1"/>
  <c r="CNP43" i="1" s="1"/>
  <c r="CNO42" i="1"/>
  <c r="CNO43" i="1" s="1"/>
  <c r="CNN42" i="1"/>
  <c r="CNN43" i="1" s="1"/>
  <c r="CNM42" i="1"/>
  <c r="CNM43" i="1" s="1"/>
  <c r="CNL42" i="1"/>
  <c r="CNL43" i="1" s="1"/>
  <c r="CNK42" i="1"/>
  <c r="CNK43" i="1" s="1"/>
  <c r="CNJ42" i="1"/>
  <c r="CNJ43" i="1" s="1"/>
  <c r="CNI42" i="1"/>
  <c r="CNI43" i="1" s="1"/>
  <c r="CNH42" i="1"/>
  <c r="CNH43" i="1" s="1"/>
  <c r="CNG42" i="1"/>
  <c r="CNG43" i="1" s="1"/>
  <c r="CNF42" i="1"/>
  <c r="CNF43" i="1" s="1"/>
  <c r="CNE42" i="1"/>
  <c r="CNE43" i="1" s="1"/>
  <c r="CND42" i="1"/>
  <c r="CND43" i="1" s="1"/>
  <c r="CNC42" i="1"/>
  <c r="CNC43" i="1" s="1"/>
  <c r="CNB42" i="1"/>
  <c r="CNB43" i="1" s="1"/>
  <c r="CNA42" i="1"/>
  <c r="CNA43" i="1" s="1"/>
  <c r="CMZ42" i="1"/>
  <c r="CMZ43" i="1" s="1"/>
  <c r="CMY42" i="1"/>
  <c r="CMY43" i="1" s="1"/>
  <c r="CMX42" i="1"/>
  <c r="CMX43" i="1" s="1"/>
  <c r="CMW42" i="1"/>
  <c r="CMW43" i="1" s="1"/>
  <c r="CMV42" i="1"/>
  <c r="CMV43" i="1" s="1"/>
  <c r="CMU42" i="1"/>
  <c r="CMU43" i="1" s="1"/>
  <c r="CMT42" i="1"/>
  <c r="CMT43" i="1" s="1"/>
  <c r="CMS42" i="1"/>
  <c r="CMS43" i="1" s="1"/>
  <c r="CMR42" i="1"/>
  <c r="CMR43" i="1" s="1"/>
  <c r="CMQ42" i="1"/>
  <c r="CMQ43" i="1" s="1"/>
  <c r="CMP42" i="1"/>
  <c r="CMP43" i="1" s="1"/>
  <c r="CMO42" i="1"/>
  <c r="CMO43" i="1" s="1"/>
  <c r="CMN42" i="1"/>
  <c r="CMN43" i="1" s="1"/>
  <c r="CMM42" i="1"/>
  <c r="CMM43" i="1" s="1"/>
  <c r="CML42" i="1"/>
  <c r="CML43" i="1" s="1"/>
  <c r="CMK42" i="1"/>
  <c r="CMK43" i="1" s="1"/>
  <c r="CMJ42" i="1"/>
  <c r="CMJ43" i="1" s="1"/>
  <c r="CMI42" i="1"/>
  <c r="CMI43" i="1" s="1"/>
  <c r="CMH42" i="1"/>
  <c r="CMH43" i="1" s="1"/>
  <c r="CMG42" i="1"/>
  <c r="CMG43" i="1" s="1"/>
  <c r="CMF42" i="1"/>
  <c r="CMF43" i="1" s="1"/>
  <c r="CME42" i="1"/>
  <c r="CME43" i="1" s="1"/>
  <c r="CMD42" i="1"/>
  <c r="CMD43" i="1" s="1"/>
  <c r="CMC42" i="1"/>
  <c r="CMC43" i="1" s="1"/>
  <c r="CMB42" i="1"/>
  <c r="CMB43" i="1" s="1"/>
  <c r="CMA42" i="1"/>
  <c r="CMA43" i="1" s="1"/>
  <c r="CLZ42" i="1"/>
  <c r="CLZ43" i="1" s="1"/>
  <c r="CLY42" i="1"/>
  <c r="CLY43" i="1" s="1"/>
  <c r="CLX42" i="1"/>
  <c r="CLX43" i="1" s="1"/>
  <c r="CLW42" i="1"/>
  <c r="CLW43" i="1" s="1"/>
  <c r="CLV42" i="1"/>
  <c r="CLV43" i="1" s="1"/>
  <c r="CLU42" i="1"/>
  <c r="CLU43" i="1" s="1"/>
  <c r="CLT42" i="1"/>
  <c r="CLT43" i="1" s="1"/>
  <c r="CLS42" i="1"/>
  <c r="CLS43" i="1" s="1"/>
  <c r="CLR42" i="1"/>
  <c r="CLR43" i="1" s="1"/>
  <c r="CLQ42" i="1"/>
  <c r="CLQ43" i="1" s="1"/>
  <c r="CLP42" i="1"/>
  <c r="CLP43" i="1" s="1"/>
  <c r="CLO42" i="1"/>
  <c r="CLO43" i="1" s="1"/>
  <c r="CLN42" i="1"/>
  <c r="CLN43" i="1" s="1"/>
  <c r="CLM42" i="1"/>
  <c r="CLM43" i="1" s="1"/>
  <c r="CLL42" i="1"/>
  <c r="CLL43" i="1" s="1"/>
  <c r="CLK42" i="1"/>
  <c r="CLK43" i="1" s="1"/>
  <c r="CLJ42" i="1"/>
  <c r="CLJ43" i="1" s="1"/>
  <c r="CLI42" i="1"/>
  <c r="CLI43" i="1" s="1"/>
  <c r="CLH42" i="1"/>
  <c r="CLH43" i="1" s="1"/>
  <c r="CLG42" i="1"/>
  <c r="CLG43" i="1" s="1"/>
  <c r="CLF42" i="1"/>
  <c r="CLF43" i="1" s="1"/>
  <c r="CLE42" i="1"/>
  <c r="CLE43" i="1" s="1"/>
  <c r="CLD42" i="1"/>
  <c r="CLD43" i="1" s="1"/>
  <c r="CLC42" i="1"/>
  <c r="CLC43" i="1" s="1"/>
  <c r="CLB42" i="1"/>
  <c r="CLB43" i="1" s="1"/>
  <c r="CLA42" i="1"/>
  <c r="CLA43" i="1" s="1"/>
  <c r="CKZ42" i="1"/>
  <c r="CKZ43" i="1" s="1"/>
  <c r="CKY42" i="1"/>
  <c r="CKY43" i="1" s="1"/>
  <c r="CKX42" i="1"/>
  <c r="CKX43" i="1" s="1"/>
  <c r="CKW42" i="1"/>
  <c r="CKW43" i="1" s="1"/>
  <c r="CKV42" i="1"/>
  <c r="CKV43" i="1" s="1"/>
  <c r="CKU42" i="1"/>
  <c r="CKU43" i="1" s="1"/>
  <c r="CKT42" i="1"/>
  <c r="CKT43" i="1" s="1"/>
  <c r="CKS42" i="1"/>
  <c r="CKS43" i="1" s="1"/>
  <c r="CKR42" i="1"/>
  <c r="CKR43" i="1" s="1"/>
  <c r="CKQ42" i="1"/>
  <c r="CKQ43" i="1" s="1"/>
  <c r="CKP42" i="1"/>
  <c r="CKP43" i="1" s="1"/>
  <c r="CKO42" i="1"/>
  <c r="CKO43" i="1" s="1"/>
  <c r="CKN42" i="1"/>
  <c r="CKN43" i="1" s="1"/>
  <c r="CKM42" i="1"/>
  <c r="CKM43" i="1" s="1"/>
  <c r="CKL42" i="1"/>
  <c r="CKL43" i="1" s="1"/>
  <c r="CKK42" i="1"/>
  <c r="CKK43" i="1" s="1"/>
  <c r="CKJ42" i="1"/>
  <c r="CKJ43" i="1" s="1"/>
  <c r="CKI42" i="1"/>
  <c r="CKI43" i="1" s="1"/>
  <c r="CKH42" i="1"/>
  <c r="CKH43" i="1" s="1"/>
  <c r="CKG42" i="1"/>
  <c r="CKG43" i="1" s="1"/>
  <c r="CKF42" i="1"/>
  <c r="CKF43" i="1" s="1"/>
  <c r="CKE42" i="1"/>
  <c r="CKE43" i="1" s="1"/>
  <c r="CKD42" i="1"/>
  <c r="CKD43" i="1" s="1"/>
  <c r="CKC42" i="1"/>
  <c r="CKB42" i="1"/>
  <c r="CKB43" i="1" s="1"/>
  <c r="CKA42" i="1"/>
  <c r="CKA43" i="1" s="1"/>
  <c r="CJZ42" i="1"/>
  <c r="CJZ43" i="1" s="1"/>
  <c r="CJY42" i="1"/>
  <c r="CJY43" i="1" s="1"/>
  <c r="CJX42" i="1"/>
  <c r="CJW42" i="1"/>
  <c r="CJW43" i="1" s="1"/>
  <c r="CJV42" i="1"/>
  <c r="CJV43" i="1" s="1"/>
  <c r="CJU42" i="1"/>
  <c r="CJU43" i="1" s="1"/>
  <c r="CJT42" i="1"/>
  <c r="CJT43" i="1" s="1"/>
  <c r="CJS42" i="1"/>
  <c r="CJS43" i="1" s="1"/>
  <c r="CJR42" i="1"/>
  <c r="CJR43" i="1" s="1"/>
  <c r="CJQ42" i="1"/>
  <c r="CJQ43" i="1" s="1"/>
  <c r="CJP42" i="1"/>
  <c r="CJP43" i="1" s="1"/>
  <c r="CJO42" i="1"/>
  <c r="CJO43" i="1" s="1"/>
  <c r="CJN42" i="1"/>
  <c r="CJN43" i="1" s="1"/>
  <c r="CJM42" i="1"/>
  <c r="CJM43" i="1" s="1"/>
  <c r="CJL42" i="1"/>
  <c r="CJL43" i="1" s="1"/>
  <c r="CJK42" i="1"/>
  <c r="CJK43" i="1" s="1"/>
  <c r="CJJ42" i="1"/>
  <c r="CJJ43" i="1" s="1"/>
  <c r="CJI42" i="1"/>
  <c r="CJI43" i="1" s="1"/>
  <c r="CJH42" i="1"/>
  <c r="CJH43" i="1" s="1"/>
  <c r="CJG42" i="1"/>
  <c r="CJG43" i="1" s="1"/>
  <c r="CJF42" i="1"/>
  <c r="CJF43" i="1" s="1"/>
  <c r="CJE42" i="1"/>
  <c r="CJE43" i="1" s="1"/>
  <c r="CJD42" i="1"/>
  <c r="CJD43" i="1" s="1"/>
  <c r="CJC42" i="1"/>
  <c r="CJC43" i="1" s="1"/>
  <c r="CJB42" i="1"/>
  <c r="CJB43" i="1" s="1"/>
  <c r="CJA42" i="1"/>
  <c r="CJA43" i="1" s="1"/>
  <c r="CIZ42" i="1"/>
  <c r="CIZ43" i="1" s="1"/>
  <c r="CIY42" i="1"/>
  <c r="CIY43" i="1" s="1"/>
  <c r="CIX42" i="1"/>
  <c r="CIX43" i="1" s="1"/>
  <c r="CIW42" i="1"/>
  <c r="CIW43" i="1" s="1"/>
  <c r="CIV42" i="1"/>
  <c r="CIV43" i="1" s="1"/>
  <c r="CIU42" i="1"/>
  <c r="CIU43" i="1" s="1"/>
  <c r="CIT42" i="1"/>
  <c r="CIT43" i="1" s="1"/>
  <c r="CIS42" i="1"/>
  <c r="CIS43" i="1" s="1"/>
  <c r="CIR42" i="1"/>
  <c r="CIR43" i="1" s="1"/>
  <c r="CIQ42" i="1"/>
  <c r="CIQ43" i="1" s="1"/>
  <c r="CIP42" i="1"/>
  <c r="CIP43" i="1" s="1"/>
  <c r="CIO42" i="1"/>
  <c r="CIO43" i="1" s="1"/>
  <c r="CIN42" i="1"/>
  <c r="CIN43" i="1" s="1"/>
  <c r="CIM42" i="1"/>
  <c r="CIM43" i="1" s="1"/>
  <c r="CIL42" i="1"/>
  <c r="CIL43" i="1" s="1"/>
  <c r="CIK42" i="1"/>
  <c r="CIK43" i="1" s="1"/>
  <c r="CIJ42" i="1"/>
  <c r="CIJ43" i="1" s="1"/>
  <c r="CII42" i="1"/>
  <c r="CII43" i="1" s="1"/>
  <c r="CIH42" i="1"/>
  <c r="CIH43" i="1" s="1"/>
  <c r="CIG42" i="1"/>
  <c r="CIG43" i="1" s="1"/>
  <c r="CIF42" i="1"/>
  <c r="CIF43" i="1" s="1"/>
  <c r="CIE42" i="1"/>
  <c r="CIE43" i="1" s="1"/>
  <c r="CID42" i="1"/>
  <c r="CID43" i="1" s="1"/>
  <c r="CIC42" i="1"/>
  <c r="CIC43" i="1" s="1"/>
  <c r="CIB42" i="1"/>
  <c r="CIB43" i="1" s="1"/>
  <c r="CIA42" i="1"/>
  <c r="CIA43" i="1" s="1"/>
  <c r="CHZ42" i="1"/>
  <c r="CHZ43" i="1" s="1"/>
  <c r="CHY42" i="1"/>
  <c r="CHY43" i="1" s="1"/>
  <c r="CHX42" i="1"/>
  <c r="CHX43" i="1" s="1"/>
  <c r="CHW42" i="1"/>
  <c r="CHW43" i="1" s="1"/>
  <c r="CHV42" i="1"/>
  <c r="CHV43" i="1" s="1"/>
  <c r="CHU42" i="1"/>
  <c r="CHU43" i="1" s="1"/>
  <c r="CHT42" i="1"/>
  <c r="CHT43" i="1" s="1"/>
  <c r="CHS42" i="1"/>
  <c r="CHS43" i="1" s="1"/>
  <c r="CHR42" i="1"/>
  <c r="CHR43" i="1" s="1"/>
  <c r="CHQ42" i="1"/>
  <c r="CHQ43" i="1" s="1"/>
  <c r="CHP42" i="1"/>
  <c r="CHP43" i="1" s="1"/>
  <c r="CHO42" i="1"/>
  <c r="CHO43" i="1" s="1"/>
  <c r="CHN42" i="1"/>
  <c r="CHN43" i="1" s="1"/>
  <c r="CHM42" i="1"/>
  <c r="CHM43" i="1" s="1"/>
  <c r="CHL42" i="1"/>
  <c r="CHL43" i="1" s="1"/>
  <c r="CHK42" i="1"/>
  <c r="CHK43" i="1" s="1"/>
  <c r="CHJ42" i="1"/>
  <c r="CHJ43" i="1" s="1"/>
  <c r="CHI42" i="1"/>
  <c r="CHI43" i="1" s="1"/>
  <c r="CHH42" i="1"/>
  <c r="CHH43" i="1" s="1"/>
  <c r="CHG42" i="1"/>
  <c r="CHG43" i="1" s="1"/>
  <c r="CHF42" i="1"/>
  <c r="CHF43" i="1" s="1"/>
  <c r="CHE42" i="1"/>
  <c r="CHE43" i="1" s="1"/>
  <c r="CHD42" i="1"/>
  <c r="CHD43" i="1" s="1"/>
  <c r="CHC42" i="1"/>
  <c r="CHC43" i="1" s="1"/>
  <c r="CHB42" i="1"/>
  <c r="CHB43" i="1" s="1"/>
  <c r="CHA42" i="1"/>
  <c r="CHA43" i="1" s="1"/>
  <c r="CGZ42" i="1"/>
  <c r="CGZ43" i="1" s="1"/>
  <c r="CGY42" i="1"/>
  <c r="CGY43" i="1" s="1"/>
  <c r="CGX42" i="1"/>
  <c r="CGX43" i="1" s="1"/>
  <c r="CGW42" i="1"/>
  <c r="CGW43" i="1" s="1"/>
  <c r="CGV42" i="1"/>
  <c r="CGV43" i="1" s="1"/>
  <c r="CGU42" i="1"/>
  <c r="CGU43" i="1" s="1"/>
  <c r="CGT42" i="1"/>
  <c r="CGT43" i="1" s="1"/>
  <c r="CGS42" i="1"/>
  <c r="CGS43" i="1" s="1"/>
  <c r="CGR42" i="1"/>
  <c r="CGR43" i="1" s="1"/>
  <c r="CGQ42" i="1"/>
  <c r="CGQ43" i="1" s="1"/>
  <c r="CGP42" i="1"/>
  <c r="CGP43" i="1" s="1"/>
  <c r="CGO42" i="1"/>
  <c r="CGO43" i="1" s="1"/>
  <c r="CGN42" i="1"/>
  <c r="CGN43" i="1" s="1"/>
  <c r="CGM42" i="1"/>
  <c r="CGM43" i="1" s="1"/>
  <c r="CGL42" i="1"/>
  <c r="CGL43" i="1" s="1"/>
  <c r="CGK42" i="1"/>
  <c r="CGK43" i="1" s="1"/>
  <c r="CGJ42" i="1"/>
  <c r="CGJ43" i="1" s="1"/>
  <c r="CGI42" i="1"/>
  <c r="CGI43" i="1" s="1"/>
  <c r="CGH42" i="1"/>
  <c r="CGH43" i="1" s="1"/>
  <c r="CGG42" i="1"/>
  <c r="CGG43" i="1" s="1"/>
  <c r="CGF42" i="1"/>
  <c r="CGE42" i="1"/>
  <c r="CGE43" i="1" s="1"/>
  <c r="CGD42" i="1"/>
  <c r="CGD43" i="1" s="1"/>
  <c r="CGC42" i="1"/>
  <c r="CGC43" i="1" s="1"/>
  <c r="CGB42" i="1"/>
  <c r="CGB43" i="1" s="1"/>
  <c r="CGA42" i="1"/>
  <c r="CGA43" i="1" s="1"/>
  <c r="CFZ42" i="1"/>
  <c r="CFZ43" i="1" s="1"/>
  <c r="CFY42" i="1"/>
  <c r="CFY43" i="1" s="1"/>
  <c r="CFX42" i="1"/>
  <c r="CFX43" i="1" s="1"/>
  <c r="CFW42" i="1"/>
  <c r="CFW43" i="1" s="1"/>
  <c r="CFV42" i="1"/>
  <c r="CFV43" i="1" s="1"/>
  <c r="CFU42" i="1"/>
  <c r="CFU43" i="1" s="1"/>
  <c r="CFT42" i="1"/>
  <c r="CFT43" i="1" s="1"/>
  <c r="CFS42" i="1"/>
  <c r="CFS43" i="1" s="1"/>
  <c r="CFR42" i="1"/>
  <c r="CFR43" i="1" s="1"/>
  <c r="CFQ42" i="1"/>
  <c r="CFQ43" i="1" s="1"/>
  <c r="CFP42" i="1"/>
  <c r="CFP43" i="1" s="1"/>
  <c r="CFO42" i="1"/>
  <c r="CFO43" i="1" s="1"/>
  <c r="CFN42" i="1"/>
  <c r="CFN43" i="1" s="1"/>
  <c r="CFM42" i="1"/>
  <c r="CFM43" i="1" s="1"/>
  <c r="CFL42" i="1"/>
  <c r="CFL43" i="1" s="1"/>
  <c r="CFK42" i="1"/>
  <c r="CFK43" i="1" s="1"/>
  <c r="CFJ42" i="1"/>
  <c r="CFJ43" i="1" s="1"/>
  <c r="CFI42" i="1"/>
  <c r="CFI43" i="1" s="1"/>
  <c r="CFH42" i="1"/>
  <c r="CFH43" i="1" s="1"/>
  <c r="CFG42" i="1"/>
  <c r="CFG43" i="1" s="1"/>
  <c r="CFF42" i="1"/>
  <c r="CFF43" i="1" s="1"/>
  <c r="CFE42" i="1"/>
  <c r="CFE43" i="1" s="1"/>
  <c r="CFD42" i="1"/>
  <c r="CFD43" i="1" s="1"/>
  <c r="CFC42" i="1"/>
  <c r="CFC43" i="1" s="1"/>
  <c r="CFB42" i="1"/>
  <c r="CFB43" i="1" s="1"/>
  <c r="CFA42" i="1"/>
  <c r="CFA43" i="1" s="1"/>
  <c r="CEZ42" i="1"/>
  <c r="CEZ43" i="1" s="1"/>
  <c r="CEY42" i="1"/>
  <c r="CEY43" i="1" s="1"/>
  <c r="CEX42" i="1"/>
  <c r="CEX43" i="1" s="1"/>
  <c r="CEW42" i="1"/>
  <c r="CEW43" i="1" s="1"/>
  <c r="CEV42" i="1"/>
  <c r="CEV43" i="1" s="1"/>
  <c r="CEU42" i="1"/>
  <c r="CEU43" i="1" s="1"/>
  <c r="CET42" i="1"/>
  <c r="CET43" i="1" s="1"/>
  <c r="CES42" i="1"/>
  <c r="CES43" i="1" s="1"/>
  <c r="CER42" i="1"/>
  <c r="CER43" i="1" s="1"/>
  <c r="CEQ42" i="1"/>
  <c r="CEQ43" i="1" s="1"/>
  <c r="CEP42" i="1"/>
  <c r="CEP43" i="1" s="1"/>
  <c r="CEO42" i="1"/>
  <c r="CEO43" i="1" s="1"/>
  <c r="CEN42" i="1"/>
  <c r="CEN43" i="1" s="1"/>
  <c r="CEM42" i="1"/>
  <c r="CEM43" i="1" s="1"/>
  <c r="CEL42" i="1"/>
  <c r="CEL43" i="1" s="1"/>
  <c r="CEK42" i="1"/>
  <c r="CEK43" i="1" s="1"/>
  <c r="CEJ42" i="1"/>
  <c r="CEJ43" i="1" s="1"/>
  <c r="CEI42" i="1"/>
  <c r="CEI43" i="1" s="1"/>
  <c r="CEH42" i="1"/>
  <c r="CEH43" i="1" s="1"/>
  <c r="CEG42" i="1"/>
  <c r="CEG43" i="1" s="1"/>
  <c r="CEF42" i="1"/>
  <c r="CEF43" i="1" s="1"/>
  <c r="CEE42" i="1"/>
  <c r="CEE43" i="1" s="1"/>
  <c r="CED42" i="1"/>
  <c r="CED43" i="1" s="1"/>
  <c r="CEC42" i="1"/>
  <c r="CEC43" i="1" s="1"/>
  <c r="CEB42" i="1"/>
  <c r="CEB43" i="1" s="1"/>
  <c r="CEA42" i="1"/>
  <c r="CEA43" i="1" s="1"/>
  <c r="CDZ42" i="1"/>
  <c r="CDZ43" i="1" s="1"/>
  <c r="CDY42" i="1"/>
  <c r="CDY43" i="1" s="1"/>
  <c r="CDX42" i="1"/>
  <c r="CDX43" i="1" s="1"/>
  <c r="CDW42" i="1"/>
  <c r="CDW43" i="1" s="1"/>
  <c r="CDV42" i="1"/>
  <c r="CDV43" i="1" s="1"/>
  <c r="CDU42" i="1"/>
  <c r="CDU43" i="1" s="1"/>
  <c r="CDT42" i="1"/>
  <c r="CDT43" i="1" s="1"/>
  <c r="CDS42" i="1"/>
  <c r="CDS43" i="1" s="1"/>
  <c r="CDR42" i="1"/>
  <c r="CDR43" i="1" s="1"/>
  <c r="CDQ42" i="1"/>
  <c r="CDQ43" i="1" s="1"/>
  <c r="CDP42" i="1"/>
  <c r="CDP43" i="1" s="1"/>
  <c r="CDO42" i="1"/>
  <c r="CDO43" i="1" s="1"/>
  <c r="CDN42" i="1"/>
  <c r="CDN43" i="1" s="1"/>
  <c r="CDM42" i="1"/>
  <c r="CDM43" i="1" s="1"/>
  <c r="CDL42" i="1"/>
  <c r="CDL43" i="1" s="1"/>
  <c r="CDK42" i="1"/>
  <c r="CDK43" i="1" s="1"/>
  <c r="CDJ42" i="1"/>
  <c r="CDJ43" i="1" s="1"/>
  <c r="CDI42" i="1"/>
  <c r="CDI43" i="1" s="1"/>
  <c r="CDH42" i="1"/>
  <c r="CDH43" i="1" s="1"/>
  <c r="CDG42" i="1"/>
  <c r="CDG43" i="1" s="1"/>
  <c r="CDF42" i="1"/>
  <c r="CDF43" i="1" s="1"/>
  <c r="CDE42" i="1"/>
  <c r="CDE43" i="1" s="1"/>
  <c r="CDD42" i="1"/>
  <c r="CDD43" i="1" s="1"/>
  <c r="CDC42" i="1"/>
  <c r="CDC43" i="1" s="1"/>
  <c r="CDB42" i="1"/>
  <c r="CDB43" i="1" s="1"/>
  <c r="CDA42" i="1"/>
  <c r="CDA43" i="1" s="1"/>
  <c r="CCZ42" i="1"/>
  <c r="CCZ43" i="1" s="1"/>
  <c r="CCY42" i="1"/>
  <c r="CCY43" i="1" s="1"/>
  <c r="CCX42" i="1"/>
  <c r="CCX43" i="1" s="1"/>
  <c r="CCW42" i="1"/>
  <c r="CCW43" i="1" s="1"/>
  <c r="CCV42" i="1"/>
  <c r="CCV43" i="1" s="1"/>
  <c r="CCU42" i="1"/>
  <c r="CCU43" i="1" s="1"/>
  <c r="CCT42" i="1"/>
  <c r="CCT43" i="1" s="1"/>
  <c r="CCS42" i="1"/>
  <c r="CCR42" i="1"/>
  <c r="CCR43" i="1" s="1"/>
  <c r="CCQ42" i="1"/>
  <c r="CCP42" i="1"/>
  <c r="CCP43" i="1" s="1"/>
  <c r="CCO42" i="1"/>
  <c r="CCO43" i="1" s="1"/>
  <c r="CCN42" i="1"/>
  <c r="CCN43" i="1" s="1"/>
  <c r="CCM42" i="1"/>
  <c r="CCM43" i="1" s="1"/>
  <c r="CCL42" i="1"/>
  <c r="CCL43" i="1" s="1"/>
  <c r="CCK42" i="1"/>
  <c r="CCK43" i="1" s="1"/>
  <c r="CCJ42" i="1"/>
  <c r="CCJ43" i="1" s="1"/>
  <c r="CCI42" i="1"/>
  <c r="CCI43" i="1" s="1"/>
  <c r="CCH42" i="1"/>
  <c r="CCH43" i="1" s="1"/>
  <c r="CCG42" i="1"/>
  <c r="CCG43" i="1" s="1"/>
  <c r="CCF42" i="1"/>
  <c r="CCF43" i="1" s="1"/>
  <c r="CCE42" i="1"/>
  <c r="CCE43" i="1" s="1"/>
  <c r="CCD42" i="1"/>
  <c r="CCD43" i="1" s="1"/>
  <c r="CCC42" i="1"/>
  <c r="CCC43" i="1" s="1"/>
  <c r="CCB42" i="1"/>
  <c r="CCB43" i="1" s="1"/>
  <c r="CCA42" i="1"/>
  <c r="CCA43" i="1" s="1"/>
  <c r="CBZ42" i="1"/>
  <c r="CBZ43" i="1" s="1"/>
  <c r="CBY42" i="1"/>
  <c r="CBY43" i="1" s="1"/>
  <c r="CBX42" i="1"/>
  <c r="CBX43" i="1" s="1"/>
  <c r="CBW42" i="1"/>
  <c r="CBW43" i="1" s="1"/>
  <c r="CBV42" i="1"/>
  <c r="CBV43" i="1" s="1"/>
  <c r="CBU42" i="1"/>
  <c r="CBU43" i="1" s="1"/>
  <c r="CBT42" i="1"/>
  <c r="CBT43" i="1" s="1"/>
  <c r="CBS42" i="1"/>
  <c r="CBS43" i="1" s="1"/>
  <c r="CBR42" i="1"/>
  <c r="CBR43" i="1" s="1"/>
  <c r="CBQ42" i="1"/>
  <c r="CBQ43" i="1" s="1"/>
  <c r="CBP42" i="1"/>
  <c r="CBP43" i="1" s="1"/>
  <c r="CBO42" i="1"/>
  <c r="CBO43" i="1" s="1"/>
  <c r="CBN42" i="1"/>
  <c r="CBN43" i="1" s="1"/>
  <c r="CBM42" i="1"/>
  <c r="CBM43" i="1" s="1"/>
  <c r="CBL42" i="1"/>
  <c r="CBL43" i="1" s="1"/>
  <c r="CBK42" i="1"/>
  <c r="CBK43" i="1" s="1"/>
  <c r="CBJ42" i="1"/>
  <c r="CBJ43" i="1" s="1"/>
  <c r="CBI42" i="1"/>
  <c r="CBI43" i="1" s="1"/>
  <c r="CBH42" i="1"/>
  <c r="CBH43" i="1" s="1"/>
  <c r="CBG42" i="1"/>
  <c r="CBG43" i="1" s="1"/>
  <c r="CBF42" i="1"/>
  <c r="CBF43" i="1" s="1"/>
  <c r="CBE42" i="1"/>
  <c r="CBE43" i="1" s="1"/>
  <c r="CBD42" i="1"/>
  <c r="CBD43" i="1" s="1"/>
  <c r="CBC42" i="1"/>
  <c r="CBC43" i="1" s="1"/>
  <c r="CBB42" i="1"/>
  <c r="CBB43" i="1" s="1"/>
  <c r="CBA42" i="1"/>
  <c r="CBA43" i="1" s="1"/>
  <c r="CAZ42" i="1"/>
  <c r="CAZ43" i="1" s="1"/>
  <c r="CAY42" i="1"/>
  <c r="CAY43" i="1" s="1"/>
  <c r="CAX42" i="1"/>
  <c r="CAX43" i="1" s="1"/>
  <c r="CAW42" i="1"/>
  <c r="CAW43" i="1" s="1"/>
  <c r="CAV42" i="1"/>
  <c r="CAV43" i="1" s="1"/>
  <c r="CAU42" i="1"/>
  <c r="CAU43" i="1" s="1"/>
  <c r="CAT42" i="1"/>
  <c r="CAT43" i="1" s="1"/>
  <c r="CAS42" i="1"/>
  <c r="CAS43" i="1" s="1"/>
  <c r="CAR42" i="1"/>
  <c r="CAR43" i="1" s="1"/>
  <c r="CAQ42" i="1"/>
  <c r="CAQ43" i="1" s="1"/>
  <c r="CAP42" i="1"/>
  <c r="CAP43" i="1" s="1"/>
  <c r="CAO42" i="1"/>
  <c r="CAO43" i="1" s="1"/>
  <c r="CAN42" i="1"/>
  <c r="CAN43" i="1" s="1"/>
  <c r="CAM42" i="1"/>
  <c r="CAM43" i="1" s="1"/>
  <c r="CAL42" i="1"/>
  <c r="CAL43" i="1" s="1"/>
  <c r="CAK42" i="1"/>
  <c r="CAK43" i="1" s="1"/>
  <c r="CAJ42" i="1"/>
  <c r="CAJ43" i="1" s="1"/>
  <c r="CAI42" i="1"/>
  <c r="CAI43" i="1" s="1"/>
  <c r="CAH42" i="1"/>
  <c r="CAH43" i="1" s="1"/>
  <c r="CAG42" i="1"/>
  <c r="CAG43" i="1" s="1"/>
  <c r="CAF42" i="1"/>
  <c r="CAF43" i="1" s="1"/>
  <c r="CAE42" i="1"/>
  <c r="CAE43" i="1" s="1"/>
  <c r="CAD42" i="1"/>
  <c r="CAD43" i="1" s="1"/>
  <c r="CAC42" i="1"/>
  <c r="CAC43" i="1" s="1"/>
  <c r="CAB42" i="1"/>
  <c r="CAB43" i="1" s="1"/>
  <c r="CAA42" i="1"/>
  <c r="CAA43" i="1" s="1"/>
  <c r="BZZ42" i="1"/>
  <c r="BZZ43" i="1" s="1"/>
  <c r="BZY42" i="1"/>
  <c r="BZY43" i="1" s="1"/>
  <c r="BZX42" i="1"/>
  <c r="BZX43" i="1" s="1"/>
  <c r="BZW42" i="1"/>
  <c r="BZW43" i="1" s="1"/>
  <c r="BZV42" i="1"/>
  <c r="BZV43" i="1" s="1"/>
  <c r="BZU42" i="1"/>
  <c r="BZU43" i="1" s="1"/>
  <c r="BZT42" i="1"/>
  <c r="BZT43" i="1" s="1"/>
  <c r="BZS42" i="1"/>
  <c r="BZS43" i="1" s="1"/>
  <c r="BZR42" i="1"/>
  <c r="BZR43" i="1" s="1"/>
  <c r="BZQ42" i="1"/>
  <c r="BZQ43" i="1" s="1"/>
  <c r="BZP42" i="1"/>
  <c r="BZP43" i="1" s="1"/>
  <c r="BZO42" i="1"/>
  <c r="BZO43" i="1" s="1"/>
  <c r="BZN42" i="1"/>
  <c r="BZN43" i="1" s="1"/>
  <c r="BZM42" i="1"/>
  <c r="BZM43" i="1" s="1"/>
  <c r="BZL42" i="1"/>
  <c r="BZL43" i="1" s="1"/>
  <c r="BZK42" i="1"/>
  <c r="BZK43" i="1" s="1"/>
  <c r="BZJ42" i="1"/>
  <c r="BZJ43" i="1" s="1"/>
  <c r="BZI42" i="1"/>
  <c r="BZI43" i="1" s="1"/>
  <c r="BZH42" i="1"/>
  <c r="BZH43" i="1" s="1"/>
  <c r="BZG42" i="1"/>
  <c r="BZG43" i="1" s="1"/>
  <c r="BZF42" i="1"/>
  <c r="BZF43" i="1" s="1"/>
  <c r="BZE42" i="1"/>
  <c r="BZE43" i="1" s="1"/>
  <c r="BZD42" i="1"/>
  <c r="BZD43" i="1" s="1"/>
  <c r="BZC42" i="1"/>
  <c r="BZC43" i="1" s="1"/>
  <c r="BZB42" i="1"/>
  <c r="BZB43" i="1" s="1"/>
  <c r="BZA42" i="1"/>
  <c r="BYZ42" i="1"/>
  <c r="BYZ43" i="1" s="1"/>
  <c r="BYY42" i="1"/>
  <c r="BYY43" i="1" s="1"/>
  <c r="BYX42" i="1"/>
  <c r="BYX43" i="1" s="1"/>
  <c r="BYW42" i="1"/>
  <c r="BYW43" i="1" s="1"/>
  <c r="BYV42" i="1"/>
  <c r="BYV43" i="1" s="1"/>
  <c r="BYU42" i="1"/>
  <c r="BYU43" i="1" s="1"/>
  <c r="BYT42" i="1"/>
  <c r="BYT43" i="1" s="1"/>
  <c r="BYS42" i="1"/>
  <c r="BYS43" i="1" s="1"/>
  <c r="BYR42" i="1"/>
  <c r="BYR43" i="1" s="1"/>
  <c r="BYQ42" i="1"/>
  <c r="BYQ43" i="1" s="1"/>
  <c r="BYP42" i="1"/>
  <c r="BYP43" i="1" s="1"/>
  <c r="BYO42" i="1"/>
  <c r="BYO43" i="1" s="1"/>
  <c r="BYN42" i="1"/>
  <c r="BYN43" i="1" s="1"/>
  <c r="BYM42" i="1"/>
  <c r="BYM43" i="1" s="1"/>
  <c r="BYL42" i="1"/>
  <c r="BYL43" i="1" s="1"/>
  <c r="BYK42" i="1"/>
  <c r="BYK43" i="1" s="1"/>
  <c r="BYJ42" i="1"/>
  <c r="BYJ43" i="1" s="1"/>
  <c r="BYI42" i="1"/>
  <c r="BYI43" i="1" s="1"/>
  <c r="BYH42" i="1"/>
  <c r="BYH43" i="1" s="1"/>
  <c r="BYG42" i="1"/>
  <c r="BYG43" i="1" s="1"/>
  <c r="BYF42" i="1"/>
  <c r="BYF43" i="1" s="1"/>
  <c r="BYE42" i="1"/>
  <c r="BYE43" i="1" s="1"/>
  <c r="BYD42" i="1"/>
  <c r="BYD43" i="1" s="1"/>
  <c r="BYC42" i="1"/>
  <c r="BYC43" i="1" s="1"/>
  <c r="BYB42" i="1"/>
  <c r="BYB43" i="1" s="1"/>
  <c r="BYA42" i="1"/>
  <c r="BYA43" i="1" s="1"/>
  <c r="BXZ42" i="1"/>
  <c r="BXZ43" i="1" s="1"/>
  <c r="BXY42" i="1"/>
  <c r="BXY43" i="1" s="1"/>
  <c r="BXX42" i="1"/>
  <c r="BXX43" i="1" s="1"/>
  <c r="BXW42" i="1"/>
  <c r="BXW43" i="1" s="1"/>
  <c r="BXV42" i="1"/>
  <c r="BXV43" i="1" s="1"/>
  <c r="BXU42" i="1"/>
  <c r="BXU43" i="1" s="1"/>
  <c r="BXT42" i="1"/>
  <c r="BXT43" i="1" s="1"/>
  <c r="BXS42" i="1"/>
  <c r="BXS43" i="1" s="1"/>
  <c r="BXR42" i="1"/>
  <c r="BXR43" i="1" s="1"/>
  <c r="BXQ42" i="1"/>
  <c r="BXQ43" i="1" s="1"/>
  <c r="BXP42" i="1"/>
  <c r="BXP43" i="1" s="1"/>
  <c r="BXO42" i="1"/>
  <c r="BXO43" i="1" s="1"/>
  <c r="BXN42" i="1"/>
  <c r="BXN43" i="1" s="1"/>
  <c r="BXM42" i="1"/>
  <c r="BXM43" i="1" s="1"/>
  <c r="BXL42" i="1"/>
  <c r="BXL43" i="1" s="1"/>
  <c r="BXK42" i="1"/>
  <c r="BXK43" i="1" s="1"/>
  <c r="BXJ42" i="1"/>
  <c r="BXJ43" i="1" s="1"/>
  <c r="BXI42" i="1"/>
  <c r="BXI43" i="1" s="1"/>
  <c r="BXH42" i="1"/>
  <c r="BXH43" i="1" s="1"/>
  <c r="BXG42" i="1"/>
  <c r="BXG43" i="1" s="1"/>
  <c r="BXF42" i="1"/>
  <c r="BXF43" i="1" s="1"/>
  <c r="BXE42" i="1"/>
  <c r="BXE43" i="1" s="1"/>
  <c r="BXD42" i="1"/>
  <c r="BXD43" i="1" s="1"/>
  <c r="BXC42" i="1"/>
  <c r="BXC43" i="1" s="1"/>
  <c r="BXB42" i="1"/>
  <c r="BXB43" i="1" s="1"/>
  <c r="BXA42" i="1"/>
  <c r="BXA43" i="1" s="1"/>
  <c r="BWZ42" i="1"/>
  <c r="BWZ43" i="1" s="1"/>
  <c r="BWY42" i="1"/>
  <c r="BWY43" i="1" s="1"/>
  <c r="BWX42" i="1"/>
  <c r="BWX43" i="1" s="1"/>
  <c r="BWW42" i="1"/>
  <c r="BWW43" i="1" s="1"/>
  <c r="BWV42" i="1"/>
  <c r="BWV43" i="1" s="1"/>
  <c r="BWU42" i="1"/>
  <c r="BWU43" i="1" s="1"/>
  <c r="BWT42" i="1"/>
  <c r="BWT43" i="1" s="1"/>
  <c r="BWS42" i="1"/>
  <c r="BWS43" i="1" s="1"/>
  <c r="BWR42" i="1"/>
  <c r="BWR43" i="1" s="1"/>
  <c r="BWQ42" i="1"/>
  <c r="BWQ43" i="1" s="1"/>
  <c r="BWP42" i="1"/>
  <c r="BWP43" i="1" s="1"/>
  <c r="BWO42" i="1"/>
  <c r="BWO43" i="1" s="1"/>
  <c r="BWN42" i="1"/>
  <c r="BWN43" i="1" s="1"/>
  <c r="BWM42" i="1"/>
  <c r="BWM43" i="1" s="1"/>
  <c r="BWL42" i="1"/>
  <c r="BWL43" i="1" s="1"/>
  <c r="BWK42" i="1"/>
  <c r="BWK43" i="1" s="1"/>
  <c r="BWJ42" i="1"/>
  <c r="BWJ43" i="1" s="1"/>
  <c r="BWI42" i="1"/>
  <c r="BWI43" i="1" s="1"/>
  <c r="BWH42" i="1"/>
  <c r="BWH43" i="1" s="1"/>
  <c r="BWG42" i="1"/>
  <c r="BWG43" i="1" s="1"/>
  <c r="BWF42" i="1"/>
  <c r="BWF43" i="1" s="1"/>
  <c r="BWE42" i="1"/>
  <c r="BWE43" i="1" s="1"/>
  <c r="BWD42" i="1"/>
  <c r="BWD43" i="1" s="1"/>
  <c r="BWC42" i="1"/>
  <c r="BWC43" i="1" s="1"/>
  <c r="BWB42" i="1"/>
  <c r="BWB43" i="1" s="1"/>
  <c r="BWA42" i="1"/>
  <c r="BWA43" i="1" s="1"/>
  <c r="BVZ42" i="1"/>
  <c r="BVZ43" i="1" s="1"/>
  <c r="BVY42" i="1"/>
  <c r="BVY43" i="1" s="1"/>
  <c r="BVX42" i="1"/>
  <c r="BVX43" i="1" s="1"/>
  <c r="BVW42" i="1"/>
  <c r="BVW43" i="1" s="1"/>
  <c r="BVV42" i="1"/>
  <c r="BVV43" i="1" s="1"/>
  <c r="BVU42" i="1"/>
  <c r="BVU43" i="1" s="1"/>
  <c r="BVT42" i="1"/>
  <c r="BVT43" i="1" s="1"/>
  <c r="BVS42" i="1"/>
  <c r="BVS43" i="1" s="1"/>
  <c r="BVR42" i="1"/>
  <c r="BVR43" i="1" s="1"/>
  <c r="BVQ42" i="1"/>
  <c r="BVQ43" i="1" s="1"/>
  <c r="BVP42" i="1"/>
  <c r="BVP43" i="1" s="1"/>
  <c r="BVO42" i="1"/>
  <c r="BVO43" i="1" s="1"/>
  <c r="BVN42" i="1"/>
  <c r="BVN43" i="1" s="1"/>
  <c r="BVM42" i="1"/>
  <c r="BVL42" i="1"/>
  <c r="BVL43" i="1" s="1"/>
  <c r="BVK42" i="1"/>
  <c r="BVJ42" i="1"/>
  <c r="BVJ43" i="1" s="1"/>
  <c r="BVI42" i="1"/>
  <c r="BVI43" i="1" s="1"/>
  <c r="BVH42" i="1"/>
  <c r="BVH43" i="1" s="1"/>
  <c r="BVG42" i="1"/>
  <c r="BVG43" i="1" s="1"/>
  <c r="BVF42" i="1"/>
  <c r="BVF43" i="1" s="1"/>
  <c r="BVE42" i="1"/>
  <c r="BVE43" i="1" s="1"/>
  <c r="BVD42" i="1"/>
  <c r="BVD43" i="1" s="1"/>
  <c r="BVC42" i="1"/>
  <c r="BVC43" i="1" s="1"/>
  <c r="BVB42" i="1"/>
  <c r="BVB43" i="1" s="1"/>
  <c r="BVA42" i="1"/>
  <c r="BVA43" i="1" s="1"/>
  <c r="BUZ42" i="1"/>
  <c r="BUZ43" i="1" s="1"/>
  <c r="BUY42" i="1"/>
  <c r="BUY43" i="1" s="1"/>
  <c r="BUX42" i="1"/>
  <c r="BUX43" i="1" s="1"/>
  <c r="BUW42" i="1"/>
  <c r="BUW43" i="1" s="1"/>
  <c r="BUV42" i="1"/>
  <c r="BUV43" i="1" s="1"/>
  <c r="BUU42" i="1"/>
  <c r="BUU43" i="1" s="1"/>
  <c r="BUT42" i="1"/>
  <c r="BUT43" i="1" s="1"/>
  <c r="BUS42" i="1"/>
  <c r="BUS43" i="1" s="1"/>
  <c r="BUR42" i="1"/>
  <c r="BUR43" i="1" s="1"/>
  <c r="BUQ42" i="1"/>
  <c r="BUQ43" i="1" s="1"/>
  <c r="BUP42" i="1"/>
  <c r="BUP43" i="1" s="1"/>
  <c r="BUO42" i="1"/>
  <c r="BUO43" i="1" s="1"/>
  <c r="BUN42" i="1"/>
  <c r="BUN43" i="1" s="1"/>
  <c r="BUM42" i="1"/>
  <c r="BUM43" i="1" s="1"/>
  <c r="BUL42" i="1"/>
  <c r="BUL43" i="1" s="1"/>
  <c r="BUK42" i="1"/>
  <c r="BUK43" i="1" s="1"/>
  <c r="BUJ42" i="1"/>
  <c r="BUJ43" i="1" s="1"/>
  <c r="BUI42" i="1"/>
  <c r="BUI43" i="1" s="1"/>
  <c r="BUH42" i="1"/>
  <c r="BUH43" i="1" s="1"/>
  <c r="BUG42" i="1"/>
  <c r="BUG43" i="1" s="1"/>
  <c r="BUF42" i="1"/>
  <c r="BUF43" i="1" s="1"/>
  <c r="BUE42" i="1"/>
  <c r="BUE43" i="1" s="1"/>
  <c r="BUD42" i="1"/>
  <c r="BUD43" i="1" s="1"/>
  <c r="BUC42" i="1"/>
  <c r="BUC43" i="1" s="1"/>
  <c r="BUB42" i="1"/>
  <c r="BUB43" i="1" s="1"/>
  <c r="BUA42" i="1"/>
  <c r="BUA43" i="1" s="1"/>
  <c r="BTZ42" i="1"/>
  <c r="BTZ43" i="1" s="1"/>
  <c r="BTY42" i="1"/>
  <c r="BTY43" i="1" s="1"/>
  <c r="BTX42" i="1"/>
  <c r="BTX43" i="1" s="1"/>
  <c r="BTW42" i="1"/>
  <c r="BTW43" i="1" s="1"/>
  <c r="BTV42" i="1"/>
  <c r="BTV43" i="1" s="1"/>
  <c r="BTU42" i="1"/>
  <c r="BTU43" i="1" s="1"/>
  <c r="BTT42" i="1"/>
  <c r="BTT43" i="1" s="1"/>
  <c r="BTS42" i="1"/>
  <c r="BTS43" i="1" s="1"/>
  <c r="BTR42" i="1"/>
  <c r="BTR43" i="1" s="1"/>
  <c r="BTQ42" i="1"/>
  <c r="BTQ43" i="1" s="1"/>
  <c r="BTP42" i="1"/>
  <c r="BTP43" i="1" s="1"/>
  <c r="BTO42" i="1"/>
  <c r="BTO43" i="1" s="1"/>
  <c r="BTN42" i="1"/>
  <c r="BTN43" i="1" s="1"/>
  <c r="BTM42" i="1"/>
  <c r="BTM43" i="1" s="1"/>
  <c r="BTL42" i="1"/>
  <c r="BTL43" i="1" s="1"/>
  <c r="BTK42" i="1"/>
  <c r="BTK43" i="1" s="1"/>
  <c r="BTJ42" i="1"/>
  <c r="BTJ43" i="1" s="1"/>
  <c r="BTI42" i="1"/>
  <c r="BTI43" i="1" s="1"/>
  <c r="BTH42" i="1"/>
  <c r="BTH43" i="1" s="1"/>
  <c r="BTG42" i="1"/>
  <c r="BTG43" i="1" s="1"/>
  <c r="BTF42" i="1"/>
  <c r="BTF43" i="1" s="1"/>
  <c r="BTE42" i="1"/>
  <c r="BTE43" i="1" s="1"/>
  <c r="BTD42" i="1"/>
  <c r="BTD43" i="1" s="1"/>
  <c r="BTC42" i="1"/>
  <c r="BTC43" i="1" s="1"/>
  <c r="BTB42" i="1"/>
  <c r="BTB43" i="1" s="1"/>
  <c r="BTA42" i="1"/>
  <c r="BTA43" i="1" s="1"/>
  <c r="BSZ42" i="1"/>
  <c r="BSZ43" i="1" s="1"/>
  <c r="BSY42" i="1"/>
  <c r="BSY43" i="1" s="1"/>
  <c r="BSX42" i="1"/>
  <c r="BSX43" i="1" s="1"/>
  <c r="BSW42" i="1"/>
  <c r="BSW43" i="1" s="1"/>
  <c r="BSV42" i="1"/>
  <c r="BSV43" i="1" s="1"/>
  <c r="BSU42" i="1"/>
  <c r="BSU43" i="1" s="1"/>
  <c r="BST42" i="1"/>
  <c r="BST43" i="1" s="1"/>
  <c r="BSS42" i="1"/>
  <c r="BSS43" i="1" s="1"/>
  <c r="BSR42" i="1"/>
  <c r="BSR43" i="1" s="1"/>
  <c r="BSQ42" i="1"/>
  <c r="BSQ43" i="1" s="1"/>
  <c r="BSP42" i="1"/>
  <c r="BSP43" i="1" s="1"/>
  <c r="BSO42" i="1"/>
  <c r="BSO43" i="1" s="1"/>
  <c r="BSN42" i="1"/>
  <c r="BSN43" i="1" s="1"/>
  <c r="BSM42" i="1"/>
  <c r="BSM43" i="1" s="1"/>
  <c r="BSL42" i="1"/>
  <c r="BSL43" i="1" s="1"/>
  <c r="BSK42" i="1"/>
  <c r="BSK43" i="1" s="1"/>
  <c r="BSJ42" i="1"/>
  <c r="BSJ43" i="1" s="1"/>
  <c r="BSI42" i="1"/>
  <c r="BSI43" i="1" s="1"/>
  <c r="BSH42" i="1"/>
  <c r="BSH43" i="1" s="1"/>
  <c r="BSG42" i="1"/>
  <c r="BSF42" i="1"/>
  <c r="BSF43" i="1" s="1"/>
  <c r="BSE42" i="1"/>
  <c r="BSE43" i="1" s="1"/>
  <c r="BSD42" i="1"/>
  <c r="BSD43" i="1" s="1"/>
  <c r="BSC42" i="1"/>
  <c r="BSC43" i="1" s="1"/>
  <c r="BSB42" i="1"/>
  <c r="BSB43" i="1" s="1"/>
  <c r="BSA42" i="1"/>
  <c r="BSA43" i="1" s="1"/>
  <c r="BRZ42" i="1"/>
  <c r="BRZ43" i="1" s="1"/>
  <c r="BRY42" i="1"/>
  <c r="BRY43" i="1" s="1"/>
  <c r="BRX42" i="1"/>
  <c r="BRX43" i="1" s="1"/>
  <c r="BRW42" i="1"/>
  <c r="BRW43" i="1" s="1"/>
  <c r="BRV42" i="1"/>
  <c r="BRV43" i="1" s="1"/>
  <c r="BRU42" i="1"/>
  <c r="BRU43" i="1" s="1"/>
  <c r="BRT42" i="1"/>
  <c r="BRT43" i="1" s="1"/>
  <c r="BRS42" i="1"/>
  <c r="BRS43" i="1" s="1"/>
  <c r="BRR42" i="1"/>
  <c r="BRR43" i="1" s="1"/>
  <c r="BRQ42" i="1"/>
  <c r="BRQ43" i="1" s="1"/>
  <c r="BRP42" i="1"/>
  <c r="BRP43" i="1" s="1"/>
  <c r="BRO42" i="1"/>
  <c r="BRO43" i="1" s="1"/>
  <c r="BRN42" i="1"/>
  <c r="BRN43" i="1" s="1"/>
  <c r="BRM42" i="1"/>
  <c r="BRM43" i="1" s="1"/>
  <c r="BRL42" i="1"/>
  <c r="BRL43" i="1" s="1"/>
  <c r="BRK42" i="1"/>
  <c r="BRK43" i="1" s="1"/>
  <c r="BRJ42" i="1"/>
  <c r="BRJ43" i="1" s="1"/>
  <c r="BRI42" i="1"/>
  <c r="BRI43" i="1" s="1"/>
  <c r="BRH42" i="1"/>
  <c r="BRH43" i="1" s="1"/>
  <c r="BRG42" i="1"/>
  <c r="BRG43" i="1" s="1"/>
  <c r="BRF42" i="1"/>
  <c r="BRF43" i="1" s="1"/>
  <c r="BRE42" i="1"/>
  <c r="BRE43" i="1" s="1"/>
  <c r="BRD42" i="1"/>
  <c r="BRD43" i="1" s="1"/>
  <c r="BRC42" i="1"/>
  <c r="BRC43" i="1" s="1"/>
  <c r="BRB42" i="1"/>
  <c r="BRB43" i="1" s="1"/>
  <c r="BRA42" i="1"/>
  <c r="BRA43" i="1" s="1"/>
  <c r="BQZ42" i="1"/>
  <c r="BQZ43" i="1" s="1"/>
  <c r="BQY42" i="1"/>
  <c r="BQY43" i="1" s="1"/>
  <c r="BQX42" i="1"/>
  <c r="BQX43" i="1" s="1"/>
  <c r="BQW42" i="1"/>
  <c r="BQW43" i="1" s="1"/>
  <c r="BQV42" i="1"/>
  <c r="BQV43" i="1" s="1"/>
  <c r="BQU42" i="1"/>
  <c r="BQU43" i="1" s="1"/>
  <c r="BQT42" i="1"/>
  <c r="BQT43" i="1" s="1"/>
  <c r="BQS42" i="1"/>
  <c r="BQS43" i="1" s="1"/>
  <c r="BQR42" i="1"/>
  <c r="BQR43" i="1" s="1"/>
  <c r="BQQ42" i="1"/>
  <c r="BQQ43" i="1" s="1"/>
  <c r="BQP42" i="1"/>
  <c r="BQP43" i="1" s="1"/>
  <c r="BQO42" i="1"/>
  <c r="BQO43" i="1" s="1"/>
  <c r="BQN42" i="1"/>
  <c r="BQN43" i="1" s="1"/>
  <c r="BQM42" i="1"/>
  <c r="BQM43" i="1" s="1"/>
  <c r="BQL42" i="1"/>
  <c r="BQL43" i="1" s="1"/>
  <c r="BQK42" i="1"/>
  <c r="BQK43" i="1" s="1"/>
  <c r="BQJ42" i="1"/>
  <c r="BQJ43" i="1" s="1"/>
  <c r="BQI42" i="1"/>
  <c r="BQI43" i="1" s="1"/>
  <c r="BQH42" i="1"/>
  <c r="BQH43" i="1" s="1"/>
  <c r="BQG42" i="1"/>
  <c r="BQG43" i="1" s="1"/>
  <c r="BQF42" i="1"/>
  <c r="BQF43" i="1" s="1"/>
  <c r="BQE42" i="1"/>
  <c r="BQE43" i="1" s="1"/>
  <c r="BQD42" i="1"/>
  <c r="BQD43" i="1" s="1"/>
  <c r="BQC42" i="1"/>
  <c r="BQC43" i="1" s="1"/>
  <c r="BQB42" i="1"/>
  <c r="BQB43" i="1" s="1"/>
  <c r="BQA42" i="1"/>
  <c r="BQA43" i="1" s="1"/>
  <c r="BPZ42" i="1"/>
  <c r="BPZ43" i="1" s="1"/>
  <c r="BPY42" i="1"/>
  <c r="BPY43" i="1" s="1"/>
  <c r="BPX42" i="1"/>
  <c r="BPX43" i="1" s="1"/>
  <c r="BPW42" i="1"/>
  <c r="BPW43" i="1" s="1"/>
  <c r="BPV42" i="1"/>
  <c r="BPV43" i="1" s="1"/>
  <c r="BPU42" i="1"/>
  <c r="BPU43" i="1" s="1"/>
  <c r="BPT42" i="1"/>
  <c r="BPT43" i="1" s="1"/>
  <c r="BPS42" i="1"/>
  <c r="BPS43" i="1" s="1"/>
  <c r="BPR42" i="1"/>
  <c r="BPR43" i="1" s="1"/>
  <c r="BPQ42" i="1"/>
  <c r="BPQ43" i="1" s="1"/>
  <c r="BPP42" i="1"/>
  <c r="BPP43" i="1" s="1"/>
  <c r="BPO42" i="1"/>
  <c r="BPO43" i="1" s="1"/>
  <c r="BPN42" i="1"/>
  <c r="BPN43" i="1" s="1"/>
  <c r="BPM42" i="1"/>
  <c r="BPL42" i="1"/>
  <c r="BPL43" i="1" s="1"/>
  <c r="BPK42" i="1"/>
  <c r="BPK43" i="1" s="1"/>
  <c r="BPJ42" i="1"/>
  <c r="BPJ43" i="1" s="1"/>
  <c r="BPI42" i="1"/>
  <c r="BPI43" i="1" s="1"/>
  <c r="BPH42" i="1"/>
  <c r="BPH43" i="1" s="1"/>
  <c r="BPG42" i="1"/>
  <c r="BPG43" i="1" s="1"/>
  <c r="BPF42" i="1"/>
  <c r="BPF43" i="1" s="1"/>
  <c r="BPE42" i="1"/>
  <c r="BPE43" i="1" s="1"/>
  <c r="BPD42" i="1"/>
  <c r="BPD43" i="1" s="1"/>
  <c r="BPC42" i="1"/>
  <c r="BPC43" i="1" s="1"/>
  <c r="BPB42" i="1"/>
  <c r="BPB43" i="1" s="1"/>
  <c r="BPA42" i="1"/>
  <c r="BPA43" i="1" s="1"/>
  <c r="BOZ42" i="1"/>
  <c r="BOZ43" i="1" s="1"/>
  <c r="BOY42" i="1"/>
  <c r="BOY43" i="1" s="1"/>
  <c r="BOX42" i="1"/>
  <c r="BOX43" i="1" s="1"/>
  <c r="BOW42" i="1"/>
  <c r="BOW43" i="1" s="1"/>
  <c r="BOV42" i="1"/>
  <c r="BOV43" i="1" s="1"/>
  <c r="BOU42" i="1"/>
  <c r="BOU43" i="1" s="1"/>
  <c r="BOT42" i="1"/>
  <c r="BOT43" i="1" s="1"/>
  <c r="BOS42" i="1"/>
  <c r="BOS43" i="1" s="1"/>
  <c r="BOR42" i="1"/>
  <c r="BOR43" i="1" s="1"/>
  <c r="BOQ42" i="1"/>
  <c r="BOQ43" i="1" s="1"/>
  <c r="BOP42" i="1"/>
  <c r="BOP43" i="1" s="1"/>
  <c r="BOO42" i="1"/>
  <c r="BOO43" i="1" s="1"/>
  <c r="BON42" i="1"/>
  <c r="BON43" i="1" s="1"/>
  <c r="BOM42" i="1"/>
  <c r="BOM43" i="1" s="1"/>
  <c r="BOL42" i="1"/>
  <c r="BOL43" i="1" s="1"/>
  <c r="BOK42" i="1"/>
  <c r="BOK43" i="1" s="1"/>
  <c r="BOJ42" i="1"/>
  <c r="BOJ43" i="1" s="1"/>
  <c r="BOI42" i="1"/>
  <c r="BOI43" i="1" s="1"/>
  <c r="BOH42" i="1"/>
  <c r="BOH43" i="1" s="1"/>
  <c r="BOG42" i="1"/>
  <c r="BOG43" i="1" s="1"/>
  <c r="BOF42" i="1"/>
  <c r="BOF43" i="1" s="1"/>
  <c r="BOE42" i="1"/>
  <c r="BOE43" i="1" s="1"/>
  <c r="BOD42" i="1"/>
  <c r="BOD43" i="1" s="1"/>
  <c r="BOC42" i="1"/>
  <c r="BOC43" i="1" s="1"/>
  <c r="BOB42" i="1"/>
  <c r="BOB43" i="1" s="1"/>
  <c r="BOA42" i="1"/>
  <c r="BOA43" i="1" s="1"/>
  <c r="BNZ42" i="1"/>
  <c r="BNZ43" i="1" s="1"/>
  <c r="BNY42" i="1"/>
  <c r="BNY43" i="1" s="1"/>
  <c r="BNX42" i="1"/>
  <c r="BNX43" i="1" s="1"/>
  <c r="BNW42" i="1"/>
  <c r="BNW43" i="1" s="1"/>
  <c r="BNV42" i="1"/>
  <c r="BNV43" i="1" s="1"/>
  <c r="BNU42" i="1"/>
  <c r="BNU43" i="1" s="1"/>
  <c r="BNT42" i="1"/>
  <c r="BNT43" i="1" s="1"/>
  <c r="BNS42" i="1"/>
  <c r="BNS43" i="1" s="1"/>
  <c r="BNR42" i="1"/>
  <c r="BNR43" i="1" s="1"/>
  <c r="BNQ42" i="1"/>
  <c r="BNQ43" i="1" s="1"/>
  <c r="BNP42" i="1"/>
  <c r="BNP43" i="1" s="1"/>
  <c r="BNO42" i="1"/>
  <c r="BNO43" i="1" s="1"/>
  <c r="BNN42" i="1"/>
  <c r="BNN43" i="1" s="1"/>
  <c r="BNM42" i="1"/>
  <c r="BNM43" i="1" s="1"/>
  <c r="BNL42" i="1"/>
  <c r="BNL43" i="1" s="1"/>
  <c r="BNK42" i="1"/>
  <c r="BNK43" i="1" s="1"/>
  <c r="BNJ42" i="1"/>
  <c r="BNJ43" i="1" s="1"/>
  <c r="BNI42" i="1"/>
  <c r="BNI43" i="1" s="1"/>
  <c r="BNH42" i="1"/>
  <c r="BNH43" i="1" s="1"/>
  <c r="BNG42" i="1"/>
  <c r="BNG43" i="1" s="1"/>
  <c r="BNF42" i="1"/>
  <c r="BNF43" i="1" s="1"/>
  <c r="BNE42" i="1"/>
  <c r="BNE43" i="1" s="1"/>
  <c r="BND42" i="1"/>
  <c r="BND43" i="1" s="1"/>
  <c r="BNC42" i="1"/>
  <c r="BNC43" i="1" s="1"/>
  <c r="BNB42" i="1"/>
  <c r="BNB43" i="1" s="1"/>
  <c r="BNA42" i="1"/>
  <c r="BNA43" i="1" s="1"/>
  <c r="BMZ42" i="1"/>
  <c r="BMZ43" i="1" s="1"/>
  <c r="BMY42" i="1"/>
  <c r="BMY43" i="1" s="1"/>
  <c r="BMX42" i="1"/>
  <c r="BMX43" i="1" s="1"/>
  <c r="BMW42" i="1"/>
  <c r="BMW43" i="1" s="1"/>
  <c r="BMV42" i="1"/>
  <c r="BMU42" i="1"/>
  <c r="BMU43" i="1" s="1"/>
  <c r="BMT42" i="1"/>
  <c r="BMT43" i="1" s="1"/>
  <c r="BMS42" i="1"/>
  <c r="BMS43" i="1" s="1"/>
  <c r="BMR42" i="1"/>
  <c r="BMR43" i="1" s="1"/>
  <c r="BMQ42" i="1"/>
  <c r="BMQ43" i="1" s="1"/>
  <c r="BMP42" i="1"/>
  <c r="BMP43" i="1" s="1"/>
  <c r="BMO42" i="1"/>
  <c r="BMO43" i="1" s="1"/>
  <c r="BMN42" i="1"/>
  <c r="BMN43" i="1" s="1"/>
  <c r="BMM42" i="1"/>
  <c r="BMM43" i="1" s="1"/>
  <c r="BML42" i="1"/>
  <c r="BML43" i="1" s="1"/>
  <c r="BMK42" i="1"/>
  <c r="BMK43" i="1" s="1"/>
  <c r="BMJ42" i="1"/>
  <c r="BMJ43" i="1" s="1"/>
  <c r="BMI42" i="1"/>
  <c r="BMI43" i="1" s="1"/>
  <c r="BMH42" i="1"/>
  <c r="BMH43" i="1" s="1"/>
  <c r="BMG42" i="1"/>
  <c r="BMG43" i="1" s="1"/>
  <c r="BMF42" i="1"/>
  <c r="BMF43" i="1" s="1"/>
  <c r="BME42" i="1"/>
  <c r="BME43" i="1" s="1"/>
  <c r="BMD42" i="1"/>
  <c r="BMD43" i="1" s="1"/>
  <c r="BMC42" i="1"/>
  <c r="BMC43" i="1" s="1"/>
  <c r="BMB42" i="1"/>
  <c r="BMB43" i="1" s="1"/>
  <c r="BMA42" i="1"/>
  <c r="BMA43" i="1" s="1"/>
  <c r="BLZ42" i="1"/>
  <c r="BLZ43" i="1" s="1"/>
  <c r="BLY42" i="1"/>
  <c r="BLY43" i="1" s="1"/>
  <c r="BLX42" i="1"/>
  <c r="BLX43" i="1" s="1"/>
  <c r="BLW42" i="1"/>
  <c r="BLW43" i="1" s="1"/>
  <c r="BLV42" i="1"/>
  <c r="BLV43" i="1" s="1"/>
  <c r="BLU42" i="1"/>
  <c r="BLU43" i="1" s="1"/>
  <c r="BLT42" i="1"/>
  <c r="BLT43" i="1" s="1"/>
  <c r="BLS42" i="1"/>
  <c r="BLS43" i="1" s="1"/>
  <c r="BLR42" i="1"/>
  <c r="BLR43" i="1" s="1"/>
  <c r="BLQ42" i="1"/>
  <c r="BLQ43" i="1" s="1"/>
  <c r="BLP42" i="1"/>
  <c r="BLP43" i="1" s="1"/>
  <c r="BLO42" i="1"/>
  <c r="BLO43" i="1" s="1"/>
  <c r="BLN42" i="1"/>
  <c r="BLN43" i="1" s="1"/>
  <c r="BLM42" i="1"/>
  <c r="BLM43" i="1" s="1"/>
  <c r="BLL42" i="1"/>
  <c r="BLL43" i="1" s="1"/>
  <c r="BLK42" i="1"/>
  <c r="BLK43" i="1" s="1"/>
  <c r="BLJ42" i="1"/>
  <c r="BLJ43" i="1" s="1"/>
  <c r="BLI42" i="1"/>
  <c r="BLI43" i="1" s="1"/>
  <c r="BLH42" i="1"/>
  <c r="BLH43" i="1" s="1"/>
  <c r="BLG42" i="1"/>
  <c r="BLG43" i="1" s="1"/>
  <c r="BLF42" i="1"/>
  <c r="BLF43" i="1" s="1"/>
  <c r="BLE42" i="1"/>
  <c r="BLE43" i="1" s="1"/>
  <c r="BLD42" i="1"/>
  <c r="BLD43" i="1" s="1"/>
  <c r="BLC42" i="1"/>
  <c r="BLC43" i="1" s="1"/>
  <c r="BLB42" i="1"/>
  <c r="BLB43" i="1" s="1"/>
  <c r="BLA42" i="1"/>
  <c r="BLA43" i="1" s="1"/>
  <c r="BKZ42" i="1"/>
  <c r="BKZ43" i="1" s="1"/>
  <c r="BKY42" i="1"/>
  <c r="BKY43" i="1" s="1"/>
  <c r="BKX42" i="1"/>
  <c r="BKX43" i="1" s="1"/>
  <c r="BKW42" i="1"/>
  <c r="BKW43" i="1" s="1"/>
  <c r="BKV42" i="1"/>
  <c r="BKV43" i="1" s="1"/>
  <c r="BKU42" i="1"/>
  <c r="BKU43" i="1" s="1"/>
  <c r="BKT42" i="1"/>
  <c r="BKT43" i="1" s="1"/>
  <c r="BKS42" i="1"/>
  <c r="BKS43" i="1" s="1"/>
  <c r="BKR42" i="1"/>
  <c r="BKR43" i="1" s="1"/>
  <c r="BKQ42" i="1"/>
  <c r="BKQ43" i="1" s="1"/>
  <c r="BKP42" i="1"/>
  <c r="BKP43" i="1" s="1"/>
  <c r="BKO42" i="1"/>
  <c r="BKO43" i="1" s="1"/>
  <c r="BKN42" i="1"/>
  <c r="BKN43" i="1" s="1"/>
  <c r="BKM42" i="1"/>
  <c r="BKM43" i="1" s="1"/>
  <c r="BKL42" i="1"/>
  <c r="BKL43" i="1" s="1"/>
  <c r="BKK42" i="1"/>
  <c r="BKK43" i="1" s="1"/>
  <c r="BKJ42" i="1"/>
  <c r="BKJ43" i="1" s="1"/>
  <c r="BKI42" i="1"/>
  <c r="BKI43" i="1" s="1"/>
  <c r="BKH42" i="1"/>
  <c r="BKH43" i="1" s="1"/>
  <c r="BKG42" i="1"/>
  <c r="BKG43" i="1" s="1"/>
  <c r="BKF42" i="1"/>
  <c r="BKF43" i="1" s="1"/>
  <c r="BKE42" i="1"/>
  <c r="BKE43" i="1" s="1"/>
  <c r="BKD42" i="1"/>
  <c r="BKD43" i="1" s="1"/>
  <c r="BKC42" i="1"/>
  <c r="BKC43" i="1" s="1"/>
  <c r="BKB42" i="1"/>
  <c r="BKA42" i="1"/>
  <c r="BKA43" i="1" s="1"/>
  <c r="BJZ42" i="1"/>
  <c r="BJZ43" i="1" s="1"/>
  <c r="BJY42" i="1"/>
  <c r="BJY43" i="1" s="1"/>
  <c r="BJX42" i="1"/>
  <c r="BJX43" i="1" s="1"/>
  <c r="BJW42" i="1"/>
  <c r="BJW43" i="1" s="1"/>
  <c r="BJV42" i="1"/>
  <c r="BJV43" i="1" s="1"/>
  <c r="BJU42" i="1"/>
  <c r="BJU43" i="1" s="1"/>
  <c r="BJT42" i="1"/>
  <c r="BJT43" i="1" s="1"/>
  <c r="BJS42" i="1"/>
  <c r="BJS43" i="1" s="1"/>
  <c r="BJR42" i="1"/>
  <c r="BJR43" i="1" s="1"/>
  <c r="BJQ42" i="1"/>
  <c r="BJQ43" i="1" s="1"/>
  <c r="BJP42" i="1"/>
  <c r="BJP43" i="1" s="1"/>
  <c r="BJO42" i="1"/>
  <c r="BJO43" i="1" s="1"/>
  <c r="BJN42" i="1"/>
  <c r="BJN43" i="1" s="1"/>
  <c r="BJM42" i="1"/>
  <c r="BJM43" i="1" s="1"/>
  <c r="BJL42" i="1"/>
  <c r="BJL43" i="1" s="1"/>
  <c r="BJK42" i="1"/>
  <c r="BJK43" i="1" s="1"/>
  <c r="BJJ42" i="1"/>
  <c r="BJJ43" i="1" s="1"/>
  <c r="BJI42" i="1"/>
  <c r="BJI43" i="1" s="1"/>
  <c r="BJH42" i="1"/>
  <c r="BJH43" i="1" s="1"/>
  <c r="BJG42" i="1"/>
  <c r="BJG43" i="1" s="1"/>
  <c r="BJF42" i="1"/>
  <c r="BJF43" i="1" s="1"/>
  <c r="BJE42" i="1"/>
  <c r="BJE43" i="1" s="1"/>
  <c r="BJD42" i="1"/>
  <c r="BJD43" i="1" s="1"/>
  <c r="BJC42" i="1"/>
  <c r="BJC43" i="1" s="1"/>
  <c r="BJB42" i="1"/>
  <c r="BJB43" i="1" s="1"/>
  <c r="BJA42" i="1"/>
  <c r="BJA43" i="1" s="1"/>
  <c r="BIZ42" i="1"/>
  <c r="BIZ43" i="1" s="1"/>
  <c r="BIY42" i="1"/>
  <c r="BIY43" i="1" s="1"/>
  <c r="BIX42" i="1"/>
  <c r="BIX43" i="1" s="1"/>
  <c r="BIW42" i="1"/>
  <c r="BIW43" i="1" s="1"/>
  <c r="BIV42" i="1"/>
  <c r="BIV43" i="1" s="1"/>
  <c r="BIU42" i="1"/>
  <c r="BIU43" i="1" s="1"/>
  <c r="BIT42" i="1"/>
  <c r="BIT43" i="1" s="1"/>
  <c r="BIS42" i="1"/>
  <c r="BIS43" i="1" s="1"/>
  <c r="BIR42" i="1"/>
  <c r="BIR43" i="1" s="1"/>
  <c r="BIQ42" i="1"/>
  <c r="BIQ43" i="1" s="1"/>
  <c r="BIP42" i="1"/>
  <c r="BIP43" i="1" s="1"/>
  <c r="BIO42" i="1"/>
  <c r="BIO43" i="1" s="1"/>
  <c r="BIN42" i="1"/>
  <c r="BIN43" i="1" s="1"/>
  <c r="BIM42" i="1"/>
  <c r="BIM43" i="1" s="1"/>
  <c r="BIL42" i="1"/>
  <c r="BIL43" i="1" s="1"/>
  <c r="BIK42" i="1"/>
  <c r="BIK43" i="1" s="1"/>
  <c r="BIJ42" i="1"/>
  <c r="BIJ43" i="1" s="1"/>
  <c r="BII42" i="1"/>
  <c r="BIH42" i="1"/>
  <c r="BIH43" i="1" s="1"/>
  <c r="BIG42" i="1"/>
  <c r="BIG43" i="1" s="1"/>
  <c r="BIF42" i="1"/>
  <c r="BIF43" i="1" s="1"/>
  <c r="BIE42" i="1"/>
  <c r="BIE43" i="1" s="1"/>
  <c r="BID42" i="1"/>
  <c r="BID43" i="1" s="1"/>
  <c r="BIC42" i="1"/>
  <c r="BIC43" i="1" s="1"/>
  <c r="BIB42" i="1"/>
  <c r="BIB43" i="1" s="1"/>
  <c r="BIA42" i="1"/>
  <c r="BIA43" i="1" s="1"/>
  <c r="BHZ42" i="1"/>
  <c r="BHZ43" i="1" s="1"/>
  <c r="BHY42" i="1"/>
  <c r="BHY43" i="1" s="1"/>
  <c r="BHX42" i="1"/>
  <c r="BHX43" i="1" s="1"/>
  <c r="BHW42" i="1"/>
  <c r="BHW43" i="1" s="1"/>
  <c r="BHV42" i="1"/>
  <c r="BHV43" i="1" s="1"/>
  <c r="BHU42" i="1"/>
  <c r="BHU43" i="1" s="1"/>
  <c r="BHT42" i="1"/>
  <c r="BHT43" i="1" s="1"/>
  <c r="BHS42" i="1"/>
  <c r="BHS43" i="1" s="1"/>
  <c r="BHR42" i="1"/>
  <c r="BHR43" i="1" s="1"/>
  <c r="BHQ42" i="1"/>
  <c r="BHQ43" i="1" s="1"/>
  <c r="BHP42" i="1"/>
  <c r="BHP43" i="1" s="1"/>
  <c r="BHO42" i="1"/>
  <c r="BHO43" i="1" s="1"/>
  <c r="BHN42" i="1"/>
  <c r="BHN43" i="1" s="1"/>
  <c r="BHM42" i="1"/>
  <c r="BHM43" i="1" s="1"/>
  <c r="BHL42" i="1"/>
  <c r="BHL43" i="1" s="1"/>
  <c r="BHK42" i="1"/>
  <c r="BHK43" i="1" s="1"/>
  <c r="BHJ42" i="1"/>
  <c r="BHJ43" i="1" s="1"/>
  <c r="BHI42" i="1"/>
  <c r="BHI43" i="1" s="1"/>
  <c r="BHH42" i="1"/>
  <c r="BHH43" i="1" s="1"/>
  <c r="BHG42" i="1"/>
  <c r="BHG43" i="1" s="1"/>
  <c r="BHF42" i="1"/>
  <c r="BHF43" i="1" s="1"/>
  <c r="BHE42" i="1"/>
  <c r="BHE43" i="1" s="1"/>
  <c r="BHD42" i="1"/>
  <c r="BHD43" i="1" s="1"/>
  <c r="BHC42" i="1"/>
  <c r="BHC43" i="1" s="1"/>
  <c r="BHB42" i="1"/>
  <c r="BHB43" i="1" s="1"/>
  <c r="BHA42" i="1"/>
  <c r="BHA43" i="1" s="1"/>
  <c r="BGZ42" i="1"/>
  <c r="BGZ43" i="1" s="1"/>
  <c r="BGY42" i="1"/>
  <c r="BGY43" i="1" s="1"/>
  <c r="BGX42" i="1"/>
  <c r="BGX43" i="1" s="1"/>
  <c r="BGW42" i="1"/>
  <c r="BGW43" i="1" s="1"/>
  <c r="BGV42" i="1"/>
  <c r="BGV43" i="1" s="1"/>
  <c r="BGU42" i="1"/>
  <c r="BGU43" i="1" s="1"/>
  <c r="BGT42" i="1"/>
  <c r="BGT43" i="1" s="1"/>
  <c r="BGS42" i="1"/>
  <c r="BGS43" i="1" s="1"/>
  <c r="BGR42" i="1"/>
  <c r="BGR43" i="1" s="1"/>
  <c r="BGQ42" i="1"/>
  <c r="BGQ43" i="1" s="1"/>
  <c r="BGP42" i="1"/>
  <c r="BGP43" i="1" s="1"/>
  <c r="BGO42" i="1"/>
  <c r="BGO43" i="1" s="1"/>
  <c r="BGN42" i="1"/>
  <c r="BGN43" i="1" s="1"/>
  <c r="BGM42" i="1"/>
  <c r="BGL42" i="1"/>
  <c r="BGL43" i="1" s="1"/>
  <c r="BGK42" i="1"/>
  <c r="BGK43" i="1" s="1"/>
  <c r="BGJ42" i="1"/>
  <c r="BGJ43" i="1" s="1"/>
  <c r="BGI42" i="1"/>
  <c r="BGI43" i="1" s="1"/>
  <c r="BGH42" i="1"/>
  <c r="BGH43" i="1" s="1"/>
  <c r="BGG42" i="1"/>
  <c r="BGG43" i="1" s="1"/>
  <c r="BGF42" i="1"/>
  <c r="BGF43" i="1" s="1"/>
  <c r="BGE42" i="1"/>
  <c r="BGE43" i="1" s="1"/>
  <c r="BGD42" i="1"/>
  <c r="BGD43" i="1" s="1"/>
  <c r="BGC42" i="1"/>
  <c r="BGC43" i="1" s="1"/>
  <c r="BGB42" i="1"/>
  <c r="BGB43" i="1" s="1"/>
  <c r="BGA42" i="1"/>
  <c r="BGA43" i="1" s="1"/>
  <c r="BFZ42" i="1"/>
  <c r="BFZ43" i="1" s="1"/>
  <c r="BFY42" i="1"/>
  <c r="BFY43" i="1" s="1"/>
  <c r="BFX42" i="1"/>
  <c r="BFX43" i="1" s="1"/>
  <c r="BFW42" i="1"/>
  <c r="BFW43" i="1" s="1"/>
  <c r="BFV42" i="1"/>
  <c r="BFV43" i="1" s="1"/>
  <c r="BFU42" i="1"/>
  <c r="BFU43" i="1" s="1"/>
  <c r="BFT42" i="1"/>
  <c r="BFT43" i="1" s="1"/>
  <c r="BFS42" i="1"/>
  <c r="BFS43" i="1" s="1"/>
  <c r="BFR42" i="1"/>
  <c r="BFR43" i="1" s="1"/>
  <c r="BFQ42" i="1"/>
  <c r="BFQ43" i="1" s="1"/>
  <c r="BFP42" i="1"/>
  <c r="BFP43" i="1" s="1"/>
  <c r="BFO42" i="1"/>
  <c r="BFO43" i="1" s="1"/>
  <c r="BFN42" i="1"/>
  <c r="BFN43" i="1" s="1"/>
  <c r="BFM42" i="1"/>
  <c r="BFM43" i="1" s="1"/>
  <c r="BFL42" i="1"/>
  <c r="BFL43" i="1" s="1"/>
  <c r="BFK42" i="1"/>
  <c r="BFK43" i="1" s="1"/>
  <c r="BFJ42" i="1"/>
  <c r="BFJ43" i="1" s="1"/>
  <c r="BFI42" i="1"/>
  <c r="BFI43" i="1" s="1"/>
  <c r="BFH42" i="1"/>
  <c r="BFH43" i="1" s="1"/>
  <c r="BFG42" i="1"/>
  <c r="BFG43" i="1" s="1"/>
  <c r="BFF42" i="1"/>
  <c r="BFF43" i="1" s="1"/>
  <c r="BFE42" i="1"/>
  <c r="BFE43" i="1" s="1"/>
  <c r="BFD42" i="1"/>
  <c r="BFD43" i="1" s="1"/>
  <c r="BFC42" i="1"/>
  <c r="BFC43" i="1" s="1"/>
  <c r="BFB42" i="1"/>
  <c r="BFB43" i="1" s="1"/>
  <c r="BFA42" i="1"/>
  <c r="BFA43" i="1" s="1"/>
  <c r="BEZ42" i="1"/>
  <c r="BEZ43" i="1" s="1"/>
  <c r="BEY42" i="1"/>
  <c r="BEY43" i="1" s="1"/>
  <c r="BEX42" i="1"/>
  <c r="BEX43" i="1" s="1"/>
  <c r="BEW42" i="1"/>
  <c r="BEV42" i="1"/>
  <c r="BEV43" i="1" s="1"/>
  <c r="BEU42" i="1"/>
  <c r="BEU43" i="1" s="1"/>
  <c r="BET42" i="1"/>
  <c r="BET43" i="1" s="1"/>
  <c r="BES42" i="1"/>
  <c r="BES43" i="1" s="1"/>
  <c r="BER42" i="1"/>
  <c r="BEQ42" i="1"/>
  <c r="BEQ43" i="1" s="1"/>
  <c r="BEP42" i="1"/>
  <c r="BEP43" i="1" s="1"/>
  <c r="BEO42" i="1"/>
  <c r="BEO43" i="1" s="1"/>
  <c r="BEN42" i="1"/>
  <c r="BEN43" i="1" s="1"/>
  <c r="BEM42" i="1"/>
  <c r="BEM43" i="1" s="1"/>
  <c r="BEL42" i="1"/>
  <c r="BEL43" i="1" s="1"/>
  <c r="BEK42" i="1"/>
  <c r="BEK43" i="1" s="1"/>
  <c r="BEJ42" i="1"/>
  <c r="BEJ43" i="1" s="1"/>
  <c r="BEI42" i="1"/>
  <c r="BEI43" i="1" s="1"/>
  <c r="BEH42" i="1"/>
  <c r="BEH43" i="1" s="1"/>
  <c r="BEG42" i="1"/>
  <c r="BEG43" i="1" s="1"/>
  <c r="BEF42" i="1"/>
  <c r="BEF43" i="1" s="1"/>
  <c r="BEE42" i="1"/>
  <c r="BEE43" i="1" s="1"/>
  <c r="BED42" i="1"/>
  <c r="BED43" i="1" s="1"/>
  <c r="BEC42" i="1"/>
  <c r="BEC43" i="1" s="1"/>
  <c r="BEB42" i="1"/>
  <c r="BEB43" i="1" s="1"/>
  <c r="BEA42" i="1"/>
  <c r="BEA43" i="1" s="1"/>
  <c r="BDZ42" i="1"/>
  <c r="BDZ43" i="1" s="1"/>
  <c r="BDY42" i="1"/>
  <c r="BDY43" i="1" s="1"/>
  <c r="BDX42" i="1"/>
  <c r="BDX43" i="1" s="1"/>
  <c r="BDW42" i="1"/>
  <c r="BDW43" i="1" s="1"/>
  <c r="BDV42" i="1"/>
  <c r="BDV43" i="1" s="1"/>
  <c r="BDU42" i="1"/>
  <c r="BDU43" i="1" s="1"/>
  <c r="BDT42" i="1"/>
  <c r="BDT43" i="1" s="1"/>
  <c r="BDS42" i="1"/>
  <c r="BDS43" i="1" s="1"/>
  <c r="BDR42" i="1"/>
  <c r="BDR43" i="1" s="1"/>
  <c r="BDQ42" i="1"/>
  <c r="BDQ43" i="1" s="1"/>
  <c r="BDP42" i="1"/>
  <c r="BDP43" i="1" s="1"/>
  <c r="BDO42" i="1"/>
  <c r="BDO43" i="1" s="1"/>
  <c r="BDN42" i="1"/>
  <c r="BDN43" i="1" s="1"/>
  <c r="BDM42" i="1"/>
  <c r="BDM43" i="1" s="1"/>
  <c r="BDL42" i="1"/>
  <c r="BDL43" i="1" s="1"/>
  <c r="BDK42" i="1"/>
  <c r="BDK43" i="1" s="1"/>
  <c r="BDJ42" i="1"/>
  <c r="BDJ43" i="1" s="1"/>
  <c r="BDI42" i="1"/>
  <c r="BDI43" i="1" s="1"/>
  <c r="BDH42" i="1"/>
  <c r="BDH43" i="1" s="1"/>
  <c r="BDG42" i="1"/>
  <c r="BDG43" i="1" s="1"/>
  <c r="BDF42" i="1"/>
  <c r="BDF43" i="1" s="1"/>
  <c r="BDE42" i="1"/>
  <c r="BDE43" i="1" s="1"/>
  <c r="BDD42" i="1"/>
  <c r="BDD43" i="1" s="1"/>
  <c r="BDC42" i="1"/>
  <c r="BDC43" i="1" s="1"/>
  <c r="BDB42" i="1"/>
  <c r="BDB43" i="1" s="1"/>
  <c r="BDA42" i="1"/>
  <c r="BCZ42" i="1"/>
  <c r="BCZ43" i="1" s="1"/>
  <c r="BCY42" i="1"/>
  <c r="BCY43" i="1" s="1"/>
  <c r="BCX42" i="1"/>
  <c r="BCX43" i="1" s="1"/>
  <c r="BCW42" i="1"/>
  <c r="BCV42" i="1"/>
  <c r="BCV43" i="1" s="1"/>
  <c r="BCU42" i="1"/>
  <c r="BCU43" i="1" s="1"/>
  <c r="BCT42" i="1"/>
  <c r="BCT43" i="1" s="1"/>
  <c r="BCS42" i="1"/>
  <c r="BCS43" i="1" s="1"/>
  <c r="BCR42" i="1"/>
  <c r="BCR43" i="1" s="1"/>
  <c r="BCQ42" i="1"/>
  <c r="BCQ43" i="1" s="1"/>
  <c r="BCP42" i="1"/>
  <c r="BCP43" i="1" s="1"/>
  <c r="BCO42" i="1"/>
  <c r="BCO43" i="1" s="1"/>
  <c r="BCN42" i="1"/>
  <c r="BCN43" i="1" s="1"/>
  <c r="BCM42" i="1"/>
  <c r="BCM43" i="1" s="1"/>
  <c r="BCL42" i="1"/>
  <c r="BCL43" i="1" s="1"/>
  <c r="BCK42" i="1"/>
  <c r="BCK43" i="1" s="1"/>
  <c r="BCJ42" i="1"/>
  <c r="BCJ43" i="1" s="1"/>
  <c r="BCI42" i="1"/>
  <c r="BCI43" i="1" s="1"/>
  <c r="BCH42" i="1"/>
  <c r="BCH43" i="1" s="1"/>
  <c r="BCG42" i="1"/>
  <c r="BCG43" i="1" s="1"/>
  <c r="BCF42" i="1"/>
  <c r="BCF43" i="1" s="1"/>
  <c r="BCE42" i="1"/>
  <c r="BCE43" i="1" s="1"/>
  <c r="BCD42" i="1"/>
  <c r="BCD43" i="1" s="1"/>
  <c r="BCC42" i="1"/>
  <c r="BCC43" i="1" s="1"/>
  <c r="BCB42" i="1"/>
  <c r="BCB43" i="1" s="1"/>
  <c r="BCA42" i="1"/>
  <c r="BCA43" i="1" s="1"/>
  <c r="BBZ42" i="1"/>
  <c r="BBZ43" i="1" s="1"/>
  <c r="BBY42" i="1"/>
  <c r="BBY43" i="1" s="1"/>
  <c r="BBX42" i="1"/>
  <c r="BBX43" i="1" s="1"/>
  <c r="BBW42" i="1"/>
  <c r="BBW43" i="1" s="1"/>
  <c r="BBV42" i="1"/>
  <c r="BBV43" i="1" s="1"/>
  <c r="BBU42" i="1"/>
  <c r="BBU43" i="1" s="1"/>
  <c r="BBT42" i="1"/>
  <c r="BBT43" i="1" s="1"/>
  <c r="BBS42" i="1"/>
  <c r="BBS43" i="1" s="1"/>
  <c r="BBR42" i="1"/>
  <c r="BBR43" i="1" s="1"/>
  <c r="BBQ42" i="1"/>
  <c r="BBQ43" i="1" s="1"/>
  <c r="BBP42" i="1"/>
  <c r="BBP43" i="1" s="1"/>
  <c r="BBO42" i="1"/>
  <c r="BBO43" i="1" s="1"/>
  <c r="BBN42" i="1"/>
  <c r="BBN43" i="1" s="1"/>
  <c r="BBM42" i="1"/>
  <c r="BBM43" i="1" s="1"/>
  <c r="BBL42" i="1"/>
  <c r="BBL43" i="1" s="1"/>
  <c r="BBK42" i="1"/>
  <c r="BBK43" i="1" s="1"/>
  <c r="BBJ42" i="1"/>
  <c r="BBJ43" i="1" s="1"/>
  <c r="BBI42" i="1"/>
  <c r="BBI43" i="1" s="1"/>
  <c r="BBH42" i="1"/>
  <c r="BBH43" i="1" s="1"/>
  <c r="BBG42" i="1"/>
  <c r="BBG43" i="1" s="1"/>
  <c r="BBF42" i="1"/>
  <c r="BBF43" i="1" s="1"/>
  <c r="BBE42" i="1"/>
  <c r="BBE43" i="1" s="1"/>
  <c r="BBD42" i="1"/>
  <c r="BBD43" i="1" s="1"/>
  <c r="BBC42" i="1"/>
  <c r="BBC43" i="1" s="1"/>
  <c r="BBB42" i="1"/>
  <c r="BBB43" i="1" s="1"/>
  <c r="BBA42" i="1"/>
  <c r="BAZ42" i="1"/>
  <c r="BAZ43" i="1" s="1"/>
  <c r="BAY42" i="1"/>
  <c r="BAY43" i="1" s="1"/>
  <c r="BAX42" i="1"/>
  <c r="BAX43" i="1" s="1"/>
  <c r="BAW42" i="1"/>
  <c r="BAW43" i="1" s="1"/>
  <c r="BAV42" i="1"/>
  <c r="BAV43" i="1" s="1"/>
  <c r="BAU42" i="1"/>
  <c r="BAU43" i="1" s="1"/>
  <c r="BAT42" i="1"/>
  <c r="BAT43" i="1" s="1"/>
  <c r="BAS42" i="1"/>
  <c r="BAS43" i="1" s="1"/>
  <c r="BAR42" i="1"/>
  <c r="BAR43" i="1" s="1"/>
  <c r="BAQ42" i="1"/>
  <c r="BAQ43" i="1" s="1"/>
  <c r="BAP42" i="1"/>
  <c r="BAP43" i="1" s="1"/>
  <c r="BAO42" i="1"/>
  <c r="BAO43" i="1" s="1"/>
  <c r="BAN42" i="1"/>
  <c r="BAN43" i="1" s="1"/>
  <c r="BAM42" i="1"/>
  <c r="BAM43" i="1" s="1"/>
  <c r="BAL42" i="1"/>
  <c r="BAL43" i="1" s="1"/>
  <c r="BAK42" i="1"/>
  <c r="BAK43" i="1" s="1"/>
  <c r="BAJ42" i="1"/>
  <c r="BAJ43" i="1" s="1"/>
  <c r="BAI42" i="1"/>
  <c r="BAI43" i="1" s="1"/>
  <c r="BAH42" i="1"/>
  <c r="BAH43" i="1" s="1"/>
  <c r="BAG42" i="1"/>
  <c r="BAG43" i="1" s="1"/>
  <c r="BAF42" i="1"/>
  <c r="BAF43" i="1" s="1"/>
  <c r="BAE42" i="1"/>
  <c r="BAE43" i="1" s="1"/>
  <c r="BAD42" i="1"/>
  <c r="BAD43" i="1" s="1"/>
  <c r="BAC42" i="1"/>
  <c r="BAC43" i="1" s="1"/>
  <c r="BAB42" i="1"/>
  <c r="BAB43" i="1" s="1"/>
  <c r="BAA42" i="1"/>
  <c r="BAA43" i="1" s="1"/>
  <c r="AZZ42" i="1"/>
  <c r="AZZ43" i="1" s="1"/>
  <c r="AZY42" i="1"/>
  <c r="AZY43" i="1" s="1"/>
  <c r="AZX42" i="1"/>
  <c r="AZX43" i="1" s="1"/>
  <c r="AZW42" i="1"/>
  <c r="AZW43" i="1" s="1"/>
  <c r="AZV42" i="1"/>
  <c r="AZV43" i="1" s="1"/>
  <c r="AZU42" i="1"/>
  <c r="AZU43" i="1" s="1"/>
  <c r="AZT42" i="1"/>
  <c r="AZT43" i="1" s="1"/>
  <c r="AZS42" i="1"/>
  <c r="AZS43" i="1" s="1"/>
  <c r="AZR42" i="1"/>
  <c r="AZR43" i="1" s="1"/>
  <c r="AZQ42" i="1"/>
  <c r="AZQ43" i="1" s="1"/>
  <c r="AZP42" i="1"/>
  <c r="AZP43" i="1" s="1"/>
  <c r="AZO42" i="1"/>
  <c r="AZO43" i="1" s="1"/>
  <c r="AZN42" i="1"/>
  <c r="AZN43" i="1" s="1"/>
  <c r="AZM42" i="1"/>
  <c r="AZM43" i="1" s="1"/>
  <c r="AZL42" i="1"/>
  <c r="AZL43" i="1" s="1"/>
  <c r="AZK42" i="1"/>
  <c r="AZK43" i="1" s="1"/>
  <c r="AZJ42" i="1"/>
  <c r="AZJ43" i="1" s="1"/>
  <c r="AZI42" i="1"/>
  <c r="AZI43" i="1" s="1"/>
  <c r="AZH42" i="1"/>
  <c r="AZH43" i="1" s="1"/>
  <c r="AZG42" i="1"/>
  <c r="AZF42" i="1"/>
  <c r="AZF43" i="1" s="1"/>
  <c r="AZE42" i="1"/>
  <c r="AZE43" i="1" s="1"/>
  <c r="AZD42" i="1"/>
  <c r="AZD43" i="1" s="1"/>
  <c r="AZC42" i="1"/>
  <c r="AZC43" i="1" s="1"/>
  <c r="AZB42" i="1"/>
  <c r="AZB43" i="1" s="1"/>
  <c r="AZA42" i="1"/>
  <c r="AZA43" i="1" s="1"/>
  <c r="AYZ42" i="1"/>
  <c r="AYZ43" i="1" s="1"/>
  <c r="AYY42" i="1"/>
  <c r="AYY43" i="1" s="1"/>
  <c r="AYX42" i="1"/>
  <c r="AYX43" i="1" s="1"/>
  <c r="AYW42" i="1"/>
  <c r="AYW43" i="1" s="1"/>
  <c r="AYV42" i="1"/>
  <c r="AYV43" i="1" s="1"/>
  <c r="AYU42" i="1"/>
  <c r="AYU43" i="1" s="1"/>
  <c r="AYT42" i="1"/>
  <c r="AYT43" i="1" s="1"/>
  <c r="AYS42" i="1"/>
  <c r="AYS43" i="1" s="1"/>
  <c r="AYR42" i="1"/>
  <c r="AYR43" i="1" s="1"/>
  <c r="AYQ42" i="1"/>
  <c r="AYQ43" i="1" s="1"/>
  <c r="AYP42" i="1"/>
  <c r="AYP43" i="1" s="1"/>
  <c r="AYO42" i="1"/>
  <c r="AYO43" i="1" s="1"/>
  <c r="AYN42" i="1"/>
  <c r="AYN43" i="1" s="1"/>
  <c r="AYM42" i="1"/>
  <c r="AYM43" i="1" s="1"/>
  <c r="AYL42" i="1"/>
  <c r="AYL43" i="1" s="1"/>
  <c r="AYK42" i="1"/>
  <c r="AYK43" i="1" s="1"/>
  <c r="AYJ42" i="1"/>
  <c r="AYJ43" i="1" s="1"/>
  <c r="AYI42" i="1"/>
  <c r="AYI43" i="1" s="1"/>
  <c r="AYH42" i="1"/>
  <c r="AYH43" i="1" s="1"/>
  <c r="AYG42" i="1"/>
  <c r="AYG43" i="1" s="1"/>
  <c r="AYF42" i="1"/>
  <c r="AYF43" i="1" s="1"/>
  <c r="AYE42" i="1"/>
  <c r="AYE43" i="1" s="1"/>
  <c r="AYD42" i="1"/>
  <c r="AYD43" i="1" s="1"/>
  <c r="AYC42" i="1"/>
  <c r="AYC43" i="1" s="1"/>
  <c r="AYB42" i="1"/>
  <c r="AYB43" i="1" s="1"/>
  <c r="AYA42" i="1"/>
  <c r="AYA43" i="1" s="1"/>
  <c r="AXZ42" i="1"/>
  <c r="AXZ43" i="1" s="1"/>
  <c r="AXY42" i="1"/>
  <c r="AXY43" i="1" s="1"/>
  <c r="AXX42" i="1"/>
  <c r="AXX43" i="1" s="1"/>
  <c r="AXW42" i="1"/>
  <c r="AXW43" i="1" s="1"/>
  <c r="AXV42" i="1"/>
  <c r="AXV43" i="1" s="1"/>
  <c r="AXU42" i="1"/>
  <c r="AXU43" i="1" s="1"/>
  <c r="AXT42" i="1"/>
  <c r="AXT43" i="1" s="1"/>
  <c r="AXS42" i="1"/>
  <c r="AXS43" i="1" s="1"/>
  <c r="AXR42" i="1"/>
  <c r="AXR43" i="1" s="1"/>
  <c r="AXQ42" i="1"/>
  <c r="AXQ43" i="1" s="1"/>
  <c r="AXP42" i="1"/>
  <c r="AXP43" i="1" s="1"/>
  <c r="AXO42" i="1"/>
  <c r="AXO43" i="1" s="1"/>
  <c r="AXN42" i="1"/>
  <c r="AXN43" i="1" s="1"/>
  <c r="AXM42" i="1"/>
  <c r="AXM43" i="1" s="1"/>
  <c r="AXL42" i="1"/>
  <c r="AXL43" i="1" s="1"/>
  <c r="AXK42" i="1"/>
  <c r="AXJ42" i="1"/>
  <c r="AXJ43" i="1" s="1"/>
  <c r="AXI42" i="1"/>
  <c r="AXI43" i="1" s="1"/>
  <c r="AXH42" i="1"/>
  <c r="AXH43" i="1" s="1"/>
  <c r="AXG42" i="1"/>
  <c r="AXG43" i="1" s="1"/>
  <c r="AXF42" i="1"/>
  <c r="AXF43" i="1" s="1"/>
  <c r="AXE42" i="1"/>
  <c r="AXE43" i="1" s="1"/>
  <c r="AXD42" i="1"/>
  <c r="AXD43" i="1" s="1"/>
  <c r="AXC42" i="1"/>
  <c r="AXC43" i="1" s="1"/>
  <c r="AXB42" i="1"/>
  <c r="AXB43" i="1" s="1"/>
  <c r="AXA42" i="1"/>
  <c r="AXA43" i="1" s="1"/>
  <c r="AWZ42" i="1"/>
  <c r="AWZ43" i="1" s="1"/>
  <c r="AWY42" i="1"/>
  <c r="AWY43" i="1" s="1"/>
  <c r="AWX42" i="1"/>
  <c r="AWX43" i="1" s="1"/>
  <c r="AWW42" i="1"/>
  <c r="AWW43" i="1" s="1"/>
  <c r="AWV42" i="1"/>
  <c r="AWV43" i="1" s="1"/>
  <c r="AWU42" i="1"/>
  <c r="AWU43" i="1" s="1"/>
  <c r="AWT42" i="1"/>
  <c r="AWT43" i="1" s="1"/>
  <c r="AWS42" i="1"/>
  <c r="AWS43" i="1" s="1"/>
  <c r="AWR42" i="1"/>
  <c r="AWR43" i="1" s="1"/>
  <c r="AWQ42" i="1"/>
  <c r="AWQ43" i="1" s="1"/>
  <c r="AWP42" i="1"/>
  <c r="AWP43" i="1" s="1"/>
  <c r="AWO42" i="1"/>
  <c r="AWO43" i="1" s="1"/>
  <c r="AWN42" i="1"/>
  <c r="AWN43" i="1" s="1"/>
  <c r="AWM42" i="1"/>
  <c r="AWM43" i="1" s="1"/>
  <c r="AWL42" i="1"/>
  <c r="AWL43" i="1" s="1"/>
  <c r="AWK42" i="1"/>
  <c r="AWK43" i="1" s="1"/>
  <c r="AWJ42" i="1"/>
  <c r="AWJ43" i="1" s="1"/>
  <c r="AWI42" i="1"/>
  <c r="AWI43" i="1" s="1"/>
  <c r="AWH42" i="1"/>
  <c r="AWH43" i="1" s="1"/>
  <c r="AWG42" i="1"/>
  <c r="AWG43" i="1" s="1"/>
  <c r="AWF42" i="1"/>
  <c r="AWF43" i="1" s="1"/>
  <c r="AWE42" i="1"/>
  <c r="AWE43" i="1" s="1"/>
  <c r="AWD42" i="1"/>
  <c r="AWD43" i="1" s="1"/>
  <c r="AWC42" i="1"/>
  <c r="AWC43" i="1" s="1"/>
  <c r="AWB42" i="1"/>
  <c r="AWB43" i="1" s="1"/>
  <c r="AWA42" i="1"/>
  <c r="AWA43" i="1" s="1"/>
  <c r="AVZ42" i="1"/>
  <c r="AVZ43" i="1" s="1"/>
  <c r="AVY42" i="1"/>
  <c r="AVY43" i="1" s="1"/>
  <c r="AVX42" i="1"/>
  <c r="AVX43" i="1" s="1"/>
  <c r="AVW42" i="1"/>
  <c r="AVW43" i="1" s="1"/>
  <c r="AVV42" i="1"/>
  <c r="AVV43" i="1" s="1"/>
  <c r="AVU42" i="1"/>
  <c r="AVU43" i="1" s="1"/>
  <c r="AVT42" i="1"/>
  <c r="AVT43" i="1" s="1"/>
  <c r="AVS42" i="1"/>
  <c r="AVS43" i="1" s="1"/>
  <c r="AVR42" i="1"/>
  <c r="AVR43" i="1" s="1"/>
  <c r="AVQ42" i="1"/>
  <c r="AVQ43" i="1" s="1"/>
  <c r="AVP42" i="1"/>
  <c r="AVP43" i="1" s="1"/>
  <c r="AVO42" i="1"/>
  <c r="AVO43" i="1" s="1"/>
  <c r="AVN42" i="1"/>
  <c r="AVN43" i="1" s="1"/>
  <c r="AVM42" i="1"/>
  <c r="AVM43" i="1" s="1"/>
  <c r="AVL42" i="1"/>
  <c r="AVL43" i="1" s="1"/>
  <c r="AVK42" i="1"/>
  <c r="AVK43" i="1" s="1"/>
  <c r="AVJ42" i="1"/>
  <c r="AVJ43" i="1" s="1"/>
  <c r="AVI42" i="1"/>
  <c r="AVI43" i="1" s="1"/>
  <c r="AVH42" i="1"/>
  <c r="AVH43" i="1" s="1"/>
  <c r="AVG42" i="1"/>
  <c r="AVG43" i="1" s="1"/>
  <c r="AVF42" i="1"/>
  <c r="AVF43" i="1" s="1"/>
  <c r="AVE42" i="1"/>
  <c r="AVE43" i="1" s="1"/>
  <c r="AVD42" i="1"/>
  <c r="AVD43" i="1" s="1"/>
  <c r="AVC42" i="1"/>
  <c r="AVC43" i="1" s="1"/>
  <c r="AVB42" i="1"/>
  <c r="AVB43" i="1" s="1"/>
  <c r="AVA42" i="1"/>
  <c r="AVA43" i="1" s="1"/>
  <c r="AUZ42" i="1"/>
  <c r="AUZ43" i="1" s="1"/>
  <c r="AUY42" i="1"/>
  <c r="AUY43" i="1" s="1"/>
  <c r="AUX42" i="1"/>
  <c r="AUX43" i="1" s="1"/>
  <c r="AUW42" i="1"/>
  <c r="AUW43" i="1" s="1"/>
  <c r="AUV42" i="1"/>
  <c r="AUV43" i="1" s="1"/>
  <c r="AUU42" i="1"/>
  <c r="AUU43" i="1" s="1"/>
  <c r="AUT42" i="1"/>
  <c r="AUT43" i="1" s="1"/>
  <c r="AUS42" i="1"/>
  <c r="AUS43" i="1" s="1"/>
  <c r="AUR42" i="1"/>
  <c r="AUR43" i="1" s="1"/>
  <c r="AUQ42" i="1"/>
  <c r="AUQ43" i="1" s="1"/>
  <c r="AUP42" i="1"/>
  <c r="AUP43" i="1" s="1"/>
  <c r="AUO42" i="1"/>
  <c r="AUO43" i="1" s="1"/>
  <c r="AUN42" i="1"/>
  <c r="AUN43" i="1" s="1"/>
  <c r="AUM42" i="1"/>
  <c r="AUM43" i="1" s="1"/>
  <c r="AUL42" i="1"/>
  <c r="AUL43" i="1" s="1"/>
  <c r="AUK42" i="1"/>
  <c r="AUK43" i="1" s="1"/>
  <c r="AUJ42" i="1"/>
  <c r="AUJ43" i="1" s="1"/>
  <c r="AUI42" i="1"/>
  <c r="AUI43" i="1" s="1"/>
  <c r="AUH42" i="1"/>
  <c r="AUH43" i="1" s="1"/>
  <c r="AUG42" i="1"/>
  <c r="AUG43" i="1" s="1"/>
  <c r="AUF42" i="1"/>
  <c r="AUF43" i="1" s="1"/>
  <c r="AUE42" i="1"/>
  <c r="AUE43" i="1" s="1"/>
  <c r="AUD42" i="1"/>
  <c r="AUD43" i="1" s="1"/>
  <c r="AUC42" i="1"/>
  <c r="AUC43" i="1" s="1"/>
  <c r="AUB42" i="1"/>
  <c r="AUB43" i="1" s="1"/>
  <c r="AUA42" i="1"/>
  <c r="AUA43" i="1" s="1"/>
  <c r="ATZ42" i="1"/>
  <c r="ATZ43" i="1" s="1"/>
  <c r="ATY42" i="1"/>
  <c r="ATY43" i="1" s="1"/>
  <c r="ATX42" i="1"/>
  <c r="ATX43" i="1" s="1"/>
  <c r="ATW42" i="1"/>
  <c r="ATW43" i="1" s="1"/>
  <c r="ATV42" i="1"/>
  <c r="ATV43" i="1" s="1"/>
  <c r="ATU42" i="1"/>
  <c r="ATT42" i="1"/>
  <c r="ATT43" i="1" s="1"/>
  <c r="ATS42" i="1"/>
  <c r="ATS43" i="1" s="1"/>
  <c r="ATR42" i="1"/>
  <c r="ATR43" i="1" s="1"/>
  <c r="ATQ42" i="1"/>
  <c r="ATQ43" i="1" s="1"/>
  <c r="ATP42" i="1"/>
  <c r="ATP43" i="1" s="1"/>
  <c r="ATO42" i="1"/>
  <c r="ATO43" i="1" s="1"/>
  <c r="ATN42" i="1"/>
  <c r="ATN43" i="1" s="1"/>
  <c r="ATM42" i="1"/>
  <c r="ATM43" i="1" s="1"/>
  <c r="ATL42" i="1"/>
  <c r="ATL43" i="1" s="1"/>
  <c r="ATK42" i="1"/>
  <c r="ATK43" i="1" s="1"/>
  <c r="ATJ42" i="1"/>
  <c r="ATJ43" i="1" s="1"/>
  <c r="ATI42" i="1"/>
  <c r="ATI43" i="1" s="1"/>
  <c r="ATH42" i="1"/>
  <c r="ATH43" i="1" s="1"/>
  <c r="ATG42" i="1"/>
  <c r="ATG43" i="1" s="1"/>
  <c r="ATF42" i="1"/>
  <c r="ATF43" i="1" s="1"/>
  <c r="ATE42" i="1"/>
  <c r="ATE43" i="1" s="1"/>
  <c r="ATD42" i="1"/>
  <c r="ATD43" i="1" s="1"/>
  <c r="ATC42" i="1"/>
  <c r="ATC43" i="1" s="1"/>
  <c r="ATB42" i="1"/>
  <c r="ATB43" i="1" s="1"/>
  <c r="ATA42" i="1"/>
  <c r="ATA43" i="1" s="1"/>
  <c r="ASZ42" i="1"/>
  <c r="ASZ43" i="1" s="1"/>
  <c r="ASY42" i="1"/>
  <c r="ASY43" i="1" s="1"/>
  <c r="ASX42" i="1"/>
  <c r="ASX43" i="1" s="1"/>
  <c r="ASW42" i="1"/>
  <c r="ASW43" i="1" s="1"/>
  <c r="ASV42" i="1"/>
  <c r="ASV43" i="1" s="1"/>
  <c r="ASU42" i="1"/>
  <c r="ASU43" i="1" s="1"/>
  <c r="AST42" i="1"/>
  <c r="AST43" i="1" s="1"/>
  <c r="ASS42" i="1"/>
  <c r="ASS43" i="1" s="1"/>
  <c r="ASR42" i="1"/>
  <c r="ASR43" i="1" s="1"/>
  <c r="ASQ42" i="1"/>
  <c r="ASQ43" i="1" s="1"/>
  <c r="ASP42" i="1"/>
  <c r="ASP43" i="1" s="1"/>
  <c r="ASO42" i="1"/>
  <c r="ASO43" i="1" s="1"/>
  <c r="ASN42" i="1"/>
  <c r="ASN43" i="1" s="1"/>
  <c r="ASM42" i="1"/>
  <c r="ASM43" i="1" s="1"/>
  <c r="ASL42" i="1"/>
  <c r="ASL43" i="1" s="1"/>
  <c r="ASK42" i="1"/>
  <c r="ASK43" i="1" s="1"/>
  <c r="ASJ42" i="1"/>
  <c r="ASJ43" i="1" s="1"/>
  <c r="ASI42" i="1"/>
  <c r="ASI43" i="1" s="1"/>
  <c r="ASH42" i="1"/>
  <c r="ASH43" i="1" s="1"/>
  <c r="ASG42" i="1"/>
  <c r="ASG43" i="1" s="1"/>
  <c r="ASF42" i="1"/>
  <c r="ASF43" i="1" s="1"/>
  <c r="ASE42" i="1"/>
  <c r="ASE43" i="1" s="1"/>
  <c r="ASD42" i="1"/>
  <c r="ASD43" i="1" s="1"/>
  <c r="ASC42" i="1"/>
  <c r="ASC43" i="1" s="1"/>
  <c r="ASB42" i="1"/>
  <c r="ASB43" i="1" s="1"/>
  <c r="ASA42" i="1"/>
  <c r="ASA43" i="1" s="1"/>
  <c r="ARZ42" i="1"/>
  <c r="ARZ43" i="1" s="1"/>
  <c r="ARY42" i="1"/>
  <c r="ARX42" i="1"/>
  <c r="ARX43" i="1" s="1"/>
  <c r="ARW42" i="1"/>
  <c r="ARW43" i="1" s="1"/>
  <c r="ARV42" i="1"/>
  <c r="ARV43" i="1" s="1"/>
  <c r="ARU42" i="1"/>
  <c r="ARU43" i="1" s="1"/>
  <c r="ART42" i="1"/>
  <c r="ART43" i="1" s="1"/>
  <c r="ARS42" i="1"/>
  <c r="ARS43" i="1" s="1"/>
  <c r="ARR42" i="1"/>
  <c r="ARR43" i="1" s="1"/>
  <c r="ARQ42" i="1"/>
  <c r="ARQ43" i="1" s="1"/>
  <c r="ARP42" i="1"/>
  <c r="ARP43" i="1" s="1"/>
  <c r="ARO42" i="1"/>
  <c r="ARO43" i="1" s="1"/>
  <c r="ARN42" i="1"/>
  <c r="ARN43" i="1" s="1"/>
  <c r="ARM42" i="1"/>
  <c r="ARM43" i="1" s="1"/>
  <c r="ARL42" i="1"/>
  <c r="ARL43" i="1" s="1"/>
  <c r="ARK42" i="1"/>
  <c r="ARK43" i="1" s="1"/>
  <c r="ARJ42" i="1"/>
  <c r="ARJ43" i="1" s="1"/>
  <c r="ARI42" i="1"/>
  <c r="ARI43" i="1" s="1"/>
  <c r="ARH42" i="1"/>
  <c r="ARH43" i="1" s="1"/>
  <c r="ARG42" i="1"/>
  <c r="ARG43" i="1" s="1"/>
  <c r="ARF42" i="1"/>
  <c r="ARF43" i="1" s="1"/>
  <c r="ARE42" i="1"/>
  <c r="ARE43" i="1" s="1"/>
  <c r="ARD42" i="1"/>
  <c r="ARD43" i="1" s="1"/>
  <c r="ARC42" i="1"/>
  <c r="ARC43" i="1" s="1"/>
  <c r="ARB42" i="1"/>
  <c r="ARB43" i="1" s="1"/>
  <c r="ARA42" i="1"/>
  <c r="ARA43" i="1" s="1"/>
  <c r="AQZ42" i="1"/>
  <c r="AQZ43" i="1" s="1"/>
  <c r="AQY42" i="1"/>
  <c r="AQY43" i="1" s="1"/>
  <c r="AQX42" i="1"/>
  <c r="AQX43" i="1" s="1"/>
  <c r="AQW42" i="1"/>
  <c r="AQW43" i="1" s="1"/>
  <c r="AQV42" i="1"/>
  <c r="AQV43" i="1" s="1"/>
  <c r="AQU42" i="1"/>
  <c r="AQU43" i="1" s="1"/>
  <c r="AQT42" i="1"/>
  <c r="AQT43" i="1" s="1"/>
  <c r="AQS42" i="1"/>
  <c r="AQS43" i="1" s="1"/>
  <c r="AQR42" i="1"/>
  <c r="AQR43" i="1" s="1"/>
  <c r="AQQ42" i="1"/>
  <c r="AQQ43" i="1" s="1"/>
  <c r="AQP42" i="1"/>
  <c r="AQP43" i="1" s="1"/>
  <c r="AQO42" i="1"/>
  <c r="AQO43" i="1" s="1"/>
  <c r="AQN42" i="1"/>
  <c r="AQN43" i="1" s="1"/>
  <c r="AQM42" i="1"/>
  <c r="AQM43" i="1" s="1"/>
  <c r="AQL42" i="1"/>
  <c r="AQL43" i="1" s="1"/>
  <c r="AQK42" i="1"/>
  <c r="AQK43" i="1" s="1"/>
  <c r="AQJ42" i="1"/>
  <c r="AQJ43" i="1" s="1"/>
  <c r="AQI42" i="1"/>
  <c r="AQI43" i="1" s="1"/>
  <c r="AQH42" i="1"/>
  <c r="AQH43" i="1" s="1"/>
  <c r="AQG42" i="1"/>
  <c r="AQG43" i="1" s="1"/>
  <c r="AQF42" i="1"/>
  <c r="AQF43" i="1" s="1"/>
  <c r="AQE42" i="1"/>
  <c r="AQE43" i="1" s="1"/>
  <c r="AQD42" i="1"/>
  <c r="AQD43" i="1" s="1"/>
  <c r="AQC42" i="1"/>
  <c r="AQC43" i="1" s="1"/>
  <c r="AQB42" i="1"/>
  <c r="AQB43" i="1" s="1"/>
  <c r="AQA42" i="1"/>
  <c r="AQA43" i="1" s="1"/>
  <c r="APZ42" i="1"/>
  <c r="APZ43" i="1" s="1"/>
  <c r="APY42" i="1"/>
  <c r="APY43" i="1" s="1"/>
  <c r="APX42" i="1"/>
  <c r="APX43" i="1" s="1"/>
  <c r="APW42" i="1"/>
  <c r="APW43" i="1" s="1"/>
  <c r="APV42" i="1"/>
  <c r="APV43" i="1" s="1"/>
  <c r="APU42" i="1"/>
  <c r="APU43" i="1" s="1"/>
  <c r="APT42" i="1"/>
  <c r="APT43" i="1" s="1"/>
  <c r="APS42" i="1"/>
  <c r="APS43" i="1" s="1"/>
  <c r="APR42" i="1"/>
  <c r="APR43" i="1" s="1"/>
  <c r="APQ42" i="1"/>
  <c r="APQ43" i="1" s="1"/>
  <c r="APP42" i="1"/>
  <c r="APP43" i="1" s="1"/>
  <c r="APO42" i="1"/>
  <c r="APO43" i="1" s="1"/>
  <c r="APN42" i="1"/>
  <c r="APN43" i="1" s="1"/>
  <c r="APM42" i="1"/>
  <c r="APM43" i="1" s="1"/>
  <c r="APL42" i="1"/>
  <c r="APL43" i="1" s="1"/>
  <c r="APK42" i="1"/>
  <c r="APK43" i="1" s="1"/>
  <c r="APJ42" i="1"/>
  <c r="APJ43" i="1" s="1"/>
  <c r="API42" i="1"/>
  <c r="API43" i="1" s="1"/>
  <c r="APH42" i="1"/>
  <c r="APH43" i="1" s="1"/>
  <c r="APG42" i="1"/>
  <c r="APG43" i="1" s="1"/>
  <c r="APF42" i="1"/>
  <c r="APF43" i="1" s="1"/>
  <c r="APE42" i="1"/>
  <c r="APE43" i="1" s="1"/>
  <c r="APD42" i="1"/>
  <c r="APD43" i="1" s="1"/>
  <c r="APC42" i="1"/>
  <c r="APC43" i="1" s="1"/>
  <c r="APB42" i="1"/>
  <c r="APB43" i="1" s="1"/>
  <c r="APA42" i="1"/>
  <c r="APA43" i="1" s="1"/>
  <c r="AOZ42" i="1"/>
  <c r="AOZ43" i="1" s="1"/>
  <c r="AOY42" i="1"/>
  <c r="AOY43" i="1" s="1"/>
  <c r="AOX42" i="1"/>
  <c r="AOX43" i="1" s="1"/>
  <c r="AOW42" i="1"/>
  <c r="AOW43" i="1" s="1"/>
  <c r="AOV42" i="1"/>
  <c r="AOV43" i="1" s="1"/>
  <c r="AOU42" i="1"/>
  <c r="AOU43" i="1" s="1"/>
  <c r="AOT42" i="1"/>
  <c r="AOT43" i="1" s="1"/>
  <c r="AOS42" i="1"/>
  <c r="AOS43" i="1" s="1"/>
  <c r="AOR42" i="1"/>
  <c r="AOR43" i="1" s="1"/>
  <c r="AOQ42" i="1"/>
  <c r="AOQ43" i="1" s="1"/>
  <c r="AOP42" i="1"/>
  <c r="AOP43" i="1" s="1"/>
  <c r="AOO42" i="1"/>
  <c r="AON42" i="1"/>
  <c r="AON43" i="1" s="1"/>
  <c r="AOM42" i="1"/>
  <c r="AOM43" i="1" s="1"/>
  <c r="AOL42" i="1"/>
  <c r="AOL43" i="1" s="1"/>
  <c r="AOK42" i="1"/>
  <c r="AOK43" i="1" s="1"/>
  <c r="AOJ42" i="1"/>
  <c r="AOJ43" i="1" s="1"/>
  <c r="AOI42" i="1"/>
  <c r="AOI43" i="1" s="1"/>
  <c r="AOH42" i="1"/>
  <c r="AOH43" i="1" s="1"/>
  <c r="AOG42" i="1"/>
  <c r="AOG43" i="1" s="1"/>
  <c r="AOF42" i="1"/>
  <c r="AOF43" i="1" s="1"/>
  <c r="AOE42" i="1"/>
  <c r="AOE43" i="1" s="1"/>
  <c r="AOD42" i="1"/>
  <c r="AOD43" i="1" s="1"/>
  <c r="AOC42" i="1"/>
  <c r="AOC43" i="1" s="1"/>
  <c r="AOB42" i="1"/>
  <c r="AOB43" i="1" s="1"/>
  <c r="AOA42" i="1"/>
  <c r="AOA43" i="1" s="1"/>
  <c r="ANZ42" i="1"/>
  <c r="ANZ43" i="1" s="1"/>
  <c r="ANY42" i="1"/>
  <c r="ANY43" i="1" s="1"/>
  <c r="ANX42" i="1"/>
  <c r="ANX43" i="1" s="1"/>
  <c r="ANW42" i="1"/>
  <c r="ANW43" i="1" s="1"/>
  <c r="ANV42" i="1"/>
  <c r="ANV43" i="1" s="1"/>
  <c r="ANU42" i="1"/>
  <c r="ANU43" i="1" s="1"/>
  <c r="ANT42" i="1"/>
  <c r="ANT43" i="1" s="1"/>
  <c r="ANS42" i="1"/>
  <c r="ANS43" i="1" s="1"/>
  <c r="ANR42" i="1"/>
  <c r="ANR43" i="1" s="1"/>
  <c r="ANQ42" i="1"/>
  <c r="ANQ43" i="1" s="1"/>
  <c r="ANP42" i="1"/>
  <c r="ANP43" i="1" s="1"/>
  <c r="ANO42" i="1"/>
  <c r="ANO43" i="1" s="1"/>
  <c r="ANN42" i="1"/>
  <c r="ANN43" i="1" s="1"/>
  <c r="ANM42" i="1"/>
  <c r="ANM43" i="1" s="1"/>
  <c r="ANL42" i="1"/>
  <c r="ANL43" i="1" s="1"/>
  <c r="ANK42" i="1"/>
  <c r="ANK43" i="1" s="1"/>
  <c r="ANJ42" i="1"/>
  <c r="ANJ43" i="1" s="1"/>
  <c r="ANI42" i="1"/>
  <c r="ANI43" i="1" s="1"/>
  <c r="ANH42" i="1"/>
  <c r="ANH43" i="1" s="1"/>
  <c r="ANG42" i="1"/>
  <c r="ANG43" i="1" s="1"/>
  <c r="ANF42" i="1"/>
  <c r="ANF43" i="1" s="1"/>
  <c r="ANE42" i="1"/>
  <c r="ANE43" i="1" s="1"/>
  <c r="AND42" i="1"/>
  <c r="AND43" i="1" s="1"/>
  <c r="ANC42" i="1"/>
  <c r="ANC43" i="1" s="1"/>
  <c r="ANB42" i="1"/>
  <c r="ANB43" i="1" s="1"/>
  <c r="ANA42" i="1"/>
  <c r="ANA43" i="1" s="1"/>
  <c r="AMZ42" i="1"/>
  <c r="AMZ43" i="1" s="1"/>
  <c r="AMY42" i="1"/>
  <c r="AMY43" i="1" s="1"/>
  <c r="AMX42" i="1"/>
  <c r="AMX43" i="1" s="1"/>
  <c r="AMW42" i="1"/>
  <c r="AMW43" i="1" s="1"/>
  <c r="AMV42" i="1"/>
  <c r="AMV43" i="1" s="1"/>
  <c r="AMU42" i="1"/>
  <c r="AMU43" i="1" s="1"/>
  <c r="AMT42" i="1"/>
  <c r="AMS42" i="1"/>
  <c r="AMS43" i="1" s="1"/>
  <c r="AMR42" i="1"/>
  <c r="AMR43" i="1" s="1"/>
  <c r="AMQ42" i="1"/>
  <c r="AMQ43" i="1" s="1"/>
  <c r="AMP42" i="1"/>
  <c r="AMP43" i="1" s="1"/>
  <c r="AMO42" i="1"/>
  <c r="AMO43" i="1" s="1"/>
  <c r="AMN42" i="1"/>
  <c r="AMM42" i="1"/>
  <c r="AMM43" i="1" s="1"/>
  <c r="AML42" i="1"/>
  <c r="AML43" i="1" s="1"/>
  <c r="AMK42" i="1"/>
  <c r="AMK43" i="1" s="1"/>
  <c r="AMJ42" i="1"/>
  <c r="AMJ43" i="1" s="1"/>
  <c r="AMI42" i="1"/>
  <c r="AMI43" i="1" s="1"/>
  <c r="AMH42" i="1"/>
  <c r="AMH43" i="1" s="1"/>
  <c r="AMG42" i="1"/>
  <c r="AMG43" i="1" s="1"/>
  <c r="AMF42" i="1"/>
  <c r="AMF43" i="1" s="1"/>
  <c r="AME42" i="1"/>
  <c r="AME43" i="1" s="1"/>
  <c r="AMD42" i="1"/>
  <c r="AMD43" i="1" s="1"/>
  <c r="AMC42" i="1"/>
  <c r="AMC43" i="1" s="1"/>
  <c r="AMB42" i="1"/>
  <c r="AMB43" i="1" s="1"/>
  <c r="AMA42" i="1"/>
  <c r="AMA43" i="1" s="1"/>
  <c r="ALZ42" i="1"/>
  <c r="ALZ43" i="1" s="1"/>
  <c r="ALY42" i="1"/>
  <c r="ALY43" i="1" s="1"/>
  <c r="ALX42" i="1"/>
  <c r="ALX43" i="1" s="1"/>
  <c r="ALW42" i="1"/>
  <c r="ALW43" i="1" s="1"/>
  <c r="ALV42" i="1"/>
  <c r="ALV43" i="1" s="1"/>
  <c r="ALU42" i="1"/>
  <c r="ALU43" i="1" s="1"/>
  <c r="ALT42" i="1"/>
  <c r="ALT43" i="1" s="1"/>
  <c r="ALS42" i="1"/>
  <c r="ALS43" i="1" s="1"/>
  <c r="ALR42" i="1"/>
  <c r="ALR43" i="1" s="1"/>
  <c r="ALQ42" i="1"/>
  <c r="ALQ43" i="1" s="1"/>
  <c r="ALP42" i="1"/>
  <c r="ALP43" i="1" s="1"/>
  <c r="ALO42" i="1"/>
  <c r="ALO43" i="1" s="1"/>
  <c r="ALN42" i="1"/>
  <c r="ALN43" i="1" s="1"/>
  <c r="ALM42" i="1"/>
  <c r="ALM43" i="1" s="1"/>
  <c r="ALL42" i="1"/>
  <c r="ALL43" i="1" s="1"/>
  <c r="ALK42" i="1"/>
  <c r="ALK43" i="1" s="1"/>
  <c r="ALJ42" i="1"/>
  <c r="ALJ43" i="1" s="1"/>
  <c r="ALI42" i="1"/>
  <c r="ALI43" i="1" s="1"/>
  <c r="ALH42" i="1"/>
  <c r="ALH43" i="1" s="1"/>
  <c r="ALG42" i="1"/>
  <c r="ALG43" i="1" s="1"/>
  <c r="ALF42" i="1"/>
  <c r="ALF43" i="1" s="1"/>
  <c r="ALE42" i="1"/>
  <c r="ALE43" i="1" s="1"/>
  <c r="ALD42" i="1"/>
  <c r="ALD43" i="1" s="1"/>
  <c r="ALC42" i="1"/>
  <c r="ALC43" i="1" s="1"/>
  <c r="ALB42" i="1"/>
  <c r="ALB43" i="1" s="1"/>
  <c r="ALA42" i="1"/>
  <c r="ALA43" i="1" s="1"/>
  <c r="AKZ42" i="1"/>
  <c r="AKZ43" i="1" s="1"/>
  <c r="AKY42" i="1"/>
  <c r="AKY43" i="1" s="1"/>
  <c r="AKX42" i="1"/>
  <c r="AKW42" i="1"/>
  <c r="AKW43" i="1" s="1"/>
  <c r="AKV42" i="1"/>
  <c r="AKV43" i="1" s="1"/>
  <c r="AKU42" i="1"/>
  <c r="AKU43" i="1" s="1"/>
  <c r="AKT42" i="1"/>
  <c r="AKT43" i="1" s="1"/>
  <c r="AKS42" i="1"/>
  <c r="AKS43" i="1" s="1"/>
  <c r="AKR42" i="1"/>
  <c r="AKR43" i="1" s="1"/>
  <c r="AKQ42" i="1"/>
  <c r="AKQ43" i="1" s="1"/>
  <c r="AKP42" i="1"/>
  <c r="AKP43" i="1" s="1"/>
  <c r="AKO42" i="1"/>
  <c r="AKO43" i="1" s="1"/>
  <c r="AKN42" i="1"/>
  <c r="AKN43" i="1" s="1"/>
  <c r="AKM42" i="1"/>
  <c r="AKM43" i="1" s="1"/>
  <c r="AKL42" i="1"/>
  <c r="AKL43" i="1" s="1"/>
  <c r="AKK42" i="1"/>
  <c r="AKK43" i="1" s="1"/>
  <c r="AKJ42" i="1"/>
  <c r="AKJ43" i="1" s="1"/>
  <c r="AKI42" i="1"/>
  <c r="AKI43" i="1" s="1"/>
  <c r="AKH42" i="1"/>
  <c r="AKH43" i="1" s="1"/>
  <c r="AKG42" i="1"/>
  <c r="AKG43" i="1" s="1"/>
  <c r="AKF42" i="1"/>
  <c r="AKF43" i="1" s="1"/>
  <c r="AKE42" i="1"/>
  <c r="AKE43" i="1" s="1"/>
  <c r="AKD42" i="1"/>
  <c r="AKD43" i="1" s="1"/>
  <c r="AKC42" i="1"/>
  <c r="AKC43" i="1" s="1"/>
  <c r="AKB42" i="1"/>
  <c r="AKB43" i="1" s="1"/>
  <c r="AKA42" i="1"/>
  <c r="AKA43" i="1" s="1"/>
  <c r="AJZ42" i="1"/>
  <c r="AJZ43" i="1" s="1"/>
  <c r="AJY42" i="1"/>
  <c r="AJY43" i="1" s="1"/>
  <c r="AJX42" i="1"/>
  <c r="AJX43" i="1" s="1"/>
  <c r="AJW42" i="1"/>
  <c r="AJW43" i="1" s="1"/>
  <c r="AJV42" i="1"/>
  <c r="AJV43" i="1" s="1"/>
  <c r="AJU42" i="1"/>
  <c r="AJU43" i="1" s="1"/>
  <c r="AJT42" i="1"/>
  <c r="AJT43" i="1" s="1"/>
  <c r="AJS42" i="1"/>
  <c r="AJS43" i="1" s="1"/>
  <c r="AJR42" i="1"/>
  <c r="AJR43" i="1" s="1"/>
  <c r="AJQ42" i="1"/>
  <c r="AJQ43" i="1" s="1"/>
  <c r="AJP42" i="1"/>
  <c r="AJP43" i="1" s="1"/>
  <c r="AJO42" i="1"/>
  <c r="AJO43" i="1" s="1"/>
  <c r="AJN42" i="1"/>
  <c r="AJN43" i="1" s="1"/>
  <c r="AJM42" i="1"/>
  <c r="AJM43" i="1" s="1"/>
  <c r="AJL42" i="1"/>
  <c r="AJL43" i="1" s="1"/>
  <c r="AJK42" i="1"/>
  <c r="AJK43" i="1" s="1"/>
  <c r="AJJ42" i="1"/>
  <c r="AJJ43" i="1" s="1"/>
  <c r="AJI42" i="1"/>
  <c r="AJI43" i="1" s="1"/>
  <c r="AJH42" i="1"/>
  <c r="AJH43" i="1" s="1"/>
  <c r="AJG42" i="1"/>
  <c r="AJG43" i="1" s="1"/>
  <c r="AJF42" i="1"/>
  <c r="AJF43" i="1" s="1"/>
  <c r="AJE42" i="1"/>
  <c r="AJE43" i="1" s="1"/>
  <c r="AJD42" i="1"/>
  <c r="AJD43" i="1" s="1"/>
  <c r="AJC42" i="1"/>
  <c r="AJC43" i="1" s="1"/>
  <c r="AJB42" i="1"/>
  <c r="AJB43" i="1" s="1"/>
  <c r="AJA42" i="1"/>
  <c r="AJA43" i="1" s="1"/>
  <c r="AIZ42" i="1"/>
  <c r="AIZ43" i="1" s="1"/>
  <c r="AIY42" i="1"/>
  <c r="AIY43" i="1" s="1"/>
  <c r="AIX42" i="1"/>
  <c r="AIX43" i="1" s="1"/>
  <c r="AIW42" i="1"/>
  <c r="AIW43" i="1" s="1"/>
  <c r="AIV42" i="1"/>
  <c r="AIV43" i="1" s="1"/>
  <c r="AIU42" i="1"/>
  <c r="AIU43" i="1" s="1"/>
  <c r="AIT42" i="1"/>
  <c r="AIT43" i="1" s="1"/>
  <c r="AIS42" i="1"/>
  <c r="AIS43" i="1" s="1"/>
  <c r="AIR42" i="1"/>
  <c r="AIR43" i="1" s="1"/>
  <c r="AIQ42" i="1"/>
  <c r="AIQ43" i="1" s="1"/>
  <c r="AIP42" i="1"/>
  <c r="AIP43" i="1" s="1"/>
  <c r="AIO42" i="1"/>
  <c r="AIO43" i="1" s="1"/>
  <c r="AIN42" i="1"/>
  <c r="AIN43" i="1" s="1"/>
  <c r="AIM42" i="1"/>
  <c r="AIM43" i="1" s="1"/>
  <c r="AIL42" i="1"/>
  <c r="AIL43" i="1" s="1"/>
  <c r="AIK42" i="1"/>
  <c r="AIK43" i="1" s="1"/>
  <c r="AIJ42" i="1"/>
  <c r="AIJ43" i="1" s="1"/>
  <c r="AII42" i="1"/>
  <c r="AII43" i="1" s="1"/>
  <c r="AIH42" i="1"/>
  <c r="AIH43" i="1" s="1"/>
  <c r="AIG42" i="1"/>
  <c r="AIG43" i="1" s="1"/>
  <c r="AIF42" i="1"/>
  <c r="AIF43" i="1" s="1"/>
  <c r="AIE42" i="1"/>
  <c r="AIE43" i="1" s="1"/>
  <c r="AID42" i="1"/>
  <c r="AID43" i="1" s="1"/>
  <c r="AIC42" i="1"/>
  <c r="AIC43" i="1" s="1"/>
  <c r="AIB42" i="1"/>
  <c r="AIB43" i="1" s="1"/>
  <c r="AIA42" i="1"/>
  <c r="AIA43" i="1" s="1"/>
  <c r="AHZ42" i="1"/>
  <c r="AHZ43" i="1" s="1"/>
  <c r="AHY42" i="1"/>
  <c r="AHY43" i="1" s="1"/>
  <c r="AHX42" i="1"/>
  <c r="AHX43" i="1" s="1"/>
  <c r="AHW42" i="1"/>
  <c r="AHW43" i="1" s="1"/>
  <c r="AHV42" i="1"/>
  <c r="AHV43" i="1" s="1"/>
  <c r="AHU42" i="1"/>
  <c r="AHU43" i="1" s="1"/>
  <c r="AHT42" i="1"/>
  <c r="AHT43" i="1" s="1"/>
  <c r="AHS42" i="1"/>
  <c r="AHS43" i="1" s="1"/>
  <c r="AHR42" i="1"/>
  <c r="AHR43" i="1" s="1"/>
  <c r="AHQ42" i="1"/>
  <c r="AHQ43" i="1" s="1"/>
  <c r="AHP42" i="1"/>
  <c r="AHP43" i="1" s="1"/>
  <c r="AHO42" i="1"/>
  <c r="AHO43" i="1" s="1"/>
  <c r="AHN42" i="1"/>
  <c r="AHN43" i="1" s="1"/>
  <c r="AHM42" i="1"/>
  <c r="AHM43" i="1" s="1"/>
  <c r="AHL42" i="1"/>
  <c r="AHL43" i="1" s="1"/>
  <c r="AHK42" i="1"/>
  <c r="AHK43" i="1" s="1"/>
  <c r="AHJ42" i="1"/>
  <c r="AHJ43" i="1" s="1"/>
  <c r="AHI42" i="1"/>
  <c r="AHI43" i="1" s="1"/>
  <c r="AHH42" i="1"/>
  <c r="AHH43" i="1" s="1"/>
  <c r="AHG42" i="1"/>
  <c r="AHG43" i="1" s="1"/>
  <c r="AHF42" i="1"/>
  <c r="AHF43" i="1" s="1"/>
  <c r="AHE42" i="1"/>
  <c r="AHE43" i="1" s="1"/>
  <c r="AHD42" i="1"/>
  <c r="AHC42" i="1"/>
  <c r="AHC43" i="1" s="1"/>
  <c r="AHB42" i="1"/>
  <c r="AHB43" i="1" s="1"/>
  <c r="AHA42" i="1"/>
  <c r="AHA43" i="1" s="1"/>
  <c r="AGZ42" i="1"/>
  <c r="AGZ43" i="1" s="1"/>
  <c r="AGY42" i="1"/>
  <c r="AGY43" i="1" s="1"/>
  <c r="AGX42" i="1"/>
  <c r="AGX43" i="1" s="1"/>
  <c r="AGW42" i="1"/>
  <c r="AGW43" i="1" s="1"/>
  <c r="AGV42" i="1"/>
  <c r="AGV43" i="1" s="1"/>
  <c r="AGU42" i="1"/>
  <c r="AGU43" i="1" s="1"/>
  <c r="AGT42" i="1"/>
  <c r="AGT43" i="1" s="1"/>
  <c r="AGS42" i="1"/>
  <c r="AGS43" i="1" s="1"/>
  <c r="AGR42" i="1"/>
  <c r="AGR43" i="1" s="1"/>
  <c r="AGQ42" i="1"/>
  <c r="AGQ43" i="1" s="1"/>
  <c r="AGP42" i="1"/>
  <c r="AGP43" i="1" s="1"/>
  <c r="AGO42" i="1"/>
  <c r="AGO43" i="1" s="1"/>
  <c r="AGN42" i="1"/>
  <c r="AGN43" i="1" s="1"/>
  <c r="AGM42" i="1"/>
  <c r="AGM43" i="1" s="1"/>
  <c r="AGL42" i="1"/>
  <c r="AGL43" i="1" s="1"/>
  <c r="AGK42" i="1"/>
  <c r="AGK43" i="1" s="1"/>
  <c r="AGJ42" i="1"/>
  <c r="AGJ43" i="1" s="1"/>
  <c r="AGI42" i="1"/>
  <c r="AGI43" i="1" s="1"/>
  <c r="AGH42" i="1"/>
  <c r="AGH43" i="1" s="1"/>
  <c r="AGG42" i="1"/>
  <c r="AGG43" i="1" s="1"/>
  <c r="AGF42" i="1"/>
  <c r="AGF43" i="1" s="1"/>
  <c r="AGE42" i="1"/>
  <c r="AGE43" i="1" s="1"/>
  <c r="AGD42" i="1"/>
  <c r="AGD43" i="1" s="1"/>
  <c r="AGC42" i="1"/>
  <c r="AGC43" i="1" s="1"/>
  <c r="AGB42" i="1"/>
  <c r="AGB43" i="1" s="1"/>
  <c r="AGA42" i="1"/>
  <c r="AGA43" i="1" s="1"/>
  <c r="AFZ42" i="1"/>
  <c r="AFZ43" i="1" s="1"/>
  <c r="AFY42" i="1"/>
  <c r="AFY43" i="1" s="1"/>
  <c r="AFX42" i="1"/>
  <c r="AFX43" i="1" s="1"/>
  <c r="AFW42" i="1"/>
  <c r="AFW43" i="1" s="1"/>
  <c r="AFV42" i="1"/>
  <c r="AFV43" i="1" s="1"/>
  <c r="AFU42" i="1"/>
  <c r="AFU43" i="1" s="1"/>
  <c r="AFT42" i="1"/>
  <c r="AFT43" i="1" s="1"/>
  <c r="AFS42" i="1"/>
  <c r="AFS43" i="1" s="1"/>
  <c r="AFR42" i="1"/>
  <c r="AFR43" i="1" s="1"/>
  <c r="AFQ42" i="1"/>
  <c r="AFQ43" i="1" s="1"/>
  <c r="AFP42" i="1"/>
  <c r="AFP43" i="1" s="1"/>
  <c r="AFO42" i="1"/>
  <c r="AFO43" i="1" s="1"/>
  <c r="AFN42" i="1"/>
  <c r="AFN43" i="1" s="1"/>
  <c r="AFM42" i="1"/>
  <c r="AFL42" i="1"/>
  <c r="AFL43" i="1" s="1"/>
  <c r="AFK42" i="1"/>
  <c r="AFK43" i="1" s="1"/>
  <c r="AFJ42" i="1"/>
  <c r="AFJ43" i="1" s="1"/>
  <c r="AFI42" i="1"/>
  <c r="AFI43" i="1" s="1"/>
  <c r="AFH42" i="1"/>
  <c r="AFG42" i="1"/>
  <c r="AFG43" i="1" s="1"/>
  <c r="AFF42" i="1"/>
  <c r="AFF43" i="1" s="1"/>
  <c r="AFE42" i="1"/>
  <c r="AFE43" i="1" s="1"/>
  <c r="AFD42" i="1"/>
  <c r="AFD43" i="1" s="1"/>
  <c r="AFC42" i="1"/>
  <c r="AFC43" i="1" s="1"/>
  <c r="AFB42" i="1"/>
  <c r="AFB43" i="1" s="1"/>
  <c r="AFA42" i="1"/>
  <c r="AFA43" i="1" s="1"/>
  <c r="AEZ42" i="1"/>
  <c r="AEZ43" i="1" s="1"/>
  <c r="AEY42" i="1"/>
  <c r="AEY43" i="1" s="1"/>
  <c r="AEX42" i="1"/>
  <c r="AEX43" i="1" s="1"/>
  <c r="AEW42" i="1"/>
  <c r="AEW43" i="1" s="1"/>
  <c r="AEV42" i="1"/>
  <c r="AEV43" i="1" s="1"/>
  <c r="AEU42" i="1"/>
  <c r="AEU43" i="1" s="1"/>
  <c r="AET42" i="1"/>
  <c r="AET43" i="1" s="1"/>
  <c r="AES42" i="1"/>
  <c r="AES43" i="1" s="1"/>
  <c r="AER42" i="1"/>
  <c r="AER43" i="1" s="1"/>
  <c r="AEQ42" i="1"/>
  <c r="AEQ43" i="1" s="1"/>
  <c r="AEP42" i="1"/>
  <c r="AEP43" i="1" s="1"/>
  <c r="AEO42" i="1"/>
  <c r="AEO43" i="1" s="1"/>
  <c r="AEN42" i="1"/>
  <c r="AEN43" i="1" s="1"/>
  <c r="AEM42" i="1"/>
  <c r="AEM43" i="1" s="1"/>
  <c r="AEL42" i="1"/>
  <c r="AEL43" i="1" s="1"/>
  <c r="AEK42" i="1"/>
  <c r="AEK43" i="1" s="1"/>
  <c r="AEJ42" i="1"/>
  <c r="AEJ43" i="1" s="1"/>
  <c r="AEI42" i="1"/>
  <c r="AEI43" i="1" s="1"/>
  <c r="AEH42" i="1"/>
  <c r="AEH43" i="1" s="1"/>
  <c r="AEG42" i="1"/>
  <c r="AEG43" i="1" s="1"/>
  <c r="AEF42" i="1"/>
  <c r="AEF43" i="1" s="1"/>
  <c r="AEE42" i="1"/>
  <c r="AEE43" i="1" s="1"/>
  <c r="AED42" i="1"/>
  <c r="AED43" i="1" s="1"/>
  <c r="AEC42" i="1"/>
  <c r="AEC43" i="1" s="1"/>
  <c r="AEB42" i="1"/>
  <c r="AEB43" i="1" s="1"/>
  <c r="AEA42" i="1"/>
  <c r="AEA43" i="1" s="1"/>
  <c r="ADZ42" i="1"/>
  <c r="ADZ43" i="1" s="1"/>
  <c r="ADY42" i="1"/>
  <c r="ADY43" i="1" s="1"/>
  <c r="ADX42" i="1"/>
  <c r="ADX43" i="1" s="1"/>
  <c r="ADW42" i="1"/>
  <c r="ADW43" i="1" s="1"/>
  <c r="ADV42" i="1"/>
  <c r="ADV43" i="1" s="1"/>
  <c r="ADU42" i="1"/>
  <c r="ADU43" i="1" s="1"/>
  <c r="ADT42" i="1"/>
  <c r="ADT43" i="1" s="1"/>
  <c r="ADS42" i="1"/>
  <c r="ADS43" i="1" s="1"/>
  <c r="ADR42" i="1"/>
  <c r="ADR43" i="1" s="1"/>
  <c r="ADQ42" i="1"/>
  <c r="ADQ43" i="1" s="1"/>
  <c r="ADP42" i="1"/>
  <c r="ADP43" i="1" s="1"/>
  <c r="ADO42" i="1"/>
  <c r="ADO43" i="1" s="1"/>
  <c r="ADN42" i="1"/>
  <c r="ADN43" i="1" s="1"/>
  <c r="ADM42" i="1"/>
  <c r="ADL42" i="1"/>
  <c r="ADL43" i="1" s="1"/>
  <c r="ADK42" i="1"/>
  <c r="ADK43" i="1" s="1"/>
  <c r="ADJ42" i="1"/>
  <c r="ADJ43" i="1" s="1"/>
  <c r="ADI42" i="1"/>
  <c r="ADI43" i="1" s="1"/>
  <c r="ADH42" i="1"/>
  <c r="ADH43" i="1" s="1"/>
  <c r="ADG42" i="1"/>
  <c r="ADG43" i="1" s="1"/>
  <c r="ADF42" i="1"/>
  <c r="ADF43" i="1" s="1"/>
  <c r="ADE42" i="1"/>
  <c r="ADE43" i="1" s="1"/>
  <c r="ADD42" i="1"/>
  <c r="ADD43" i="1" s="1"/>
  <c r="ADC42" i="1"/>
  <c r="ADC43" i="1" s="1"/>
  <c r="ADB42" i="1"/>
  <c r="ADB43" i="1" s="1"/>
  <c r="ADA42" i="1"/>
  <c r="ADA43" i="1" s="1"/>
  <c r="ACZ42" i="1"/>
  <c r="ACZ43" i="1" s="1"/>
  <c r="ACY42" i="1"/>
  <c r="ACY43" i="1" s="1"/>
  <c r="ACX42" i="1"/>
  <c r="ACX43" i="1" s="1"/>
  <c r="ACW42" i="1"/>
  <c r="ACW43" i="1" s="1"/>
  <c r="ACV42" i="1"/>
  <c r="ACV43" i="1" s="1"/>
  <c r="ACU42" i="1"/>
  <c r="ACU43" i="1" s="1"/>
  <c r="ACT42" i="1"/>
  <c r="ACT43" i="1" s="1"/>
  <c r="ACS42" i="1"/>
  <c r="ACS43" i="1" s="1"/>
  <c r="ACR42" i="1"/>
  <c r="ACR43" i="1" s="1"/>
  <c r="ACQ42" i="1"/>
  <c r="ACQ43" i="1" s="1"/>
  <c r="ACP42" i="1"/>
  <c r="ACP43" i="1" s="1"/>
  <c r="ACO42" i="1"/>
  <c r="ACO43" i="1" s="1"/>
  <c r="ACN42" i="1"/>
  <c r="ACN43" i="1" s="1"/>
  <c r="ACM42" i="1"/>
  <c r="ACM43" i="1" s="1"/>
  <c r="ACL42" i="1"/>
  <c r="ACL43" i="1" s="1"/>
  <c r="ACK42" i="1"/>
  <c r="ACK43" i="1" s="1"/>
  <c r="ACJ42" i="1"/>
  <c r="ACJ43" i="1" s="1"/>
  <c r="ACI42" i="1"/>
  <c r="ACI43" i="1" s="1"/>
  <c r="ACH42" i="1"/>
  <c r="ACH43" i="1" s="1"/>
  <c r="ACG42" i="1"/>
  <c r="ACG43" i="1" s="1"/>
  <c r="ACF42" i="1"/>
  <c r="ACF43" i="1" s="1"/>
  <c r="ACE42" i="1"/>
  <c r="ACE43" i="1" s="1"/>
  <c r="ACD42" i="1"/>
  <c r="ACD43" i="1" s="1"/>
  <c r="ACC42" i="1"/>
  <c r="ACC43" i="1" s="1"/>
  <c r="ACB42" i="1"/>
  <c r="ACB43" i="1" s="1"/>
  <c r="ACA42" i="1"/>
  <c r="ACA43" i="1" s="1"/>
  <c r="ABZ42" i="1"/>
  <c r="ABZ43" i="1" s="1"/>
  <c r="ABY42" i="1"/>
  <c r="ABY43" i="1" s="1"/>
  <c r="ABX42" i="1"/>
  <c r="ABX43" i="1" s="1"/>
  <c r="ABW42" i="1"/>
  <c r="ABW43" i="1" s="1"/>
  <c r="ABV42" i="1"/>
  <c r="ABV43" i="1" s="1"/>
  <c r="ABU42" i="1"/>
  <c r="ABU43" i="1" s="1"/>
  <c r="ABT42" i="1"/>
  <c r="ABT43" i="1" s="1"/>
  <c r="ABS42" i="1"/>
  <c r="ABS43" i="1" s="1"/>
  <c r="ABR42" i="1"/>
  <c r="ABQ42" i="1"/>
  <c r="ABQ43" i="1" s="1"/>
  <c r="ABP42" i="1"/>
  <c r="ABP43" i="1" s="1"/>
  <c r="ABO42" i="1"/>
  <c r="ABO43" i="1" s="1"/>
  <c r="ABN42" i="1"/>
  <c r="ABN43" i="1" s="1"/>
  <c r="ABM42" i="1"/>
  <c r="ABM43" i="1" s="1"/>
  <c r="ABL42" i="1"/>
  <c r="ABL43" i="1" s="1"/>
  <c r="ABK42" i="1"/>
  <c r="ABK43" i="1" s="1"/>
  <c r="ABJ42" i="1"/>
  <c r="ABJ43" i="1" s="1"/>
  <c r="ABI42" i="1"/>
  <c r="ABI43" i="1" s="1"/>
  <c r="ABH42" i="1"/>
  <c r="ABH43" i="1" s="1"/>
  <c r="ABG42" i="1"/>
  <c r="ABG43" i="1" s="1"/>
  <c r="ABF42" i="1"/>
  <c r="ABF43" i="1" s="1"/>
  <c r="ABE42" i="1"/>
  <c r="ABE43" i="1" s="1"/>
  <c r="ABD42" i="1"/>
  <c r="ABD43" i="1" s="1"/>
  <c r="ABC42" i="1"/>
  <c r="ABC43" i="1" s="1"/>
  <c r="ABB42" i="1"/>
  <c r="ABB43" i="1" s="1"/>
  <c r="ABA42" i="1"/>
  <c r="ABA43" i="1" s="1"/>
  <c r="AAZ42" i="1"/>
  <c r="AAZ43" i="1" s="1"/>
  <c r="AAY42" i="1"/>
  <c r="AAY43" i="1" s="1"/>
  <c r="AAX42" i="1"/>
  <c r="AAX43" i="1" s="1"/>
  <c r="AAW42" i="1"/>
  <c r="AAW43" i="1" s="1"/>
  <c r="AAV42" i="1"/>
  <c r="AAV43" i="1" s="1"/>
  <c r="AAU42" i="1"/>
  <c r="AAU43" i="1" s="1"/>
  <c r="AAT42" i="1"/>
  <c r="AAT43" i="1" s="1"/>
  <c r="AAS42" i="1"/>
  <c r="AAS43" i="1" s="1"/>
  <c r="AAR42" i="1"/>
  <c r="AAR43" i="1" s="1"/>
  <c r="AAQ42" i="1"/>
  <c r="AAQ43" i="1" s="1"/>
  <c r="AAP42" i="1"/>
  <c r="AAP43" i="1" s="1"/>
  <c r="AAO42" i="1"/>
  <c r="AAO43" i="1" s="1"/>
  <c r="AAN42" i="1"/>
  <c r="AAN43" i="1" s="1"/>
  <c r="AAM42" i="1"/>
  <c r="AAM43" i="1" s="1"/>
  <c r="AAL42" i="1"/>
  <c r="AAL43" i="1" s="1"/>
  <c r="AAK42" i="1"/>
  <c r="AAK43" i="1" s="1"/>
  <c r="AAJ42" i="1"/>
  <c r="AAJ43" i="1" s="1"/>
  <c r="AAI42" i="1"/>
  <c r="AAI43" i="1" s="1"/>
  <c r="AAH42" i="1"/>
  <c r="AAH43" i="1" s="1"/>
  <c r="AAG42" i="1"/>
  <c r="AAG43" i="1" s="1"/>
  <c r="AAF42" i="1"/>
  <c r="AAF43" i="1" s="1"/>
  <c r="AAE42" i="1"/>
  <c r="AAE43" i="1" s="1"/>
  <c r="AAD42" i="1"/>
  <c r="AAD43" i="1" s="1"/>
  <c r="AAC42" i="1"/>
  <c r="AAC43" i="1" s="1"/>
  <c r="AAB42" i="1"/>
  <c r="AAB43" i="1" s="1"/>
  <c r="AAA42" i="1"/>
  <c r="AAA43" i="1" s="1"/>
  <c r="ZZ42" i="1"/>
  <c r="ZZ43" i="1" s="1"/>
  <c r="ZY42" i="1"/>
  <c r="ZY43" i="1" s="1"/>
  <c r="ZX42" i="1"/>
  <c r="ZX43" i="1" s="1"/>
  <c r="ZW42" i="1"/>
  <c r="ZW43" i="1" s="1"/>
  <c r="ZV42" i="1"/>
  <c r="ZU42" i="1"/>
  <c r="ZU43" i="1" s="1"/>
  <c r="ZT42" i="1"/>
  <c r="ZT43" i="1" s="1"/>
  <c r="ZS42" i="1"/>
  <c r="ZS43" i="1" s="1"/>
  <c r="ZR42" i="1"/>
  <c r="ZR43" i="1" s="1"/>
  <c r="ZQ42" i="1"/>
  <c r="ZQ43" i="1" s="1"/>
  <c r="ZP42" i="1"/>
  <c r="ZP43" i="1" s="1"/>
  <c r="ZO42" i="1"/>
  <c r="ZO43" i="1" s="1"/>
  <c r="ZN42" i="1"/>
  <c r="ZN43" i="1" s="1"/>
  <c r="ZM42" i="1"/>
  <c r="ZM43" i="1" s="1"/>
  <c r="ZL42" i="1"/>
  <c r="ZL43" i="1" s="1"/>
  <c r="ZK42" i="1"/>
  <c r="ZK43" i="1" s="1"/>
  <c r="ZJ42" i="1"/>
  <c r="ZJ43" i="1" s="1"/>
  <c r="ZI42" i="1"/>
  <c r="ZI43" i="1" s="1"/>
  <c r="ZH42" i="1"/>
  <c r="ZH43" i="1" s="1"/>
  <c r="ZG42" i="1"/>
  <c r="ZG43" i="1" s="1"/>
  <c r="ZF42" i="1"/>
  <c r="ZF43" i="1" s="1"/>
  <c r="ZE42" i="1"/>
  <c r="ZE43" i="1" s="1"/>
  <c r="ZD42" i="1"/>
  <c r="ZD43" i="1" s="1"/>
  <c r="ZC42" i="1"/>
  <c r="ZC43" i="1" s="1"/>
  <c r="ZB42" i="1"/>
  <c r="ZB43" i="1" s="1"/>
  <c r="ZA42" i="1"/>
  <c r="ZA43" i="1" s="1"/>
  <c r="YZ42" i="1"/>
  <c r="YZ43" i="1" s="1"/>
  <c r="YY42" i="1"/>
  <c r="YY43" i="1" s="1"/>
  <c r="YX42" i="1"/>
  <c r="YX43" i="1" s="1"/>
  <c r="YW42" i="1"/>
  <c r="YW43" i="1" s="1"/>
  <c r="YV42" i="1"/>
  <c r="YV43" i="1" s="1"/>
  <c r="YU42" i="1"/>
  <c r="YU43" i="1" s="1"/>
  <c r="YT42" i="1"/>
  <c r="YT43" i="1" s="1"/>
  <c r="YS42" i="1"/>
  <c r="YS43" i="1" s="1"/>
  <c r="YR42" i="1"/>
  <c r="YR43" i="1" s="1"/>
  <c r="YQ42" i="1"/>
  <c r="YQ43" i="1" s="1"/>
  <c r="YP42" i="1"/>
  <c r="YP43" i="1" s="1"/>
  <c r="YO42" i="1"/>
  <c r="YO43" i="1" s="1"/>
  <c r="YN42" i="1"/>
  <c r="YN43" i="1" s="1"/>
  <c r="YM42" i="1"/>
  <c r="YM43" i="1" s="1"/>
  <c r="YL42" i="1"/>
  <c r="YL43" i="1" s="1"/>
  <c r="YK42" i="1"/>
  <c r="YK43" i="1" s="1"/>
  <c r="YJ42" i="1"/>
  <c r="YJ43" i="1" s="1"/>
  <c r="YI42" i="1"/>
  <c r="YI43" i="1" s="1"/>
  <c r="YH42" i="1"/>
  <c r="YH43" i="1" s="1"/>
  <c r="YG42" i="1"/>
  <c r="YG43" i="1" s="1"/>
  <c r="YF42" i="1"/>
  <c r="YF43" i="1" s="1"/>
  <c r="YE42" i="1"/>
  <c r="YE43" i="1" s="1"/>
  <c r="YD42" i="1"/>
  <c r="YD43" i="1" s="1"/>
  <c r="YC42" i="1"/>
  <c r="YC43" i="1" s="1"/>
  <c r="YB42" i="1"/>
  <c r="YB43" i="1" s="1"/>
  <c r="YA42" i="1"/>
  <c r="YA43" i="1" s="1"/>
  <c r="XZ42" i="1"/>
  <c r="XZ43" i="1" s="1"/>
  <c r="XY42" i="1"/>
  <c r="XY43" i="1" s="1"/>
  <c r="XX42" i="1"/>
  <c r="XX43" i="1" s="1"/>
  <c r="XW42" i="1"/>
  <c r="XW43" i="1" s="1"/>
  <c r="XV42" i="1"/>
  <c r="XV43" i="1" s="1"/>
  <c r="XU42" i="1"/>
  <c r="XU43" i="1" s="1"/>
  <c r="XT42" i="1"/>
  <c r="XT43" i="1" s="1"/>
  <c r="XS42" i="1"/>
  <c r="XS43" i="1" s="1"/>
  <c r="XR42" i="1"/>
  <c r="XR43" i="1" s="1"/>
  <c r="XQ42" i="1"/>
  <c r="XQ43" i="1" s="1"/>
  <c r="XP42" i="1"/>
  <c r="XP43" i="1" s="1"/>
  <c r="XO42" i="1"/>
  <c r="XO43" i="1" s="1"/>
  <c r="XN42" i="1"/>
  <c r="XN43" i="1" s="1"/>
  <c r="XM42" i="1"/>
  <c r="XM43" i="1" s="1"/>
  <c r="XL42" i="1"/>
  <c r="XL43" i="1" s="1"/>
  <c r="XK42" i="1"/>
  <c r="XK43" i="1" s="1"/>
  <c r="XJ42" i="1"/>
  <c r="XJ43" i="1" s="1"/>
  <c r="XI42" i="1"/>
  <c r="XI43" i="1" s="1"/>
  <c r="XH42" i="1"/>
  <c r="XH43" i="1" s="1"/>
  <c r="XG42" i="1"/>
  <c r="XG43" i="1" s="1"/>
  <c r="XF42" i="1"/>
  <c r="XF43" i="1" s="1"/>
  <c r="XE42" i="1"/>
  <c r="XE43" i="1" s="1"/>
  <c r="XD42" i="1"/>
  <c r="XD43" i="1" s="1"/>
  <c r="XC42" i="1"/>
  <c r="XC43" i="1" s="1"/>
  <c r="XB42" i="1"/>
  <c r="XB43" i="1" s="1"/>
  <c r="XA42" i="1"/>
  <c r="XA43" i="1" s="1"/>
  <c r="WZ42" i="1"/>
  <c r="WZ43" i="1" s="1"/>
  <c r="WY42" i="1"/>
  <c r="WY43" i="1" s="1"/>
  <c r="WX42" i="1"/>
  <c r="WX43" i="1" s="1"/>
  <c r="WW42" i="1"/>
  <c r="WW43" i="1" s="1"/>
  <c r="WV42" i="1"/>
  <c r="WV43" i="1" s="1"/>
  <c r="WU42" i="1"/>
  <c r="WU43" i="1" s="1"/>
  <c r="WT42" i="1"/>
  <c r="WT43" i="1" s="1"/>
  <c r="WS42" i="1"/>
  <c r="WS43" i="1" s="1"/>
  <c r="WR42" i="1"/>
  <c r="WR43" i="1" s="1"/>
  <c r="WQ42" i="1"/>
  <c r="WQ43" i="1" s="1"/>
  <c r="WP42" i="1"/>
  <c r="WP43" i="1" s="1"/>
  <c r="WO42" i="1"/>
  <c r="WO43" i="1" s="1"/>
  <c r="WN42" i="1"/>
  <c r="WN43" i="1" s="1"/>
  <c r="WM42" i="1"/>
  <c r="WM43" i="1" s="1"/>
  <c r="WL42" i="1"/>
  <c r="WL43" i="1" s="1"/>
  <c r="WK42" i="1"/>
  <c r="WK43" i="1" s="1"/>
  <c r="WJ42" i="1"/>
  <c r="WJ43" i="1" s="1"/>
  <c r="WI42" i="1"/>
  <c r="WI43" i="1" s="1"/>
  <c r="WH42" i="1"/>
  <c r="WH43" i="1" s="1"/>
  <c r="WG42" i="1"/>
  <c r="WG43" i="1" s="1"/>
  <c r="WF42" i="1"/>
  <c r="WF43" i="1" s="1"/>
  <c r="WE42" i="1"/>
  <c r="WE43" i="1" s="1"/>
  <c r="WD42" i="1"/>
  <c r="WD43" i="1" s="1"/>
  <c r="WC42" i="1"/>
  <c r="WC43" i="1" s="1"/>
  <c r="WB42" i="1"/>
  <c r="WB43" i="1" s="1"/>
  <c r="WA42" i="1"/>
  <c r="WA43" i="1" s="1"/>
  <c r="VZ42" i="1"/>
  <c r="VZ43" i="1" s="1"/>
  <c r="VY42" i="1"/>
  <c r="VY43" i="1" s="1"/>
  <c r="VX42" i="1"/>
  <c r="VX43" i="1" s="1"/>
  <c r="VW42" i="1"/>
  <c r="VW43" i="1" s="1"/>
  <c r="VV42" i="1"/>
  <c r="VV43" i="1" s="1"/>
  <c r="VU42" i="1"/>
  <c r="VU43" i="1" s="1"/>
  <c r="VT42" i="1"/>
  <c r="VT43" i="1" s="1"/>
  <c r="VS42" i="1"/>
  <c r="VS43" i="1" s="1"/>
  <c r="VR42" i="1"/>
  <c r="VR43" i="1" s="1"/>
  <c r="VQ42" i="1"/>
  <c r="VQ43" i="1" s="1"/>
  <c r="VP42" i="1"/>
  <c r="VP43" i="1" s="1"/>
  <c r="VO42" i="1"/>
  <c r="VO43" i="1" s="1"/>
  <c r="VN42" i="1"/>
  <c r="VN43" i="1" s="1"/>
  <c r="VM42" i="1"/>
  <c r="VM43" i="1" s="1"/>
  <c r="VL42" i="1"/>
  <c r="VL43" i="1" s="1"/>
  <c r="VK42" i="1"/>
  <c r="VK43" i="1" s="1"/>
  <c r="VJ42" i="1"/>
  <c r="VJ43" i="1" s="1"/>
  <c r="VI42" i="1"/>
  <c r="VI43" i="1" s="1"/>
  <c r="VH42" i="1"/>
  <c r="VH43" i="1" s="1"/>
  <c r="VG42" i="1"/>
  <c r="VG43" i="1" s="1"/>
  <c r="VF42" i="1"/>
  <c r="VF43" i="1" s="1"/>
  <c r="VE42" i="1"/>
  <c r="VE43" i="1" s="1"/>
  <c r="VD42" i="1"/>
  <c r="VD43" i="1" s="1"/>
  <c r="VC42" i="1"/>
  <c r="VC43" i="1" s="1"/>
  <c r="VB42" i="1"/>
  <c r="VB43" i="1" s="1"/>
  <c r="VA42" i="1"/>
  <c r="VA43" i="1" s="1"/>
  <c r="UZ42" i="1"/>
  <c r="UZ43" i="1" s="1"/>
  <c r="UY42" i="1"/>
  <c r="UY43" i="1" s="1"/>
  <c r="UX42" i="1"/>
  <c r="UX43" i="1" s="1"/>
  <c r="UW42" i="1"/>
  <c r="UW43" i="1" s="1"/>
  <c r="UV42" i="1"/>
  <c r="UV43" i="1" s="1"/>
  <c r="UU42" i="1"/>
  <c r="UU43" i="1" s="1"/>
  <c r="UT42" i="1"/>
  <c r="UT43" i="1" s="1"/>
  <c r="US42" i="1"/>
  <c r="US43" i="1" s="1"/>
  <c r="UR42" i="1"/>
  <c r="UR43" i="1" s="1"/>
  <c r="UQ42" i="1"/>
  <c r="UQ43" i="1" s="1"/>
  <c r="UP42" i="1"/>
  <c r="UP43" i="1" s="1"/>
  <c r="UO42" i="1"/>
  <c r="UO43" i="1" s="1"/>
  <c r="UN42" i="1"/>
  <c r="UN43" i="1" s="1"/>
  <c r="UM42" i="1"/>
  <c r="UM43" i="1" s="1"/>
  <c r="UL42" i="1"/>
  <c r="UL43" i="1" s="1"/>
  <c r="UK42" i="1"/>
  <c r="UJ42" i="1"/>
  <c r="UJ43" i="1" s="1"/>
  <c r="UI42" i="1"/>
  <c r="UI43" i="1" s="1"/>
  <c r="UH42" i="1"/>
  <c r="UH43" i="1" s="1"/>
  <c r="UG42" i="1"/>
  <c r="UG43" i="1" s="1"/>
  <c r="UF42" i="1"/>
  <c r="UF43" i="1" s="1"/>
  <c r="UE42" i="1"/>
  <c r="UE43" i="1" s="1"/>
  <c r="UD42" i="1"/>
  <c r="UD43" i="1" s="1"/>
  <c r="UC42" i="1"/>
  <c r="UC43" i="1" s="1"/>
  <c r="UB42" i="1"/>
  <c r="UB43" i="1" s="1"/>
  <c r="UA42" i="1"/>
  <c r="UA43" i="1" s="1"/>
  <c r="TZ42" i="1"/>
  <c r="TZ43" i="1" s="1"/>
  <c r="TY42" i="1"/>
  <c r="TY43" i="1" s="1"/>
  <c r="TX42" i="1"/>
  <c r="TX43" i="1" s="1"/>
  <c r="TW42" i="1"/>
  <c r="TW43" i="1" s="1"/>
  <c r="TV42" i="1"/>
  <c r="TV43" i="1" s="1"/>
  <c r="TU42" i="1"/>
  <c r="TU43" i="1" s="1"/>
  <c r="TT42" i="1"/>
  <c r="TT43" i="1" s="1"/>
  <c r="TS42" i="1"/>
  <c r="TS43" i="1" s="1"/>
  <c r="TR42" i="1"/>
  <c r="TR43" i="1" s="1"/>
  <c r="TQ42" i="1"/>
  <c r="TQ43" i="1" s="1"/>
  <c r="TP42" i="1"/>
  <c r="TP43" i="1" s="1"/>
  <c r="TO42" i="1"/>
  <c r="TO43" i="1" s="1"/>
  <c r="TN42" i="1"/>
  <c r="TN43" i="1" s="1"/>
  <c r="TM42" i="1"/>
  <c r="TM43" i="1" s="1"/>
  <c r="TL42" i="1"/>
  <c r="TL43" i="1" s="1"/>
  <c r="TK42" i="1"/>
  <c r="TK43" i="1" s="1"/>
  <c r="TJ42" i="1"/>
  <c r="TJ43" i="1" s="1"/>
  <c r="TI42" i="1"/>
  <c r="TI43" i="1" s="1"/>
  <c r="TH42" i="1"/>
  <c r="TH43" i="1" s="1"/>
  <c r="TG42" i="1"/>
  <c r="TG43" i="1" s="1"/>
  <c r="TF42" i="1"/>
  <c r="TF43" i="1" s="1"/>
  <c r="TE42" i="1"/>
  <c r="TE43" i="1" s="1"/>
  <c r="TD42" i="1"/>
  <c r="TD43" i="1" s="1"/>
  <c r="TC42" i="1"/>
  <c r="TC43" i="1" s="1"/>
  <c r="TB42" i="1"/>
  <c r="TB43" i="1" s="1"/>
  <c r="TA42" i="1"/>
  <c r="TA43" i="1" s="1"/>
  <c r="SZ42" i="1"/>
  <c r="SZ43" i="1" s="1"/>
  <c r="SY42" i="1"/>
  <c r="SY43" i="1" s="1"/>
  <c r="SX42" i="1"/>
  <c r="SX43" i="1" s="1"/>
  <c r="SW42" i="1"/>
  <c r="SW43" i="1" s="1"/>
  <c r="SV42" i="1"/>
  <c r="SV43" i="1" s="1"/>
  <c r="SU42" i="1"/>
  <c r="SU43" i="1" s="1"/>
  <c r="ST42" i="1"/>
  <c r="ST43" i="1" s="1"/>
  <c r="SS42" i="1"/>
  <c r="SS43" i="1" s="1"/>
  <c r="SR42" i="1"/>
  <c r="SR43" i="1" s="1"/>
  <c r="SQ42" i="1"/>
  <c r="SQ43" i="1" s="1"/>
  <c r="SP42" i="1"/>
  <c r="SP43" i="1" s="1"/>
  <c r="SO42" i="1"/>
  <c r="SO43" i="1" s="1"/>
  <c r="SN42" i="1"/>
  <c r="SN43" i="1" s="1"/>
  <c r="SM42" i="1"/>
  <c r="SM43" i="1" s="1"/>
  <c r="SL42" i="1"/>
  <c r="SL43" i="1" s="1"/>
  <c r="SK42" i="1"/>
  <c r="SK43" i="1" s="1"/>
  <c r="SJ42" i="1"/>
  <c r="SJ43" i="1" s="1"/>
  <c r="SI42" i="1"/>
  <c r="SI43" i="1" s="1"/>
  <c r="SH42" i="1"/>
  <c r="SH43" i="1" s="1"/>
  <c r="SG42" i="1"/>
  <c r="SG43" i="1" s="1"/>
  <c r="SF42" i="1"/>
  <c r="SF43" i="1" s="1"/>
  <c r="SE42" i="1"/>
  <c r="SE43" i="1" s="1"/>
  <c r="SD42" i="1"/>
  <c r="SD43" i="1" s="1"/>
  <c r="SC42" i="1"/>
  <c r="SC43" i="1" s="1"/>
  <c r="SB42" i="1"/>
  <c r="SB43" i="1" s="1"/>
  <c r="SA42" i="1"/>
  <c r="SA43" i="1" s="1"/>
  <c r="RZ42" i="1"/>
  <c r="RZ43" i="1" s="1"/>
  <c r="RY42" i="1"/>
  <c r="RY43" i="1" s="1"/>
  <c r="RX42" i="1"/>
  <c r="RX43" i="1" s="1"/>
  <c r="RW42" i="1"/>
  <c r="RW43" i="1" s="1"/>
  <c r="RV42" i="1"/>
  <c r="RV43" i="1" s="1"/>
  <c r="RU42" i="1"/>
  <c r="RU43" i="1" s="1"/>
  <c r="RT42" i="1"/>
  <c r="RT43" i="1" s="1"/>
  <c r="RS42" i="1"/>
  <c r="RS43" i="1" s="1"/>
  <c r="RR42" i="1"/>
  <c r="RR43" i="1" s="1"/>
  <c r="RQ42" i="1"/>
  <c r="RQ43" i="1" s="1"/>
  <c r="RP42" i="1"/>
  <c r="RP43" i="1" s="1"/>
  <c r="RO42" i="1"/>
  <c r="RO43" i="1" s="1"/>
  <c r="RN42" i="1"/>
  <c r="RN43" i="1" s="1"/>
  <c r="RM42" i="1"/>
  <c r="RM43" i="1" s="1"/>
  <c r="RL42" i="1"/>
  <c r="RL43" i="1" s="1"/>
  <c r="RK42" i="1"/>
  <c r="RK43" i="1" s="1"/>
  <c r="RJ42" i="1"/>
  <c r="RJ43" i="1" s="1"/>
  <c r="RI42" i="1"/>
  <c r="RI43" i="1" s="1"/>
  <c r="RH42" i="1"/>
  <c r="RH43" i="1" s="1"/>
  <c r="RG42" i="1"/>
  <c r="RG43" i="1" s="1"/>
  <c r="RF42" i="1"/>
  <c r="RF43" i="1" s="1"/>
  <c r="RE42" i="1"/>
  <c r="RE43" i="1" s="1"/>
  <c r="RD42" i="1"/>
  <c r="RD43" i="1" s="1"/>
  <c r="RC42" i="1"/>
  <c r="RC43" i="1" s="1"/>
  <c r="RB42" i="1"/>
  <c r="RB43" i="1" s="1"/>
  <c r="RA42" i="1"/>
  <c r="QZ42" i="1"/>
  <c r="QZ43" i="1" s="1"/>
  <c r="QY42" i="1"/>
  <c r="QY43" i="1" s="1"/>
  <c r="QX42" i="1"/>
  <c r="QX43" i="1" s="1"/>
  <c r="QW42" i="1"/>
  <c r="QW43" i="1" s="1"/>
  <c r="QV42" i="1"/>
  <c r="QV43" i="1" s="1"/>
  <c r="QU42" i="1"/>
  <c r="QU43" i="1" s="1"/>
  <c r="QT42" i="1"/>
  <c r="QT43" i="1" s="1"/>
  <c r="QS42" i="1"/>
  <c r="QS43" i="1" s="1"/>
  <c r="QR42" i="1"/>
  <c r="QR43" i="1" s="1"/>
  <c r="QQ42" i="1"/>
  <c r="QQ43" i="1" s="1"/>
  <c r="QP42" i="1"/>
  <c r="QP43" i="1" s="1"/>
  <c r="QO42" i="1"/>
  <c r="QO43" i="1" s="1"/>
  <c r="QN42" i="1"/>
  <c r="QN43" i="1" s="1"/>
  <c r="QM42" i="1"/>
  <c r="QM43" i="1" s="1"/>
  <c r="QL42" i="1"/>
  <c r="QL43" i="1" s="1"/>
  <c r="QK42" i="1"/>
  <c r="QK43" i="1" s="1"/>
  <c r="QJ42" i="1"/>
  <c r="QJ43" i="1" s="1"/>
  <c r="QI42" i="1"/>
  <c r="QI43" i="1" s="1"/>
  <c r="QH42" i="1"/>
  <c r="QH43" i="1" s="1"/>
  <c r="QG42" i="1"/>
  <c r="QG43" i="1" s="1"/>
  <c r="QF42" i="1"/>
  <c r="QF43" i="1" s="1"/>
  <c r="QE42" i="1"/>
  <c r="QE43" i="1" s="1"/>
  <c r="QD42" i="1"/>
  <c r="QD43" i="1" s="1"/>
  <c r="QC42" i="1"/>
  <c r="QC43" i="1" s="1"/>
  <c r="QB42" i="1"/>
  <c r="QB43" i="1" s="1"/>
  <c r="QA42" i="1"/>
  <c r="QA43" i="1" s="1"/>
  <c r="PZ42" i="1"/>
  <c r="PZ43" i="1" s="1"/>
  <c r="PY42" i="1"/>
  <c r="PY43" i="1" s="1"/>
  <c r="PX42" i="1"/>
  <c r="PX43" i="1" s="1"/>
  <c r="PW42" i="1"/>
  <c r="PW43" i="1" s="1"/>
  <c r="PV42" i="1"/>
  <c r="PV43" i="1" s="1"/>
  <c r="PU42" i="1"/>
  <c r="PU43" i="1" s="1"/>
  <c r="PT42" i="1"/>
  <c r="PT43" i="1" s="1"/>
  <c r="PS42" i="1"/>
  <c r="PS43" i="1" s="1"/>
  <c r="PR42" i="1"/>
  <c r="PR43" i="1" s="1"/>
  <c r="PQ42" i="1"/>
  <c r="PQ43" i="1" s="1"/>
  <c r="PP42" i="1"/>
  <c r="PP43" i="1" s="1"/>
  <c r="PO42" i="1"/>
  <c r="PO43" i="1" s="1"/>
  <c r="PN42" i="1"/>
  <c r="PN43" i="1" s="1"/>
  <c r="PM42" i="1"/>
  <c r="PM43" i="1" s="1"/>
  <c r="PL42" i="1"/>
  <c r="PL43" i="1" s="1"/>
  <c r="PK42" i="1"/>
  <c r="PK43" i="1" s="1"/>
  <c r="PJ42" i="1"/>
  <c r="PJ43" i="1" s="1"/>
  <c r="PI42" i="1"/>
  <c r="PI43" i="1" s="1"/>
  <c r="PH42" i="1"/>
  <c r="PH43" i="1" s="1"/>
  <c r="PG42" i="1"/>
  <c r="PG43" i="1" s="1"/>
  <c r="PF42" i="1"/>
  <c r="PF43" i="1" s="1"/>
  <c r="PE42" i="1"/>
  <c r="PD42" i="1"/>
  <c r="PD43" i="1" s="1"/>
  <c r="PC42" i="1"/>
  <c r="PC43" i="1" s="1"/>
  <c r="PB42" i="1"/>
  <c r="PB43" i="1" s="1"/>
  <c r="PA42" i="1"/>
  <c r="PA43" i="1" s="1"/>
  <c r="OZ42" i="1"/>
  <c r="OY42" i="1"/>
  <c r="OY43" i="1" s="1"/>
  <c r="OX42" i="1"/>
  <c r="OX43" i="1" s="1"/>
  <c r="OW42" i="1"/>
  <c r="OW43" i="1" s="1"/>
  <c r="OV42" i="1"/>
  <c r="OV43" i="1" s="1"/>
  <c r="OU42" i="1"/>
  <c r="OU43" i="1" s="1"/>
  <c r="OT42" i="1"/>
  <c r="OT43" i="1" s="1"/>
  <c r="OS42" i="1"/>
  <c r="OS43" i="1" s="1"/>
  <c r="OR42" i="1"/>
  <c r="OR43" i="1" s="1"/>
  <c r="OQ42" i="1"/>
  <c r="OQ43" i="1" s="1"/>
  <c r="OP42" i="1"/>
  <c r="OP43" i="1" s="1"/>
  <c r="OO42" i="1"/>
  <c r="OO43" i="1" s="1"/>
  <c r="ON42" i="1"/>
  <c r="ON43" i="1" s="1"/>
  <c r="OM42" i="1"/>
  <c r="OM43" i="1" s="1"/>
  <c r="OL42" i="1"/>
  <c r="OL43" i="1" s="1"/>
  <c r="OK42" i="1"/>
  <c r="OK43" i="1" s="1"/>
  <c r="OJ42" i="1"/>
  <c r="OJ43" i="1" s="1"/>
  <c r="OI42" i="1"/>
  <c r="OI43" i="1" s="1"/>
  <c r="OH42" i="1"/>
  <c r="OH43" i="1" s="1"/>
  <c r="OG42" i="1"/>
  <c r="OG43" i="1" s="1"/>
  <c r="OF42" i="1"/>
  <c r="OF43" i="1" s="1"/>
  <c r="OE42" i="1"/>
  <c r="OE43" i="1" s="1"/>
  <c r="OD42" i="1"/>
  <c r="OD43" i="1" s="1"/>
  <c r="OC42" i="1"/>
  <c r="OC43" i="1" s="1"/>
  <c r="OB42" i="1"/>
  <c r="OB43" i="1" s="1"/>
  <c r="OA42" i="1"/>
  <c r="OA43" i="1" s="1"/>
  <c r="NZ42" i="1"/>
  <c r="NZ43" i="1" s="1"/>
  <c r="NY42" i="1"/>
  <c r="NY43" i="1" s="1"/>
  <c r="NX42" i="1"/>
  <c r="NX43" i="1" s="1"/>
  <c r="NW42" i="1"/>
  <c r="NW43" i="1" s="1"/>
  <c r="NV42" i="1"/>
  <c r="NV43" i="1" s="1"/>
  <c r="NU42" i="1"/>
  <c r="NU43" i="1" s="1"/>
  <c r="NT42" i="1"/>
  <c r="NT43" i="1" s="1"/>
  <c r="NS42" i="1"/>
  <c r="NS43" i="1" s="1"/>
  <c r="NR42" i="1"/>
  <c r="NR43" i="1" s="1"/>
  <c r="NQ42" i="1"/>
  <c r="NQ43" i="1" s="1"/>
  <c r="NP42" i="1"/>
  <c r="NP43" i="1" s="1"/>
  <c r="NO42" i="1"/>
  <c r="NO43" i="1" s="1"/>
  <c r="NN42" i="1"/>
  <c r="NN43" i="1" s="1"/>
  <c r="NM42" i="1"/>
  <c r="NM43" i="1" s="1"/>
  <c r="NL42" i="1"/>
  <c r="NL43" i="1" s="1"/>
  <c r="NK42" i="1"/>
  <c r="NK43" i="1" s="1"/>
  <c r="NJ42" i="1"/>
  <c r="NI42" i="1"/>
  <c r="NI43" i="1" s="1"/>
  <c r="NH42" i="1"/>
  <c r="NH43" i="1" s="1"/>
  <c r="NG42" i="1"/>
  <c r="NG43" i="1" s="1"/>
  <c r="NF42" i="1"/>
  <c r="NF43" i="1" s="1"/>
  <c r="NE42" i="1"/>
  <c r="NE43" i="1" s="1"/>
  <c r="ND42" i="1"/>
  <c r="NC42" i="1"/>
  <c r="NC43" i="1" s="1"/>
  <c r="NB42" i="1"/>
  <c r="NB43" i="1" s="1"/>
  <c r="NA42" i="1"/>
  <c r="NA43" i="1" s="1"/>
  <c r="MZ42" i="1"/>
  <c r="MZ43" i="1" s="1"/>
  <c r="MY42" i="1"/>
  <c r="MY43" i="1" s="1"/>
  <c r="MX42" i="1"/>
  <c r="MX43" i="1" s="1"/>
  <c r="MW42" i="1"/>
  <c r="MW43" i="1" s="1"/>
  <c r="MV42" i="1"/>
  <c r="MV43" i="1" s="1"/>
  <c r="MU42" i="1"/>
  <c r="MU43" i="1" s="1"/>
  <c r="MT42" i="1"/>
  <c r="MT43" i="1" s="1"/>
  <c r="MS42" i="1"/>
  <c r="MS43" i="1" s="1"/>
  <c r="MR42" i="1"/>
  <c r="MR43" i="1" s="1"/>
  <c r="MQ42" i="1"/>
  <c r="MQ43" i="1" s="1"/>
  <c r="MP42" i="1"/>
  <c r="MP43" i="1" s="1"/>
  <c r="MO42" i="1"/>
  <c r="MO43" i="1" s="1"/>
  <c r="MN42" i="1"/>
  <c r="MN43" i="1" s="1"/>
  <c r="MM42" i="1"/>
  <c r="MM43" i="1" s="1"/>
  <c r="ML42" i="1"/>
  <c r="ML43" i="1" s="1"/>
  <c r="MK42" i="1"/>
  <c r="MK43" i="1" s="1"/>
  <c r="MJ42" i="1"/>
  <c r="MJ43" i="1" s="1"/>
  <c r="MI42" i="1"/>
  <c r="MI43" i="1" s="1"/>
  <c r="MH42" i="1"/>
  <c r="MH43" i="1" s="1"/>
  <c r="MG42" i="1"/>
  <c r="MG43" i="1" s="1"/>
  <c r="MF42" i="1"/>
  <c r="MF43" i="1" s="1"/>
  <c r="ME42" i="1"/>
  <c r="ME43" i="1" s="1"/>
  <c r="MD42" i="1"/>
  <c r="MD43" i="1" s="1"/>
  <c r="MC42" i="1"/>
  <c r="MC43" i="1" s="1"/>
  <c r="MB42" i="1"/>
  <c r="MB43" i="1" s="1"/>
  <c r="MA42" i="1"/>
  <c r="MA43" i="1" s="1"/>
  <c r="LZ42" i="1"/>
  <c r="LZ43" i="1" s="1"/>
  <c r="LY42" i="1"/>
  <c r="LY43" i="1" s="1"/>
  <c r="LX42" i="1"/>
  <c r="LX43" i="1" s="1"/>
  <c r="LW42" i="1"/>
  <c r="LW43" i="1" s="1"/>
  <c r="LV42" i="1"/>
  <c r="LV43" i="1" s="1"/>
  <c r="LU42" i="1"/>
  <c r="LU43" i="1" s="1"/>
  <c r="LT42" i="1"/>
  <c r="LT43" i="1" s="1"/>
  <c r="LS42" i="1"/>
  <c r="LS43" i="1" s="1"/>
  <c r="LR42" i="1"/>
  <c r="LR43" i="1" s="1"/>
  <c r="LQ42" i="1"/>
  <c r="LQ43" i="1" s="1"/>
  <c r="LP42" i="1"/>
  <c r="LP43" i="1" s="1"/>
  <c r="LO42" i="1"/>
  <c r="LO43" i="1" s="1"/>
  <c r="LN42" i="1"/>
  <c r="LN43" i="1" s="1"/>
  <c r="LM42" i="1"/>
  <c r="LM43" i="1" s="1"/>
  <c r="LL42" i="1"/>
  <c r="LL43" i="1" s="1"/>
  <c r="LK42" i="1"/>
  <c r="LK43" i="1" s="1"/>
  <c r="LJ42" i="1"/>
  <c r="LJ43" i="1" s="1"/>
  <c r="LI42" i="1"/>
  <c r="LI43" i="1" s="1"/>
  <c r="LH42" i="1"/>
  <c r="LH43" i="1" s="1"/>
  <c r="LG42" i="1"/>
  <c r="LG43" i="1" s="1"/>
  <c r="LF42" i="1"/>
  <c r="LF43" i="1" s="1"/>
  <c r="LE42" i="1"/>
  <c r="LE43" i="1" s="1"/>
  <c r="LD42" i="1"/>
  <c r="LD43" i="1" s="1"/>
  <c r="LC42" i="1"/>
  <c r="LC43" i="1" s="1"/>
  <c r="LB42" i="1"/>
  <c r="LB43" i="1" s="1"/>
  <c r="LA42" i="1"/>
  <c r="LA43" i="1" s="1"/>
  <c r="KZ42" i="1"/>
  <c r="KZ43" i="1" s="1"/>
  <c r="KY42" i="1"/>
  <c r="KY43" i="1" s="1"/>
  <c r="KX42" i="1"/>
  <c r="KX43" i="1" s="1"/>
  <c r="KW42" i="1"/>
  <c r="KW43" i="1" s="1"/>
  <c r="KV42" i="1"/>
  <c r="KV43" i="1" s="1"/>
  <c r="KU42" i="1"/>
  <c r="KU43" i="1" s="1"/>
  <c r="KT42" i="1"/>
  <c r="KT43" i="1" s="1"/>
  <c r="KS42" i="1"/>
  <c r="KS43" i="1" s="1"/>
  <c r="KR42" i="1"/>
  <c r="KR43" i="1" s="1"/>
  <c r="KQ42" i="1"/>
  <c r="KQ43" i="1" s="1"/>
  <c r="KP42" i="1"/>
  <c r="KP43" i="1" s="1"/>
  <c r="KO42" i="1"/>
  <c r="KO43" i="1" s="1"/>
  <c r="KN42" i="1"/>
  <c r="KN43" i="1" s="1"/>
  <c r="KM42" i="1"/>
  <c r="KM43" i="1" s="1"/>
  <c r="KL42" i="1"/>
  <c r="KL43" i="1" s="1"/>
  <c r="KK42" i="1"/>
  <c r="KK43" i="1" s="1"/>
  <c r="KJ42" i="1"/>
  <c r="KJ43" i="1" s="1"/>
  <c r="KI42" i="1"/>
  <c r="KI43" i="1" s="1"/>
  <c r="KH42" i="1"/>
  <c r="KH43" i="1" s="1"/>
  <c r="KG42" i="1"/>
  <c r="KG43" i="1" s="1"/>
  <c r="KF42" i="1"/>
  <c r="KF43" i="1" s="1"/>
  <c r="KE42" i="1"/>
  <c r="KE43" i="1" s="1"/>
  <c r="KD42" i="1"/>
  <c r="KD43" i="1" s="1"/>
  <c r="KC42" i="1"/>
  <c r="KC43" i="1" s="1"/>
  <c r="KB42" i="1"/>
  <c r="KB43" i="1" s="1"/>
  <c r="KA42" i="1"/>
  <c r="KA43" i="1" s="1"/>
  <c r="JZ42" i="1"/>
  <c r="JZ43" i="1" s="1"/>
  <c r="JY42" i="1"/>
  <c r="JY43" i="1" s="1"/>
  <c r="JX42" i="1"/>
  <c r="JX43" i="1" s="1"/>
  <c r="JW42" i="1"/>
  <c r="JW43" i="1" s="1"/>
  <c r="JV42" i="1"/>
  <c r="JV43" i="1" s="1"/>
  <c r="JU42" i="1"/>
  <c r="JU43" i="1" s="1"/>
  <c r="JT42" i="1"/>
  <c r="JT43" i="1" s="1"/>
  <c r="JS42" i="1"/>
  <c r="JS43" i="1" s="1"/>
  <c r="JR42" i="1"/>
  <c r="JQ42" i="1"/>
  <c r="JQ43" i="1" s="1"/>
  <c r="JP42" i="1"/>
  <c r="JP43" i="1" s="1"/>
  <c r="JO42" i="1"/>
  <c r="JO43" i="1" s="1"/>
  <c r="JN42" i="1"/>
  <c r="JN43" i="1" s="1"/>
  <c r="JM42" i="1"/>
  <c r="JM43" i="1" s="1"/>
  <c r="JL42" i="1"/>
  <c r="JL43" i="1" s="1"/>
  <c r="JK42" i="1"/>
  <c r="JK43" i="1" s="1"/>
  <c r="JJ42" i="1"/>
  <c r="JJ43" i="1" s="1"/>
  <c r="JI42" i="1"/>
  <c r="JI43" i="1" s="1"/>
  <c r="JH42" i="1"/>
  <c r="JH43" i="1" s="1"/>
  <c r="JG42" i="1"/>
  <c r="JG43" i="1" s="1"/>
  <c r="JF42" i="1"/>
  <c r="JF43" i="1" s="1"/>
  <c r="JE42" i="1"/>
  <c r="JE43" i="1" s="1"/>
  <c r="JD42" i="1"/>
  <c r="JD43" i="1" s="1"/>
  <c r="JC42" i="1"/>
  <c r="JC43" i="1" s="1"/>
  <c r="JB42" i="1"/>
  <c r="JB43" i="1" s="1"/>
  <c r="JA42" i="1"/>
  <c r="JA43" i="1" s="1"/>
  <c r="IZ42" i="1"/>
  <c r="IZ43" i="1" s="1"/>
  <c r="IY42" i="1"/>
  <c r="IY43" i="1" s="1"/>
  <c r="IX42" i="1"/>
  <c r="IX43" i="1" s="1"/>
  <c r="IW42" i="1"/>
  <c r="IW43" i="1" s="1"/>
  <c r="IV42" i="1"/>
  <c r="IV43" i="1" s="1"/>
  <c r="IU42" i="1"/>
  <c r="IU43" i="1" s="1"/>
  <c r="IT42" i="1"/>
  <c r="IT43" i="1" s="1"/>
  <c r="IS42" i="1"/>
  <c r="IS43" i="1" s="1"/>
  <c r="IR42" i="1"/>
  <c r="IR43" i="1" s="1"/>
  <c r="IQ42" i="1"/>
  <c r="IQ43" i="1" s="1"/>
  <c r="IP42" i="1"/>
  <c r="IP43" i="1" s="1"/>
  <c r="IO42" i="1"/>
  <c r="IO43" i="1" s="1"/>
  <c r="IN42" i="1"/>
  <c r="IN43" i="1" s="1"/>
  <c r="IM42" i="1"/>
  <c r="IM43" i="1" s="1"/>
  <c r="IL42" i="1"/>
  <c r="IL43" i="1" s="1"/>
  <c r="IK42" i="1"/>
  <c r="IK43" i="1" s="1"/>
  <c r="IJ42" i="1"/>
  <c r="IJ43" i="1" s="1"/>
  <c r="II42" i="1"/>
  <c r="IH42" i="1"/>
  <c r="IH43" i="1" s="1"/>
  <c r="IG42" i="1"/>
  <c r="IG43" i="1" s="1"/>
  <c r="IF42" i="1"/>
  <c r="IF43" i="1" s="1"/>
  <c r="IE42" i="1"/>
  <c r="IE43" i="1" s="1"/>
  <c r="ID42" i="1"/>
  <c r="ID43" i="1" s="1"/>
  <c r="IC42" i="1"/>
  <c r="IC43" i="1" s="1"/>
  <c r="IB42" i="1"/>
  <c r="IB43" i="1" s="1"/>
  <c r="IA42" i="1"/>
  <c r="IA43" i="1" s="1"/>
  <c r="HZ42" i="1"/>
  <c r="HZ43" i="1" s="1"/>
  <c r="HY42" i="1"/>
  <c r="HY43" i="1" s="1"/>
  <c r="HX42" i="1"/>
  <c r="HX43" i="1" s="1"/>
  <c r="HW42" i="1"/>
  <c r="HW43" i="1" s="1"/>
  <c r="HV42" i="1"/>
  <c r="HV43" i="1" s="1"/>
  <c r="HU42" i="1"/>
  <c r="HU43" i="1" s="1"/>
  <c r="HT42" i="1"/>
  <c r="HT43" i="1" s="1"/>
  <c r="HS42" i="1"/>
  <c r="HS43" i="1" s="1"/>
  <c r="HR42" i="1"/>
  <c r="HR43" i="1" s="1"/>
  <c r="HQ42" i="1"/>
  <c r="HQ43" i="1" s="1"/>
  <c r="HP42" i="1"/>
  <c r="HP43" i="1" s="1"/>
  <c r="HO42" i="1"/>
  <c r="HO43" i="1" s="1"/>
  <c r="HN42" i="1"/>
  <c r="HN43" i="1" s="1"/>
  <c r="HM42" i="1"/>
  <c r="HM43" i="1" s="1"/>
  <c r="HL42" i="1"/>
  <c r="HL43" i="1" s="1"/>
  <c r="HK42" i="1"/>
  <c r="HK43" i="1" s="1"/>
  <c r="HJ42" i="1"/>
  <c r="HJ43" i="1" s="1"/>
  <c r="HI42" i="1"/>
  <c r="HI43" i="1" s="1"/>
  <c r="HH42" i="1"/>
  <c r="HH43" i="1" s="1"/>
  <c r="HG42" i="1"/>
  <c r="HG43" i="1" s="1"/>
  <c r="HF42" i="1"/>
  <c r="HF43" i="1" s="1"/>
  <c r="HE42" i="1"/>
  <c r="HE43" i="1" s="1"/>
  <c r="HD42" i="1"/>
  <c r="HD43" i="1" s="1"/>
  <c r="HC42" i="1"/>
  <c r="HC43" i="1" s="1"/>
  <c r="HB42" i="1"/>
  <c r="HB43" i="1" s="1"/>
  <c r="HA42" i="1"/>
  <c r="HA43" i="1" s="1"/>
  <c r="GZ42" i="1"/>
  <c r="GZ43" i="1" s="1"/>
  <c r="GY42" i="1"/>
  <c r="GY43" i="1" s="1"/>
  <c r="GX42" i="1"/>
  <c r="GW42" i="1"/>
  <c r="GW43" i="1" s="1"/>
  <c r="GV42" i="1"/>
  <c r="GV43" i="1" s="1"/>
  <c r="GU42" i="1"/>
  <c r="GU43" i="1" s="1"/>
  <c r="GT42" i="1"/>
  <c r="GT43" i="1" s="1"/>
  <c r="GS42" i="1"/>
  <c r="GS43" i="1" s="1"/>
  <c r="GR42" i="1"/>
  <c r="GR43" i="1" s="1"/>
  <c r="GQ42" i="1"/>
  <c r="GQ43" i="1" s="1"/>
  <c r="GP42" i="1"/>
  <c r="GP43" i="1" s="1"/>
  <c r="GO42" i="1"/>
  <c r="GO43" i="1" s="1"/>
  <c r="GN42" i="1"/>
  <c r="GN43" i="1" s="1"/>
  <c r="GM42" i="1"/>
  <c r="GM43" i="1" s="1"/>
  <c r="GL42" i="1"/>
  <c r="GL43" i="1" s="1"/>
  <c r="GK42" i="1"/>
  <c r="GK43" i="1" s="1"/>
  <c r="GJ42" i="1"/>
  <c r="GJ43" i="1" s="1"/>
  <c r="GI42" i="1"/>
  <c r="GI43" i="1" s="1"/>
  <c r="GH42" i="1"/>
  <c r="GH43" i="1" s="1"/>
  <c r="GG42" i="1"/>
  <c r="GG43" i="1" s="1"/>
  <c r="GF42" i="1"/>
  <c r="GF43" i="1" s="1"/>
  <c r="GE42" i="1"/>
  <c r="GE43" i="1" s="1"/>
  <c r="GD42" i="1"/>
  <c r="GD43" i="1" s="1"/>
  <c r="GC42" i="1"/>
  <c r="GC43" i="1" s="1"/>
  <c r="GB42" i="1"/>
  <c r="GB43" i="1" s="1"/>
  <c r="GA42" i="1"/>
  <c r="GA43" i="1" s="1"/>
  <c r="FZ42" i="1"/>
  <c r="FZ43" i="1" s="1"/>
  <c r="FY42" i="1"/>
  <c r="FY43" i="1" s="1"/>
  <c r="FX42" i="1"/>
  <c r="FX43" i="1" s="1"/>
  <c r="FW42" i="1"/>
  <c r="FW43" i="1" s="1"/>
  <c r="FV42" i="1"/>
  <c r="FV43" i="1" s="1"/>
  <c r="FU42" i="1"/>
  <c r="FU43" i="1" s="1"/>
  <c r="FT42" i="1"/>
  <c r="FT43" i="1" s="1"/>
  <c r="FS42" i="1"/>
  <c r="FS43" i="1" s="1"/>
  <c r="FR42" i="1"/>
  <c r="FR43" i="1" s="1"/>
  <c r="FQ42" i="1"/>
  <c r="FQ43" i="1" s="1"/>
  <c r="FP42" i="1"/>
  <c r="FP43" i="1" s="1"/>
  <c r="FO42" i="1"/>
  <c r="FN42" i="1"/>
  <c r="FN43" i="1" s="1"/>
  <c r="FM42" i="1"/>
  <c r="FM43" i="1" s="1"/>
  <c r="FL42" i="1"/>
  <c r="FL43" i="1" s="1"/>
  <c r="FK42" i="1"/>
  <c r="FK43" i="1" s="1"/>
  <c r="FJ42" i="1"/>
  <c r="FJ43" i="1" s="1"/>
  <c r="FI42" i="1"/>
  <c r="FI43" i="1" s="1"/>
  <c r="FH42" i="1"/>
  <c r="FH43" i="1" s="1"/>
  <c r="FG42" i="1"/>
  <c r="FG43" i="1" s="1"/>
  <c r="FF42" i="1"/>
  <c r="FF43" i="1" s="1"/>
  <c r="FE42" i="1"/>
  <c r="FE43" i="1" s="1"/>
  <c r="FD42" i="1"/>
  <c r="FD43" i="1" s="1"/>
  <c r="FC42" i="1"/>
  <c r="FC43" i="1" s="1"/>
  <c r="FB42" i="1"/>
  <c r="FB43" i="1" s="1"/>
  <c r="FA42" i="1"/>
  <c r="FA43" i="1" s="1"/>
  <c r="EZ42" i="1"/>
  <c r="EZ43" i="1" s="1"/>
  <c r="EY42" i="1"/>
  <c r="EY43" i="1" s="1"/>
  <c r="EX42" i="1"/>
  <c r="EX43" i="1" s="1"/>
  <c r="EW42" i="1"/>
  <c r="EW43" i="1" s="1"/>
  <c r="EV42" i="1"/>
  <c r="EV43" i="1" s="1"/>
  <c r="EU42" i="1"/>
  <c r="EU43" i="1" s="1"/>
  <c r="ET42" i="1"/>
  <c r="ET43" i="1" s="1"/>
  <c r="ES42" i="1"/>
  <c r="ES43" i="1" s="1"/>
  <c r="ER42" i="1"/>
  <c r="ER43" i="1" s="1"/>
  <c r="EQ42" i="1"/>
  <c r="EQ43" i="1" s="1"/>
  <c r="EP42" i="1"/>
  <c r="EP43" i="1" s="1"/>
  <c r="EO42" i="1"/>
  <c r="EO43" i="1" s="1"/>
  <c r="EN42" i="1"/>
  <c r="EN43" i="1" s="1"/>
  <c r="EM42" i="1"/>
  <c r="EM43" i="1" s="1"/>
  <c r="EL42" i="1"/>
  <c r="EL43" i="1" s="1"/>
  <c r="EK42" i="1"/>
  <c r="EK43" i="1" s="1"/>
  <c r="EJ42" i="1"/>
  <c r="EJ43" i="1" s="1"/>
  <c r="EI42" i="1"/>
  <c r="EI43" i="1" s="1"/>
  <c r="EH42" i="1"/>
  <c r="EH43" i="1" s="1"/>
  <c r="EG42" i="1"/>
  <c r="EG43" i="1" s="1"/>
  <c r="EF42" i="1"/>
  <c r="EF43" i="1" s="1"/>
  <c r="EE42" i="1"/>
  <c r="EE43" i="1" s="1"/>
  <c r="ED42" i="1"/>
  <c r="ED43" i="1" s="1"/>
  <c r="EC42" i="1"/>
  <c r="EC43" i="1" s="1"/>
  <c r="EB42" i="1"/>
  <c r="EB43" i="1" s="1"/>
  <c r="EA42" i="1"/>
  <c r="EA43" i="1" s="1"/>
  <c r="DZ42" i="1"/>
  <c r="DZ43" i="1" s="1"/>
  <c r="DY42" i="1"/>
  <c r="DY43" i="1" s="1"/>
  <c r="DX42" i="1"/>
  <c r="DX43" i="1" s="1"/>
  <c r="DW42" i="1"/>
  <c r="DW43" i="1" s="1"/>
  <c r="DV42" i="1"/>
  <c r="DV43" i="1" s="1"/>
  <c r="DU42" i="1"/>
  <c r="DU43" i="1" s="1"/>
  <c r="DT42" i="1"/>
  <c r="DT43" i="1" s="1"/>
  <c r="DS42" i="1"/>
  <c r="DS43" i="1" s="1"/>
  <c r="DR42" i="1"/>
  <c r="DR43" i="1" s="1"/>
  <c r="DQ42" i="1"/>
  <c r="DQ43" i="1" s="1"/>
  <c r="DP42" i="1"/>
  <c r="DP43" i="1" s="1"/>
  <c r="DO42" i="1"/>
  <c r="DO43" i="1" s="1"/>
  <c r="DN42" i="1"/>
  <c r="DN43" i="1" s="1"/>
  <c r="DM42" i="1"/>
  <c r="DM43" i="1" s="1"/>
  <c r="DL42" i="1"/>
  <c r="DL43" i="1" s="1"/>
  <c r="DK42" i="1"/>
  <c r="DK43" i="1" s="1"/>
  <c r="DJ42" i="1"/>
  <c r="DJ43" i="1" s="1"/>
  <c r="DI42" i="1"/>
  <c r="DI43" i="1" s="1"/>
  <c r="DH42" i="1"/>
  <c r="DH43" i="1" s="1"/>
  <c r="DG42" i="1"/>
  <c r="DG43" i="1" s="1"/>
  <c r="DF42" i="1"/>
  <c r="DF43" i="1" s="1"/>
  <c r="DE42" i="1"/>
  <c r="DE43" i="1" s="1"/>
  <c r="DD42" i="1"/>
  <c r="DD43" i="1" s="1"/>
  <c r="DC42" i="1"/>
  <c r="DC43" i="1" s="1"/>
  <c r="DB42" i="1"/>
  <c r="DB43" i="1" s="1"/>
  <c r="DA42" i="1"/>
  <c r="DA43" i="1" s="1"/>
  <c r="CZ42" i="1"/>
  <c r="CZ43" i="1" s="1"/>
  <c r="CY42" i="1"/>
  <c r="CY43" i="1" s="1"/>
  <c r="CX42" i="1"/>
  <c r="CX43" i="1" s="1"/>
  <c r="CW42" i="1"/>
  <c r="CW43" i="1" s="1"/>
  <c r="CV42" i="1"/>
  <c r="CV43" i="1" s="1"/>
  <c r="CU42" i="1"/>
  <c r="CU43" i="1" s="1"/>
  <c r="CT42" i="1"/>
  <c r="CT43" i="1" s="1"/>
  <c r="CS42" i="1"/>
  <c r="CS43" i="1" s="1"/>
  <c r="CR42" i="1"/>
  <c r="CR43" i="1" s="1"/>
  <c r="CQ42" i="1"/>
  <c r="CQ43" i="1" s="1"/>
  <c r="CP42" i="1"/>
  <c r="CP43" i="1" s="1"/>
  <c r="CO42" i="1"/>
  <c r="CO43" i="1" s="1"/>
  <c r="CN42" i="1"/>
  <c r="CN43" i="1" s="1"/>
  <c r="CM42" i="1"/>
  <c r="CM43" i="1" s="1"/>
  <c r="CL42" i="1"/>
  <c r="CL43" i="1" s="1"/>
  <c r="CK42" i="1"/>
  <c r="CK43" i="1" s="1"/>
  <c r="CJ42" i="1"/>
  <c r="CJ43" i="1" s="1"/>
  <c r="CI42" i="1"/>
  <c r="CI43" i="1" s="1"/>
  <c r="CH42" i="1"/>
  <c r="CH43" i="1" s="1"/>
  <c r="CG42" i="1"/>
  <c r="CG43" i="1" s="1"/>
  <c r="CF42" i="1"/>
  <c r="CF43" i="1" s="1"/>
  <c r="CE42" i="1"/>
  <c r="CE43" i="1" s="1"/>
  <c r="CD42" i="1"/>
  <c r="CD43" i="1" s="1"/>
  <c r="CC42" i="1"/>
  <c r="CC43" i="1" s="1"/>
  <c r="CB42" i="1"/>
  <c r="CB43" i="1" s="1"/>
  <c r="CA42" i="1"/>
  <c r="CA43" i="1" s="1"/>
  <c r="BZ42" i="1"/>
  <c r="BZ43" i="1" s="1"/>
  <c r="BY42" i="1"/>
  <c r="BY43" i="1" s="1"/>
  <c r="BX42" i="1"/>
  <c r="BX43" i="1" s="1"/>
  <c r="BW42" i="1"/>
  <c r="BW43" i="1" s="1"/>
  <c r="BV42" i="1"/>
  <c r="BU42" i="1"/>
  <c r="BU43" i="1" s="1"/>
  <c r="BT42" i="1"/>
  <c r="BT43" i="1" s="1"/>
  <c r="BS42" i="1"/>
  <c r="BS43" i="1" s="1"/>
  <c r="BR42" i="1"/>
  <c r="BR43" i="1" s="1"/>
  <c r="BQ42" i="1"/>
  <c r="BQ43" i="1" s="1"/>
  <c r="BP42" i="1"/>
  <c r="BP43" i="1" s="1"/>
  <c r="BO42" i="1"/>
  <c r="BO43" i="1" s="1"/>
  <c r="BM42" i="1"/>
  <c r="BM43" i="1" s="1"/>
  <c r="BK42" i="1"/>
  <c r="BK43" i="1" s="1"/>
  <c r="BJ42" i="1"/>
  <c r="BJ43" i="1" s="1"/>
  <c r="BH42" i="1"/>
  <c r="BH43" i="1" s="1"/>
  <c r="BE42" i="1"/>
  <c r="BE43" i="1" s="1"/>
  <c r="BB42" i="1"/>
  <c r="BB43" i="1" s="1"/>
  <c r="AU42" i="1"/>
  <c r="AU43" i="1" s="1"/>
  <c r="AT42" i="1"/>
  <c r="AT43" i="1" s="1"/>
  <c r="AS42" i="1"/>
  <c r="AR42" i="1"/>
  <c r="AQ42" i="1"/>
  <c r="AQ43" i="1" s="1"/>
  <c r="AP42" i="1"/>
  <c r="AP43" i="1" s="1"/>
  <c r="AO42" i="1"/>
  <c r="AO43" i="1" s="1"/>
  <c r="AN42" i="1"/>
  <c r="AN43" i="1" s="1"/>
  <c r="AM42" i="1"/>
  <c r="AM43" i="1" s="1"/>
  <c r="AL42" i="1"/>
  <c r="AL43" i="1" s="1"/>
  <c r="AK42" i="1"/>
  <c r="AK43" i="1" s="1"/>
  <c r="AJ42" i="1"/>
  <c r="AJ43" i="1" s="1"/>
  <c r="AI42" i="1"/>
  <c r="AI43" i="1" s="1"/>
  <c r="AH42" i="1"/>
  <c r="AH43" i="1" s="1"/>
  <c r="AG42" i="1"/>
  <c r="AG43" i="1" s="1"/>
  <c r="AF42" i="1"/>
  <c r="AF43" i="1" s="1"/>
  <c r="AE42" i="1"/>
  <c r="AE43" i="1" s="1"/>
  <c r="AD42" i="1"/>
  <c r="AC42" i="1"/>
  <c r="AC43" i="1" s="1"/>
  <c r="AB42" i="1"/>
  <c r="AB43" i="1" s="1"/>
  <c r="Z42" i="1"/>
  <c r="Z43" i="1" s="1"/>
  <c r="Y42" i="1"/>
  <c r="Y43" i="1" s="1"/>
  <c r="X42" i="1"/>
  <c r="X43" i="1" s="1"/>
  <c r="W42" i="1"/>
  <c r="W43" i="1" s="1"/>
  <c r="V42" i="1"/>
  <c r="V43" i="1" s="1"/>
  <c r="U42" i="1"/>
  <c r="U43" i="1" s="1"/>
  <c r="T42" i="1"/>
  <c r="T43" i="1" s="1"/>
  <c r="S42" i="1"/>
  <c r="S43" i="1" s="1"/>
  <c r="R42" i="1"/>
  <c r="R43" i="1" s="1"/>
  <c r="Q42" i="1"/>
  <c r="Q43" i="1" s="1"/>
  <c r="P42" i="1"/>
  <c r="P43" i="1" s="1"/>
  <c r="O42" i="1"/>
  <c r="O43" i="1" s="1"/>
  <c r="N42" i="1"/>
  <c r="N43" i="1" s="1"/>
  <c r="M42" i="1"/>
  <c r="M43" i="1" s="1"/>
  <c r="L42" i="1"/>
  <c r="L43" i="1" s="1"/>
  <c r="K42" i="1"/>
  <c r="K43" i="1" s="1"/>
  <c r="I42" i="1"/>
  <c r="H42" i="1"/>
  <c r="H43" i="1" s="1"/>
  <c r="G42" i="1"/>
  <c r="G43" i="1" s="1"/>
  <c r="F42" i="1"/>
  <c r="F43" i="1" s="1"/>
  <c r="E42" i="1"/>
  <c r="E43" i="1" s="1"/>
  <c r="D42" i="1"/>
  <c r="D43" i="1" s="1"/>
  <c r="C42" i="1"/>
  <c r="C43" i="1" s="1"/>
  <c r="B42" i="1"/>
  <c r="B43" i="1" s="1"/>
  <c r="A42" i="1"/>
  <c r="A43" i="1" s="1"/>
  <c r="BA41" i="1"/>
  <c r="AZ41" i="1"/>
  <c r="AY41" i="1"/>
  <c r="AV41" i="1" s="1" a="1"/>
  <c r="AV41" i="1" s="1"/>
  <c r="BA40" i="1"/>
  <c r="AZ40" i="1"/>
  <c r="AY40" i="1"/>
  <c r="AS40" i="1"/>
  <c r="AQ40" i="1"/>
  <c r="AP40" i="1"/>
  <c r="AO40" i="1"/>
  <c r="AH40" i="1" s="1"/>
  <c r="AG40" i="1"/>
  <c r="AF40" i="1"/>
  <c r="AD40" i="1"/>
  <c r="X40" i="1"/>
  <c r="R40" i="1"/>
  <c r="B40" i="1"/>
  <c r="BA39" i="1"/>
  <c r="AZ39" i="1"/>
  <c r="AY39" i="1"/>
  <c r="AQ39" i="1"/>
  <c r="AP39" i="1"/>
  <c r="AO39" i="1"/>
  <c r="AL39" i="1"/>
  <c r="AM39" i="1" s="1"/>
  <c r="AH39" i="1"/>
  <c r="AK39" i="1" s="1"/>
  <c r="AG39" i="1"/>
  <c r="AF39" i="1"/>
  <c r="AD39" i="1"/>
  <c r="X39" i="1"/>
  <c r="R39" i="1"/>
  <c r="K39" i="1"/>
  <c r="I39" i="1"/>
  <c r="B39" i="1"/>
  <c r="BA37" i="1"/>
  <c r="AZ37" i="1"/>
  <c r="AY37" i="1"/>
  <c r="AS37" i="1"/>
  <c r="AQ37" i="1"/>
  <c r="AH37" i="1" s="1"/>
  <c r="AP37" i="1"/>
  <c r="AO37" i="1"/>
  <c r="AG37" i="1"/>
  <c r="AF37" i="1"/>
  <c r="AD37" i="1"/>
  <c r="X37" i="1"/>
  <c r="R37" i="1"/>
  <c r="B37" i="1"/>
  <c r="BA36" i="1"/>
  <c r="AZ36" i="1"/>
  <c r="AY36" i="1"/>
  <c r="AV36" i="1" s="1" a="1"/>
  <c r="AV36" i="1" s="1"/>
  <c r="AS36" i="1"/>
  <c r="K36" i="1" s="1"/>
  <c r="AQ36" i="1"/>
  <c r="AP36" i="1"/>
  <c r="AO36" i="1"/>
  <c r="AH36" i="1"/>
  <c r="AK36" i="1" s="1"/>
  <c r="AG36" i="1"/>
  <c r="AF36" i="1"/>
  <c r="AD36" i="1"/>
  <c r="X36" i="1"/>
  <c r="R36" i="1"/>
  <c r="I36" i="1"/>
  <c r="B36" i="1"/>
  <c r="BA34" i="1"/>
  <c r="AZ34" i="1"/>
  <c r="AY34" i="1"/>
  <c r="AS34" i="1"/>
  <c r="AQ34" i="1"/>
  <c r="AH34" i="1" s="1"/>
  <c r="AP34" i="1"/>
  <c r="AO34" i="1"/>
  <c r="AG34" i="1"/>
  <c r="AF34" i="1"/>
  <c r="AD34" i="1"/>
  <c r="X34" i="1"/>
  <c r="R34" i="1"/>
  <c r="B34" i="1"/>
  <c r="BA32" i="1"/>
  <c r="AZ32" i="1"/>
  <c r="AY32" i="1"/>
  <c r="AS32" i="1"/>
  <c r="AQ32" i="1"/>
  <c r="AP32" i="1"/>
  <c r="AO32" i="1"/>
  <c r="AH32" i="1"/>
  <c r="AK32" i="1" s="1"/>
  <c r="AG32" i="1"/>
  <c r="AF32" i="1"/>
  <c r="AD32" i="1"/>
  <c r="X32" i="1"/>
  <c r="R32" i="1"/>
  <c r="K32" i="1"/>
  <c r="AL32" i="1" s="1"/>
  <c r="B32" i="1"/>
  <c r="BA31" i="1"/>
  <c r="AZ31" i="1"/>
  <c r="AY31" i="1"/>
  <c r="AQ31" i="1"/>
  <c r="AP31" i="1"/>
  <c r="AO31" i="1"/>
  <c r="K31" i="1" s="1"/>
  <c r="AG31" i="1"/>
  <c r="AF31" i="1"/>
  <c r="AD31" i="1"/>
  <c r="X31" i="1"/>
  <c r="R31" i="1"/>
  <c r="I31" i="1"/>
  <c r="B31" i="1"/>
  <c r="BA29" i="1"/>
  <c r="AZ29" i="1"/>
  <c r="AY29" i="1"/>
  <c r="AS29" i="1"/>
  <c r="K29" i="1" s="1"/>
  <c r="AL29" i="1" s="1"/>
  <c r="AQ29" i="1"/>
  <c r="AP29" i="1"/>
  <c r="AO29" i="1"/>
  <c r="AH29" i="1"/>
  <c r="AK29" i="1" s="1"/>
  <c r="AG29" i="1"/>
  <c r="AF29" i="1"/>
  <c r="B29" i="1"/>
  <c r="BA28" i="1"/>
  <c r="AZ28" i="1"/>
  <c r="AY28" i="1"/>
  <c r="AS28" i="1"/>
  <c r="AQ28" i="1"/>
  <c r="AP28" i="1"/>
  <c r="AO28" i="1"/>
  <c r="AH28" i="1" s="1"/>
  <c r="AG28" i="1"/>
  <c r="AF28" i="1"/>
  <c r="AD28" i="1"/>
  <c r="X28" i="1"/>
  <c r="R28" i="1"/>
  <c r="K28" i="1"/>
  <c r="I28" i="1"/>
  <c r="B28" i="1"/>
  <c r="BA27" i="1"/>
  <c r="AZ27" i="1"/>
  <c r="AY27" i="1"/>
  <c r="AQ27" i="1"/>
  <c r="K27" i="1" s="1"/>
  <c r="AP27" i="1"/>
  <c r="AO27" i="1"/>
  <c r="AG27" i="1"/>
  <c r="AF27" i="1"/>
  <c r="AD27" i="1"/>
  <c r="X27" i="1"/>
  <c r="I27" i="1"/>
  <c r="B27" i="1"/>
  <c r="BA26" i="1"/>
  <c r="AZ26" i="1"/>
  <c r="AY26" i="1"/>
  <c r="AQ26" i="1"/>
  <c r="AP26" i="1"/>
  <c r="AO26" i="1"/>
  <c r="AH26" i="1" s="1"/>
  <c r="AG26" i="1"/>
  <c r="AF26" i="1"/>
  <c r="AD26" i="1"/>
  <c r="X26" i="1"/>
  <c r="R26" i="1"/>
  <c r="I26" i="1"/>
  <c r="B26" i="1"/>
  <c r="BA25" i="1"/>
  <c r="AZ25" i="1"/>
  <c r="AY25" i="1"/>
  <c r="AQ25" i="1"/>
  <c r="AP25" i="1"/>
  <c r="AO25" i="1"/>
  <c r="AH25" i="1"/>
  <c r="AK25" i="1" s="1"/>
  <c r="AG25" i="1"/>
  <c r="AF25" i="1"/>
  <c r="AD25" i="1"/>
  <c r="X25" i="1"/>
  <c r="R25" i="1"/>
  <c r="K25" i="1"/>
  <c r="AL25" i="1" s="1"/>
  <c r="I25" i="1"/>
  <c r="B25" i="1"/>
  <c r="BA23" i="1"/>
  <c r="AZ23" i="1"/>
  <c r="AY23" i="1"/>
  <c r="AS23" i="1"/>
  <c r="AQ23" i="1"/>
  <c r="AP23" i="1"/>
  <c r="AO23" i="1"/>
  <c r="AH23" i="1" s="1"/>
  <c r="AG23" i="1"/>
  <c r="AF23" i="1"/>
  <c r="AD23" i="1"/>
  <c r="X23" i="1"/>
  <c r="R23" i="1"/>
  <c r="B23" i="1"/>
  <c r="BA21" i="1"/>
  <c r="AZ21" i="1"/>
  <c r="AY21" i="1"/>
  <c r="AS21" i="1"/>
  <c r="AP21" i="1"/>
  <c r="AO21" i="1"/>
  <c r="AH21" i="1"/>
  <c r="AK21" i="1" s="1"/>
  <c r="AG21" i="1"/>
  <c r="AF21" i="1"/>
  <c r="AD21" i="1"/>
  <c r="X21" i="1"/>
  <c r="R21" i="1"/>
  <c r="K21" i="1"/>
  <c r="AL21" i="1" s="1"/>
  <c r="B21" i="1"/>
  <c r="BA20" i="1"/>
  <c r="AZ20" i="1"/>
  <c r="AY20" i="1"/>
  <c r="AP20" i="1"/>
  <c r="AO20" i="1"/>
  <c r="K20" i="1" s="1"/>
  <c r="AL20" i="1" s="1"/>
  <c r="AG20" i="1"/>
  <c r="AD20" i="1"/>
  <c r="X20" i="1"/>
  <c r="R20" i="1"/>
  <c r="I20" i="1"/>
  <c r="B20" i="1"/>
  <c r="BA19" i="1"/>
  <c r="AZ19" i="1"/>
  <c r="AY19" i="1"/>
  <c r="AP19" i="1"/>
  <c r="AO19" i="1"/>
  <c r="K19" i="1" s="1"/>
  <c r="AL19" i="1" s="1"/>
  <c r="AG19" i="1"/>
  <c r="AF19" i="1"/>
  <c r="AD19" i="1"/>
  <c r="X19" i="1"/>
  <c r="R19" i="1"/>
  <c r="I19" i="1"/>
  <c r="B19" i="1"/>
  <c r="BA18" i="1"/>
  <c r="AZ18" i="1"/>
  <c r="AY18" i="1"/>
  <c r="AQ18" i="1"/>
  <c r="AH18" i="1" s="1"/>
  <c r="AP18" i="1"/>
  <c r="AO18" i="1"/>
  <c r="AG18" i="1"/>
  <c r="AF18" i="1"/>
  <c r="AD18" i="1"/>
  <c r="X18" i="1"/>
  <c r="R18" i="1"/>
  <c r="K18" i="1"/>
  <c r="L18" i="1" s="1"/>
  <c r="I18" i="1"/>
  <c r="B18" i="1"/>
  <c r="BA17" i="1"/>
  <c r="AZ17" i="1"/>
  <c r="AY17" i="1"/>
  <c r="AQ17" i="1"/>
  <c r="AH17" i="1" s="1"/>
  <c r="AP17" i="1"/>
  <c r="AO17" i="1"/>
  <c r="AG17" i="1"/>
  <c r="AF17" i="1"/>
  <c r="AD17" i="1"/>
  <c r="X17" i="1"/>
  <c r="R17" i="1"/>
  <c r="H17" i="1"/>
  <c r="K17" i="1" s="1"/>
  <c r="B17" i="1"/>
  <c r="BA16" i="1"/>
  <c r="AZ16" i="1"/>
  <c r="AY16" i="1"/>
  <c r="AQ16" i="1"/>
  <c r="AP16" i="1"/>
  <c r="AO16" i="1"/>
  <c r="AH16" i="1"/>
  <c r="AJ16" i="1" s="1"/>
  <c r="AG16" i="1"/>
  <c r="AF16" i="1"/>
  <c r="AD16" i="1"/>
  <c r="X16" i="1"/>
  <c r="R16" i="1"/>
  <c r="H16" i="1"/>
  <c r="K16" i="1" s="1"/>
  <c r="B16" i="1"/>
  <c r="BA14" i="1"/>
  <c r="AZ14" i="1"/>
  <c r="AY14" i="1"/>
  <c r="AS14" i="1"/>
  <c r="AP14" i="1"/>
  <c r="AO14" i="1"/>
  <c r="AH14" i="1" s="1"/>
  <c r="AG14" i="1"/>
  <c r="AF14" i="1"/>
  <c r="AD14" i="1"/>
  <c r="X14" i="1"/>
  <c r="R14" i="1"/>
  <c r="B14" i="1"/>
  <c r="BA13" i="1"/>
  <c r="AZ13" i="1"/>
  <c r="AY13" i="1"/>
  <c r="AQ13" i="1"/>
  <c r="AP13" i="1"/>
  <c r="AO13" i="1"/>
  <c r="AH13" i="1" s="1"/>
  <c r="AG13" i="1"/>
  <c r="AF13" i="1"/>
  <c r="AD13" i="1"/>
  <c r="X13" i="1"/>
  <c r="R13" i="1"/>
  <c r="K13" i="1"/>
  <c r="AL13" i="1" s="1"/>
  <c r="I13" i="1"/>
  <c r="B13" i="1"/>
  <c r="BA11" i="1"/>
  <c r="AZ11" i="1"/>
  <c r="AY11" i="1"/>
  <c r="AS11" i="1"/>
  <c r="AP11" i="1"/>
  <c r="AO11" i="1"/>
  <c r="AH11" i="1" s="1"/>
  <c r="AG11" i="1"/>
  <c r="AF11" i="1"/>
  <c r="AD11" i="1"/>
  <c r="X11" i="1"/>
  <c r="R11" i="1"/>
  <c r="B11" i="1"/>
  <c r="BA10" i="1"/>
  <c r="AZ10" i="1"/>
  <c r="AY10" i="1"/>
  <c r="AQ10" i="1"/>
  <c r="K10" i="1" s="1"/>
  <c r="AP10" i="1"/>
  <c r="AO10" i="1"/>
  <c r="AH10" i="1"/>
  <c r="AK10" i="1" s="1"/>
  <c r="AG10" i="1"/>
  <c r="AF10" i="1"/>
  <c r="AD10" i="1"/>
  <c r="X10" i="1"/>
  <c r="R10" i="1"/>
  <c r="I10" i="1"/>
  <c r="B10" i="1"/>
  <c r="BA9" i="1"/>
  <c r="AZ9" i="1"/>
  <c r="AY9" i="1"/>
  <c r="AX9" i="1" s="1" a="1"/>
  <c r="AX9" i="1" s="1"/>
  <c r="AQ9" i="1"/>
  <c r="AP9" i="1"/>
  <c r="AO9" i="1"/>
  <c r="K9" i="1" s="1"/>
  <c r="AH9" i="1"/>
  <c r="AJ9" i="1" s="1"/>
  <c r="AG9" i="1"/>
  <c r="AF9" i="1"/>
  <c r="AD9" i="1"/>
  <c r="X9" i="1"/>
  <c r="R9" i="1"/>
  <c r="I9" i="1"/>
  <c r="B9" i="1"/>
  <c r="BA8" i="1"/>
  <c r="AZ8" i="1"/>
  <c r="AY8" i="1"/>
  <c r="AQ8" i="1"/>
  <c r="AP8" i="1"/>
  <c r="AO8" i="1"/>
  <c r="AH8" i="1" s="1"/>
  <c r="AL8" i="1"/>
  <c r="AM8" i="1" s="1"/>
  <c r="Z8" i="1" s="1"/>
  <c r="AG8" i="1"/>
  <c r="AF8" i="1"/>
  <c r="AD8" i="1"/>
  <c r="X8" i="1"/>
  <c r="R8" i="1"/>
  <c r="K8" i="1"/>
  <c r="I8" i="1"/>
  <c r="B8" i="1"/>
  <c r="BA6" i="1"/>
  <c r="AZ6" i="1"/>
  <c r="AY6" i="1"/>
  <c r="AS6" i="1"/>
  <c r="AQ6" i="1"/>
  <c r="AP6" i="1"/>
  <c r="AO6" i="1"/>
  <c r="AH6" i="1" s="1"/>
  <c r="AG6" i="1"/>
  <c r="AF6" i="1"/>
  <c r="AD6" i="1"/>
  <c r="X6" i="1"/>
  <c r="R6" i="1"/>
  <c r="B6" i="1"/>
  <c r="BA5" i="1"/>
  <c r="AZ5" i="1"/>
  <c r="AY5" i="1"/>
  <c r="AQ5" i="1"/>
  <c r="AP5" i="1"/>
  <c r="AO5" i="1"/>
  <c r="AH5" i="1" s="1"/>
  <c r="AG5" i="1"/>
  <c r="AF5" i="1"/>
  <c r="AD5" i="1"/>
  <c r="X5" i="1"/>
  <c r="R5" i="1"/>
  <c r="K5" i="1"/>
  <c r="AL5" i="1" s="1"/>
  <c r="I5" i="1"/>
  <c r="B5" i="1"/>
  <c r="BA4" i="1"/>
  <c r="AZ4" i="1"/>
  <c r="AY4" i="1"/>
  <c r="AP4" i="1"/>
  <c r="AO4" i="1"/>
  <c r="AH4" i="1" s="1"/>
  <c r="AG4" i="1"/>
  <c r="AD4" i="1"/>
  <c r="X4" i="1"/>
  <c r="R4" i="1"/>
  <c r="I4" i="1"/>
  <c r="B4" i="1"/>
  <c r="AK14" i="1" l="1"/>
  <c r="AV14" i="1" s="1" a="1"/>
  <c r="AV14" i="1" s="1"/>
  <c r="AJ14" i="1"/>
  <c r="AJ17" i="1"/>
  <c r="AK17" i="1"/>
  <c r="AV21" i="1" a="1"/>
  <c r="AV21" i="1" s="1"/>
  <c r="O21" i="1" s="1"/>
  <c r="AN19" i="1"/>
  <c r="AM19" i="1"/>
  <c r="Z19" i="1" s="1"/>
  <c r="AA9" i="1"/>
  <c r="AK34" i="1"/>
  <c r="AJ34" i="1"/>
  <c r="AL9" i="1"/>
  <c r="AX14" i="1" a="1"/>
  <c r="AX14" i="1" s="1"/>
  <c r="L17" i="1"/>
  <c r="AL17" i="1"/>
  <c r="AV25" i="1" a="1"/>
  <c r="AV25" i="1" s="1"/>
  <c r="AA25" i="1" s="1"/>
  <c r="AM32" i="1"/>
  <c r="AN32" i="1"/>
  <c r="AW34" i="1" a="1"/>
  <c r="AW34" i="1" s="1"/>
  <c r="AJ6" i="1"/>
  <c r="AW6" i="1" s="1" a="1"/>
  <c r="AW6" i="1" s="1"/>
  <c r="U6" i="1" s="1"/>
  <c r="AK6" i="1"/>
  <c r="AV6" i="1" s="1" a="1"/>
  <c r="AV6" i="1" s="1"/>
  <c r="AX34" i="1" a="1"/>
  <c r="AX34" i="1" s="1"/>
  <c r="AM29" i="1"/>
  <c r="AN29" i="1"/>
  <c r="AW11" i="1" a="1"/>
  <c r="AW11" i="1" s="1"/>
  <c r="AV18" i="1" a="1"/>
  <c r="AV18" i="1" s="1"/>
  <c r="U18" i="1" s="1"/>
  <c r="AK23" i="1"/>
  <c r="AV23" i="1" s="1" a="1"/>
  <c r="AV23" i="1" s="1"/>
  <c r="AJ23" i="1"/>
  <c r="L16" i="1"/>
  <c r="AL16" i="1"/>
  <c r="AJ18" i="1"/>
  <c r="AW18" i="1" s="1" a="1"/>
  <c r="AW18" i="1" s="1"/>
  <c r="AK18" i="1"/>
  <c r="L28" i="1"/>
  <c r="AM5" i="1"/>
  <c r="AN5" i="1"/>
  <c r="Z5" i="1"/>
  <c r="AV32" i="1" a="1"/>
  <c r="AV32" i="1" s="1"/>
  <c r="O32" i="1" s="1"/>
  <c r="AV10" i="1" a="1"/>
  <c r="AV10" i="1" s="1"/>
  <c r="U10" i="1" s="1"/>
  <c r="AJ11" i="1"/>
  <c r="AK11" i="1"/>
  <c r="AW41" i="1" a="1"/>
  <c r="AW41" i="1" s="1"/>
  <c r="AK13" i="1"/>
  <c r="AJ13" i="1"/>
  <c r="AK4" i="1"/>
  <c r="AJ4" i="1"/>
  <c r="AJ5" i="1"/>
  <c r="AK5" i="1"/>
  <c r="AV13" i="1" a="1"/>
  <c r="AV13" i="1" s="1"/>
  <c r="AA13" i="1" s="1"/>
  <c r="AN25" i="1"/>
  <c r="Z25" i="1"/>
  <c r="AM25" i="1"/>
  <c r="AX16" i="1" a="1"/>
  <c r="AX16" i="1" s="1"/>
  <c r="AA16" i="1" s="1"/>
  <c r="AX28" i="1" a="1"/>
  <c r="AX28" i="1" s="1"/>
  <c r="AM13" i="1"/>
  <c r="AN13" i="1"/>
  <c r="Z13" i="1"/>
  <c r="AA6" i="1"/>
  <c r="AM21" i="1"/>
  <c r="Z21" i="1" s="1"/>
  <c r="AN21" i="1"/>
  <c r="AK26" i="1"/>
  <c r="AJ26" i="1"/>
  <c r="AA26" i="1" s="1"/>
  <c r="AL36" i="1"/>
  <c r="AK37" i="1"/>
  <c r="AJ37" i="1"/>
  <c r="AX37" i="1" s="1" a="1"/>
  <c r="AX37" i="1" s="1"/>
  <c r="L27" i="1"/>
  <c r="AL27" i="1"/>
  <c r="AK28" i="1"/>
  <c r="U28" i="1" s="1"/>
  <c r="AJ28" i="1"/>
  <c r="AX17" i="1" a="1"/>
  <c r="AX17" i="1" s="1"/>
  <c r="AK40" i="1"/>
  <c r="AJ40" i="1"/>
  <c r="AV4" i="1" a="1"/>
  <c r="AV4" i="1" s="1"/>
  <c r="AW4" i="1" s="1" a="1"/>
  <c r="AW4" i="1" s="1"/>
  <c r="L31" i="1"/>
  <c r="AL31" i="1"/>
  <c r="AV39" i="1" a="1"/>
  <c r="AV39" i="1" s="1"/>
  <c r="U39" i="1" s="1"/>
  <c r="AX32" i="1" a="1"/>
  <c r="AX32" i="1" s="1"/>
  <c r="AA32" i="1" s="1"/>
  <c r="AK8" i="1"/>
  <c r="AJ8" i="1"/>
  <c r="AL10" i="1"/>
  <c r="Z10" i="1" s="1"/>
  <c r="AX29" i="1" a="1"/>
  <c r="AX29" i="1" s="1"/>
  <c r="AN20" i="1"/>
  <c r="AM20" i="1"/>
  <c r="Z20" i="1" s="1"/>
  <c r="AV17" i="1" a="1"/>
  <c r="AV17" i="1" s="1"/>
  <c r="U17" i="1" s="1"/>
  <c r="AX40" i="1" a="1"/>
  <c r="AX40" i="1" s="1"/>
  <c r="U36" i="1"/>
  <c r="O36" i="1"/>
  <c r="AV124" i="1" a="1"/>
  <c r="AV124" i="1" s="1"/>
  <c r="O124" i="1" s="1"/>
  <c r="P124" i="1" s="1"/>
  <c r="AK16" i="1"/>
  <c r="K4" i="1"/>
  <c r="AN8" i="1"/>
  <c r="AJ25" i="1"/>
  <c r="AX25" i="1" s="1" a="1"/>
  <c r="AX25" i="1" s="1"/>
  <c r="AH31" i="1"/>
  <c r="Z39" i="1"/>
  <c r="AN39" i="1"/>
  <c r="BA42" i="1"/>
  <c r="AX26" i="1" a="1"/>
  <c r="AX26" i="1" s="1"/>
  <c r="AY42" i="1"/>
  <c r="AK119" i="1"/>
  <c r="AJ119" i="1"/>
  <c r="AX6" i="1" a="1"/>
  <c r="AX6" i="1" s="1"/>
  <c r="AH27" i="1"/>
  <c r="AZ42" i="1"/>
  <c r="K14" i="1"/>
  <c r="AL14" i="1" s="1"/>
  <c r="I17" i="1"/>
  <c r="Z36" i="1"/>
  <c r="AV40" i="1" a="1"/>
  <c r="AV40" i="1" s="1"/>
  <c r="AA10" i="1"/>
  <c r="AH19" i="1"/>
  <c r="AH20" i="1"/>
  <c r="AV34" i="1" a="1"/>
  <c r="AV34" i="1" s="1"/>
  <c r="AA36" i="1"/>
  <c r="AV37" i="1" a="1"/>
  <c r="AV37" i="1" s="1"/>
  <c r="AX41" i="1" a="1"/>
  <c r="AX41" i="1" s="1"/>
  <c r="L13" i="1"/>
  <c r="AW14" i="1" a="1"/>
  <c r="AW14" i="1" s="1"/>
  <c r="U14" i="1" s="1"/>
  <c r="L25" i="1"/>
  <c r="AV28" i="1" a="1"/>
  <c r="AV28" i="1" s="1"/>
  <c r="K11" i="1"/>
  <c r="AL11" i="1" s="1"/>
  <c r="AA17" i="1"/>
  <c r="AL18" i="1"/>
  <c r="K23" i="1"/>
  <c r="AL23" i="1" s="1"/>
  <c r="K26" i="1"/>
  <c r="AW28" i="1" a="1"/>
  <c r="AW28" i="1" s="1"/>
  <c r="K40" i="1"/>
  <c r="AL40" i="1" s="1"/>
  <c r="AK9" i="1"/>
  <c r="AX11" i="1" a="1"/>
  <c r="AX11" i="1" s="1"/>
  <c r="K34" i="1"/>
  <c r="AL34" i="1" s="1"/>
  <c r="K37" i="1"/>
  <c r="AL37" i="1" s="1"/>
  <c r="AL28" i="1"/>
  <c r="AV29" i="1" a="1"/>
  <c r="AV29" i="1" s="1"/>
  <c r="O29" i="1" s="1"/>
  <c r="AD43" i="1"/>
  <c r="AZ43" i="1"/>
  <c r="AY43" i="1"/>
  <c r="BA43" i="1"/>
  <c r="AJ10" i="1"/>
  <c r="AW10" i="1" s="1" a="1"/>
  <c r="AW10" i="1" s="1"/>
  <c r="I16" i="1"/>
  <c r="AJ21" i="1"/>
  <c r="AJ29" i="1"/>
  <c r="AJ32" i="1"/>
  <c r="AJ36" i="1"/>
  <c r="AW36" i="1" s="1" a="1"/>
  <c r="AW36" i="1" s="1"/>
  <c r="AJ39" i="1"/>
  <c r="AW39" i="1" s="1" a="1"/>
  <c r="AW39" i="1" s="1"/>
  <c r="K6" i="1"/>
  <c r="AL6" i="1" s="1"/>
  <c r="AH53" i="1"/>
  <c r="K53" i="1"/>
  <c r="U55" i="1"/>
  <c r="T55" i="1"/>
  <c r="AL46" i="1"/>
  <c r="L46" i="1"/>
  <c r="AH51" i="1"/>
  <c r="K51" i="1"/>
  <c r="AK48" i="1"/>
  <c r="AJ48" i="1"/>
  <c r="AX48" i="1" a="1"/>
  <c r="AX48" i="1" s="1"/>
  <c r="AW48" i="1" a="1"/>
  <c r="AW48" i="1" s="1"/>
  <c r="L45" i="1"/>
  <c r="AL45" i="1"/>
  <c r="AJ45" i="1"/>
  <c r="AK45" i="1"/>
  <c r="AV56" i="1" a="1"/>
  <c r="AV56" i="1" s="1"/>
  <c r="O56" i="1" s="1"/>
  <c r="U56" i="1"/>
  <c r="AV45" i="1" a="1"/>
  <c r="AV45" i="1" s="1"/>
  <c r="AW45" i="1" s="1" a="1"/>
  <c r="AW45" i="1" s="1"/>
  <c r="AH47" i="1"/>
  <c r="K47" i="1"/>
  <c r="O57" i="1"/>
  <c r="AH46" i="1"/>
  <c r="K52" i="1"/>
  <c r="AH52" i="1"/>
  <c r="AJ70" i="1"/>
  <c r="AX70" i="1" s="1" a="1"/>
  <c r="AX70" i="1" s="1"/>
  <c r="AK70" i="1"/>
  <c r="AV70" i="1" s="1" a="1"/>
  <c r="AV70" i="1" s="1"/>
  <c r="U70" i="1" s="1"/>
  <c r="AL48" i="1"/>
  <c r="K58" i="1"/>
  <c r="AL58" i="1" s="1"/>
  <c r="AH58" i="1"/>
  <c r="AW55" i="1" a="1"/>
  <c r="AW55" i="1" s="1"/>
  <c r="AX56" i="1" a="1"/>
  <c r="AX56" i="1" s="1"/>
  <c r="AA56" i="1"/>
  <c r="AK63" i="1"/>
  <c r="AV63" i="1" s="1" a="1"/>
  <c r="AV63" i="1" s="1"/>
  <c r="AJ63" i="1"/>
  <c r="AX63" i="1" s="1" a="1"/>
  <c r="AX63" i="1" s="1"/>
  <c r="K72" i="1"/>
  <c r="AH72" i="1"/>
  <c r="O55" i="1"/>
  <c r="AK64" i="1"/>
  <c r="AJ64" i="1"/>
  <c r="AW64" i="1" s="1" a="1"/>
  <c r="AW64" i="1" s="1"/>
  <c r="AH54" i="1"/>
  <c r="K54" i="1"/>
  <c r="AJ60" i="1"/>
  <c r="AX60" i="1" s="1" a="1"/>
  <c r="AX60" i="1" s="1"/>
  <c r="AK60" i="1"/>
  <c r="AJ79" i="1"/>
  <c r="AW79" i="1" s="1" a="1"/>
  <c r="AW79" i="1" s="1"/>
  <c r="AK79" i="1"/>
  <c r="AM57" i="1"/>
  <c r="AN57" i="1"/>
  <c r="N57" i="1" s="1"/>
  <c r="O77" i="1"/>
  <c r="AV77" i="1" a="1"/>
  <c r="AV77" i="1" s="1"/>
  <c r="AH83" i="1"/>
  <c r="K83" i="1"/>
  <c r="AL83" i="1" s="1"/>
  <c r="AA55" i="1"/>
  <c r="Z55" i="1"/>
  <c r="AX55" i="1" a="1"/>
  <c r="AX55" i="1" s="1"/>
  <c r="AK67" i="1"/>
  <c r="AJ67" i="1"/>
  <c r="AW67" i="1" s="1" a="1"/>
  <c r="AW67" i="1" s="1"/>
  <c r="AH61" i="1"/>
  <c r="N55" i="1"/>
  <c r="AL56" i="1"/>
  <c r="L56" i="1"/>
  <c r="Z62" i="1"/>
  <c r="AM69" i="1"/>
  <c r="Z69" i="1" s="1"/>
  <c r="AN69" i="1"/>
  <c r="AJ74" i="1"/>
  <c r="AK74" i="1"/>
  <c r="AH49" i="1"/>
  <c r="K49" i="1"/>
  <c r="AL49" i="1" s="1"/>
  <c r="AN65" i="1"/>
  <c r="AM65" i="1"/>
  <c r="Z65" i="1" s="1"/>
  <c r="AC65" i="1" s="1"/>
  <c r="Z64" i="1"/>
  <c r="AX79" i="1" a="1"/>
  <c r="AX79" i="1" s="1"/>
  <c r="AA79" i="1"/>
  <c r="AB79" i="1" s="1"/>
  <c r="Z79" i="1"/>
  <c r="AC79" i="1" s="1"/>
  <c r="AV57" i="1" a="1"/>
  <c r="AV57" i="1" s="1"/>
  <c r="K61" i="1"/>
  <c r="T64" i="1"/>
  <c r="AM67" i="1"/>
  <c r="Z67" i="1" s="1"/>
  <c r="AN67" i="1"/>
  <c r="K95" i="1"/>
  <c r="AH95" i="1"/>
  <c r="K60" i="1"/>
  <c r="K71" i="1"/>
  <c r="AH71" i="1"/>
  <c r="AL80" i="1"/>
  <c r="L80" i="1"/>
  <c r="AN104" i="1"/>
  <c r="AM104" i="1"/>
  <c r="Z104" i="1"/>
  <c r="AV108" i="1" a="1"/>
  <c r="AV108" i="1" s="1"/>
  <c r="U108" i="1" s="1"/>
  <c r="AA45" i="1"/>
  <c r="AX45" i="1" a="1"/>
  <c r="AX45" i="1" s="1"/>
  <c r="AV60" i="1" a="1"/>
  <c r="AV60" i="1" s="1"/>
  <c r="AK88" i="1"/>
  <c r="U88" i="1" s="1"/>
  <c r="AJ88" i="1"/>
  <c r="AA88" i="1"/>
  <c r="AK94" i="1"/>
  <c r="U94" i="1" s="1"/>
  <c r="AJ94" i="1"/>
  <c r="K96" i="1"/>
  <c r="AH96" i="1"/>
  <c r="AV64" i="1" a="1"/>
  <c r="AV64" i="1" s="1"/>
  <c r="AN70" i="1"/>
  <c r="AM70" i="1"/>
  <c r="L76" i="1"/>
  <c r="AL76" i="1"/>
  <c r="AK93" i="1"/>
  <c r="U93" i="1" s="1"/>
  <c r="AJ93" i="1"/>
  <c r="L62" i="1"/>
  <c r="AK62" i="1"/>
  <c r="AV67" i="1" a="1"/>
  <c r="AV67" i="1" s="1"/>
  <c r="T67" i="1" s="1"/>
  <c r="Z81" i="1"/>
  <c r="T102" i="1"/>
  <c r="AJ57" i="1"/>
  <c r="AX57" i="1" s="1" a="1"/>
  <c r="AX57" i="1" s="1"/>
  <c r="AN62" i="1"/>
  <c r="AL75" i="1"/>
  <c r="AA81" i="1"/>
  <c r="L85" i="1"/>
  <c r="AL85" i="1"/>
  <c r="Z60" i="1"/>
  <c r="AC60" i="1" s="1"/>
  <c r="AH66" i="1"/>
  <c r="K66" i="1"/>
  <c r="AX77" i="1" a="1"/>
  <c r="AX77" i="1" s="1"/>
  <c r="AA77" i="1" s="1"/>
  <c r="L55" i="1"/>
  <c r="AM63" i="1"/>
  <c r="Z63" i="1" s="1"/>
  <c r="AC63" i="1" s="1"/>
  <c r="AN64" i="1"/>
  <c r="N64" i="1" s="1"/>
  <c r="AJ65" i="1"/>
  <c r="AK65" i="1"/>
  <c r="AV65" i="1" s="1" a="1"/>
  <c r="AV65" i="1" s="1"/>
  <c r="T65" i="1" s="1"/>
  <c r="W65" i="1" s="1"/>
  <c r="AK69" i="1"/>
  <c r="AJ69" i="1"/>
  <c r="AV78" i="1" a="1"/>
  <c r="AV78" i="1" s="1"/>
  <c r="AX78" i="1" a="1"/>
  <c r="AX78" i="1" s="1"/>
  <c r="AW78" i="1" a="1"/>
  <c r="AW78" i="1" s="1"/>
  <c r="AV81" i="1" a="1"/>
  <c r="AV81" i="1" s="1"/>
  <c r="N81" i="1" s="1"/>
  <c r="AN88" i="1"/>
  <c r="AM88" i="1"/>
  <c r="K91" i="1"/>
  <c r="AH91" i="1"/>
  <c r="N98" i="1"/>
  <c r="O102" i="1"/>
  <c r="AV102" i="1" a="1"/>
  <c r="AV102" i="1" s="1"/>
  <c r="AX102" i="1" a="1"/>
  <c r="AX102" i="1" s="1"/>
  <c r="AA102" i="1" s="1"/>
  <c r="N115" i="1"/>
  <c r="AH76" i="1"/>
  <c r="K77" i="1"/>
  <c r="AL77" i="1" s="1"/>
  <c r="AJ81" i="1"/>
  <c r="AX81" i="1" s="1" a="1"/>
  <c r="AX81" i="1" s="1"/>
  <c r="AK86" i="1"/>
  <c r="L88" i="1"/>
  <c r="AX98" i="1" a="1"/>
  <c r="AX98" i="1" s="1"/>
  <c r="AA98" i="1" s="1"/>
  <c r="AW98" i="1" a="1"/>
  <c r="AW98" i="1" s="1"/>
  <c r="T98" i="1" s="1"/>
  <c r="AV98" i="1" a="1"/>
  <c r="AV98" i="1" s="1"/>
  <c r="AV69" i="1" a="1"/>
  <c r="AV69" i="1" s="1"/>
  <c r="AW69" i="1" s="1" a="1"/>
  <c r="AW69" i="1" s="1"/>
  <c r="AL74" i="1"/>
  <c r="AK75" i="1"/>
  <c r="AJ75" i="1"/>
  <c r="AX75" i="1" s="1" a="1"/>
  <c r="AX75" i="1" s="1"/>
  <c r="AK81" i="1"/>
  <c r="AK85" i="1"/>
  <c r="AX93" i="1" a="1"/>
  <c r="AX93" i="1" s="1"/>
  <c r="AJ97" i="1"/>
  <c r="AK99" i="1"/>
  <c r="AJ99" i="1"/>
  <c r="AW102" i="1" a="1"/>
  <c r="AW102" i="1" s="1"/>
  <c r="U102" i="1"/>
  <c r="AN122" i="1"/>
  <c r="AM122" i="1"/>
  <c r="K79" i="1"/>
  <c r="L94" i="1"/>
  <c r="AL94" i="1"/>
  <c r="O97" i="1"/>
  <c r="AM99" i="1"/>
  <c r="Z99" i="1" s="1"/>
  <c r="AC98" i="1" s="1"/>
  <c r="AN99" i="1"/>
  <c r="AL101" i="1"/>
  <c r="AW108" i="1" a="1"/>
  <c r="AW108" i="1" s="1"/>
  <c r="O111" i="1"/>
  <c r="AV111" i="1" a="1"/>
  <c r="AV111" i="1" s="1"/>
  <c r="U111" i="1" s="1"/>
  <c r="AA115" i="1"/>
  <c r="AB115" i="1" s="1"/>
  <c r="AK90" i="1"/>
  <c r="AL107" i="1"/>
  <c r="L107" i="1"/>
  <c r="U64" i="1"/>
  <c r="Z70" i="1"/>
  <c r="AH80" i="1"/>
  <c r="AH87" i="1"/>
  <c r="K87" i="1"/>
  <c r="AK89" i="1"/>
  <c r="AV89" i="1" s="1" a="1"/>
  <c r="AV89" i="1" s="1"/>
  <c r="AV99" i="1" a="1"/>
  <c r="AV99" i="1" s="1"/>
  <c r="L70" i="1"/>
  <c r="AX74" i="1" a="1"/>
  <c r="AX74" i="1" s="1"/>
  <c r="AA74" i="1" s="1"/>
  <c r="AB74" i="1" s="1"/>
  <c r="AA85" i="1"/>
  <c r="AX85" i="1" a="1"/>
  <c r="AX85" i="1" s="1"/>
  <c r="L89" i="1"/>
  <c r="AL89" i="1"/>
  <c r="Z89" i="1" s="1"/>
  <c r="AL93" i="1"/>
  <c r="L93" i="1"/>
  <c r="L97" i="1"/>
  <c r="AL97" i="1"/>
  <c r="AV97" i="1" a="1"/>
  <c r="AV97" i="1" s="1"/>
  <c r="U97" i="1" s="1"/>
  <c r="U98" i="1"/>
  <c r="AN102" i="1"/>
  <c r="N102" i="1" s="1"/>
  <c r="AJ110" i="1"/>
  <c r="AK110" i="1"/>
  <c r="AN116" i="1"/>
  <c r="AM116" i="1"/>
  <c r="Z116" i="1" s="1"/>
  <c r="AW77" i="1" a="1"/>
  <c r="AW77" i="1" s="1"/>
  <c r="U77" i="1" s="1"/>
  <c r="AX86" i="1" a="1"/>
  <c r="AX86" i="1" s="1"/>
  <c r="AA86" i="1" s="1"/>
  <c r="O98" i="1"/>
  <c r="AK103" i="1"/>
  <c r="U103" i="1" s="1"/>
  <c r="AJ103" i="1"/>
  <c r="AX103" i="1" s="1" a="1"/>
  <c r="AX103" i="1" s="1"/>
  <c r="N111" i="1"/>
  <c r="AK115" i="1"/>
  <c r="AX118" i="1" a="1"/>
  <c r="AX118" i="1" s="1"/>
  <c r="AL124" i="1"/>
  <c r="L124" i="1"/>
  <c r="AV94" i="1" a="1"/>
  <c r="AV94" i="1" s="1"/>
  <c r="I107" i="1"/>
  <c r="AV107" i="1" a="1"/>
  <c r="AV107" i="1" s="1"/>
  <c r="U107" i="1" s="1"/>
  <c r="K110" i="1"/>
  <c r="AX119" i="1" a="1"/>
  <c r="AX119" i="1" s="1"/>
  <c r="K90" i="1"/>
  <c r="AL90" i="1" s="1"/>
  <c r="AH101" i="1"/>
  <c r="AH109" i="1"/>
  <c r="K109" i="1"/>
  <c r="AW111" i="1" a="1"/>
  <c r="AW111" i="1" s="1"/>
  <c r="K114" i="1"/>
  <c r="AL114" i="1" s="1"/>
  <c r="AH114" i="1"/>
  <c r="K118" i="1"/>
  <c r="AW119" i="1" a="1"/>
  <c r="AW119" i="1" s="1"/>
  <c r="Z120" i="1"/>
  <c r="AC120" i="1" s="1"/>
  <c r="AV93" i="1" a="1"/>
  <c r="AV93" i="1" s="1"/>
  <c r="AW93" i="1" s="1" a="1"/>
  <c r="AW93" i="1" s="1"/>
  <c r="AV119" i="1" a="1"/>
  <c r="AV119" i="1" s="1"/>
  <c r="U119" i="1" s="1"/>
  <c r="T80" i="1"/>
  <c r="W80" i="1" s="1"/>
  <c r="I89" i="1"/>
  <c r="AJ107" i="1"/>
  <c r="AX111" i="1" a="1"/>
  <c r="AX111" i="1" s="1"/>
  <c r="AA111" i="1"/>
  <c r="Z111" i="1"/>
  <c r="AC111" i="1" s="1"/>
  <c r="Z112" i="1"/>
  <c r="AX112" i="1" a="1"/>
  <c r="AX112" i="1" s="1"/>
  <c r="AA119" i="1"/>
  <c r="AW94" i="1" a="1"/>
  <c r="AW94" i="1" s="1"/>
  <c r="L98" i="1"/>
  <c r="K103" i="1"/>
  <c r="AX108" i="1" a="1"/>
  <c r="AX108" i="1" s="1"/>
  <c r="AA108" i="1" s="1"/>
  <c r="AV115" i="1" a="1"/>
  <c r="AV115" i="1" s="1"/>
  <c r="Z122" i="1"/>
  <c r="AW116" i="1" a="1"/>
  <c r="AW116" i="1" s="1"/>
  <c r="U116" i="1" s="1"/>
  <c r="AV104" i="1" a="1"/>
  <c r="AV104" i="1" s="1"/>
  <c r="U104" i="1" s="1"/>
  <c r="AW115" i="1" a="1"/>
  <c r="AW115" i="1" s="1"/>
  <c r="U115" i="1"/>
  <c r="T115" i="1"/>
  <c r="O118" i="1"/>
  <c r="AV122" i="1" a="1"/>
  <c r="AV122" i="1" s="1"/>
  <c r="AK122" i="1"/>
  <c r="AJ122" i="1"/>
  <c r="AX122" i="1" s="1" a="1"/>
  <c r="AX122" i="1" s="1"/>
  <c r="O104" i="1"/>
  <c r="AC115" i="1"/>
  <c r="AV116" i="1" a="1"/>
  <c r="AV116" i="1" s="1"/>
  <c r="O116" i="1" s="1"/>
  <c r="K119" i="1"/>
  <c r="L120" i="1"/>
  <c r="AJ120" i="1"/>
  <c r="Z124" i="1"/>
  <c r="AC124" i="1" s="1"/>
  <c r="AX124" i="1" a="1"/>
  <c r="AX124" i="1" s="1"/>
  <c r="AV118" i="1" a="1"/>
  <c r="AV118" i="1" s="1"/>
  <c r="U118" i="1" s="1"/>
  <c r="AN120" i="1"/>
  <c r="AH121" i="1"/>
  <c r="K121" i="1"/>
  <c r="I121" i="1"/>
  <c r="O125" i="1"/>
  <c r="P125" i="1" s="1"/>
  <c r="AV125" i="1" a="1"/>
  <c r="AV125" i="1" s="1"/>
  <c r="AV88" i="1" a="1"/>
  <c r="AV88" i="1" s="1"/>
  <c r="T88" i="1" s="1"/>
  <c r="AA103" i="1"/>
  <c r="AV103" i="1" a="1"/>
  <c r="AV103" i="1" s="1"/>
  <c r="AL108" i="1"/>
  <c r="L108" i="1"/>
  <c r="AA118" i="1"/>
  <c r="AJ112" i="1"/>
  <c r="AK112" i="1"/>
  <c r="AV120" i="1" a="1"/>
  <c r="AV120" i="1" s="1"/>
  <c r="AX120" i="1" s="1" a="1"/>
  <c r="AX120" i="1" s="1"/>
  <c r="AN130" i="1"/>
  <c r="AM130" i="1"/>
  <c r="AJ134" i="1"/>
  <c r="U125" i="1"/>
  <c r="V125" i="1" s="1"/>
  <c r="AW125" i="1" a="1"/>
  <c r="AW125" i="1" s="1"/>
  <c r="T125" i="1"/>
  <c r="W125" i="1" s="1"/>
  <c r="AW126" i="1" a="1"/>
  <c r="AW126" i="1" s="1"/>
  <c r="U126" i="1"/>
  <c r="T126" i="1"/>
  <c r="AV134" i="1" a="1"/>
  <c r="AV134" i="1" s="1"/>
  <c r="U134" i="1" s="1"/>
  <c r="AH135" i="1"/>
  <c r="K135" i="1"/>
  <c r="AL135" i="1" s="1"/>
  <c r="AW124" i="1" a="1"/>
  <c r="AW124" i="1" s="1"/>
  <c r="AH128" i="1"/>
  <c r="AK132" i="1"/>
  <c r="AV132" i="1" s="1" a="1"/>
  <c r="AV132" i="1" s="1"/>
  <c r="AA132" i="1" s="1"/>
  <c r="AJ132" i="1"/>
  <c r="AX132" i="1" s="1" a="1"/>
  <c r="AX132" i="1" s="1"/>
  <c r="AH105" i="1"/>
  <c r="K105" i="1"/>
  <c r="AL105" i="1" s="1"/>
  <c r="K125" i="1"/>
  <c r="AV127" i="1" a="1"/>
  <c r="AV127" i="1" s="1"/>
  <c r="AA127" i="1" s="1"/>
  <c r="AK126" i="1"/>
  <c r="AV126" i="1" s="1" a="1"/>
  <c r="AV126" i="1" s="1"/>
  <c r="AK130" i="1"/>
  <c r="AV130" i="1" s="1" a="1"/>
  <c r="AV130" i="1" s="1"/>
  <c r="Z132" i="1"/>
  <c r="K128" i="1"/>
  <c r="AL128" i="1" s="1"/>
  <c r="I134" i="1"/>
  <c r="K134" i="1"/>
  <c r="K132" i="1"/>
  <c r="AL132" i="1" s="1"/>
  <c r="K126" i="1"/>
  <c r="AL126" i="1" s="1"/>
  <c r="V97" i="1" l="1"/>
  <c r="T130" i="1"/>
  <c r="AX89" i="1" a="1"/>
  <c r="AX89" i="1" s="1"/>
  <c r="AA89" i="1"/>
  <c r="AW89" i="1" a="1"/>
  <c r="AW89" i="1" s="1"/>
  <c r="V93" i="1"/>
  <c r="N63" i="1"/>
  <c r="T63" i="1"/>
  <c r="W63" i="1" s="1"/>
  <c r="AA130" i="1"/>
  <c r="AW130" i="1" a="1"/>
  <c r="AW130" i="1" s="1"/>
  <c r="AX130" i="1" a="1"/>
  <c r="AX130" i="1" s="1"/>
  <c r="AW23" i="1" a="1"/>
  <c r="AW23" i="1" s="1"/>
  <c r="AJ95" i="1"/>
  <c r="AK95" i="1"/>
  <c r="AC104" i="1"/>
  <c r="AK58" i="1"/>
  <c r="AJ58" i="1"/>
  <c r="AN132" i="1"/>
  <c r="AM132" i="1"/>
  <c r="AW104" i="1" a="1"/>
  <c r="AW104" i="1" s="1"/>
  <c r="AJ114" i="1"/>
  <c r="AK114" i="1"/>
  <c r="L121" i="1"/>
  <c r="AL121" i="1"/>
  <c r="O120" i="1"/>
  <c r="P120" i="1" s="1"/>
  <c r="AA122" i="1"/>
  <c r="AB118" i="1" s="1"/>
  <c r="AX107" i="1" a="1"/>
  <c r="AX107" i="1" s="1"/>
  <c r="AA107" i="1"/>
  <c r="AW107" i="1" a="1"/>
  <c r="AW107" i="1" s="1"/>
  <c r="AV90" i="1" a="1"/>
  <c r="AV90" i="1" s="1"/>
  <c r="AN80" i="1"/>
  <c r="AM80" i="1"/>
  <c r="L61" i="1"/>
  <c r="AL61" i="1"/>
  <c r="AA64" i="1"/>
  <c r="N69" i="1"/>
  <c r="AW103" i="1" a="1"/>
  <c r="AW103" i="1" s="1"/>
  <c r="U45" i="1"/>
  <c r="AN48" i="1"/>
  <c r="AM48" i="1"/>
  <c r="O45" i="1"/>
  <c r="AN37" i="1"/>
  <c r="N37" i="1" s="1"/>
  <c r="AM37" i="1"/>
  <c r="AK19" i="1"/>
  <c r="AJ19" i="1"/>
  <c r="O16" i="1"/>
  <c r="P16" i="1" s="1"/>
  <c r="AN31" i="1"/>
  <c r="AM31" i="1"/>
  <c r="Z31" i="1" s="1"/>
  <c r="AW37" i="1" a="1"/>
  <c r="AW37" i="1" s="1"/>
  <c r="N13" i="1"/>
  <c r="AV11" i="1" a="1"/>
  <c r="AV11" i="1" s="1"/>
  <c r="O11" i="1" s="1"/>
  <c r="AW25" i="1" a="1"/>
  <c r="AW25" i="1" s="1"/>
  <c r="T32" i="1"/>
  <c r="AK121" i="1"/>
  <c r="AJ121" i="1"/>
  <c r="L119" i="1"/>
  <c r="AL119" i="1"/>
  <c r="AX99" i="1" a="1"/>
  <c r="AX99" i="1" s="1"/>
  <c r="AA99" i="1" s="1"/>
  <c r="AB98" i="1" s="1"/>
  <c r="O107" i="1"/>
  <c r="O115" i="1"/>
  <c r="P115" i="1" s="1"/>
  <c r="N99" i="1"/>
  <c r="T99" i="1"/>
  <c r="W98" i="1" s="1"/>
  <c r="AX67" i="1" a="1"/>
  <c r="AX67" i="1" s="1"/>
  <c r="AL66" i="1"/>
  <c r="L66" i="1"/>
  <c r="AV62" i="1" a="1"/>
  <c r="AV62" i="1" s="1"/>
  <c r="T62" i="1" s="1"/>
  <c r="W62" i="1" s="1"/>
  <c r="T70" i="1"/>
  <c r="N70" i="1"/>
  <c r="AW60" i="1" a="1"/>
  <c r="AW60" i="1" s="1"/>
  <c r="AK71" i="1"/>
  <c r="AJ71" i="1"/>
  <c r="AX64" i="1" a="1"/>
  <c r="AX64" i="1" s="1"/>
  <c r="AN83" i="1"/>
  <c r="AM83" i="1"/>
  <c r="Z83" i="1"/>
  <c r="O60" i="1"/>
  <c r="P60" i="1" s="1"/>
  <c r="AW63" i="1" a="1"/>
  <c r="AW63" i="1" s="1"/>
  <c r="AA48" i="1"/>
  <c r="AB45" i="1" s="1"/>
  <c r="U48" i="1"/>
  <c r="U32" i="1"/>
  <c r="AW32" i="1" a="1"/>
  <c r="AW32" i="1" s="1"/>
  <c r="AN34" i="1"/>
  <c r="N34" i="1" s="1"/>
  <c r="AM34" i="1"/>
  <c r="L26" i="1"/>
  <c r="AL26" i="1"/>
  <c r="AN14" i="1"/>
  <c r="N14" i="1" s="1"/>
  <c r="AM14" i="1"/>
  <c r="N39" i="1"/>
  <c r="T39" i="1"/>
  <c r="AA28" i="1"/>
  <c r="AA4" i="1"/>
  <c r="AB4" i="1" s="1"/>
  <c r="U11" i="1"/>
  <c r="V10" i="1" s="1"/>
  <c r="AA11" i="1"/>
  <c r="T13" i="1"/>
  <c r="AL109" i="1"/>
  <c r="L109" i="1"/>
  <c r="AV110" i="1" a="1"/>
  <c r="AV110" i="1" s="1"/>
  <c r="O110" i="1" s="1"/>
  <c r="P110" i="1" s="1"/>
  <c r="AA75" i="1"/>
  <c r="AB75" i="1" s="1"/>
  <c r="AV79" i="1" a="1"/>
  <c r="AV79" i="1" s="1"/>
  <c r="O79" i="1" s="1"/>
  <c r="P79" i="1" s="1"/>
  <c r="AW132" i="1" a="1"/>
  <c r="AW132" i="1" s="1"/>
  <c r="AW127" i="1" a="1"/>
  <c r="AW127" i="1" s="1"/>
  <c r="O122" i="1"/>
  <c r="AA120" i="1"/>
  <c r="AB120" i="1" s="1"/>
  <c r="U120" i="1"/>
  <c r="V120" i="1" s="1"/>
  <c r="AM124" i="1"/>
  <c r="AN124" i="1"/>
  <c r="N124" i="1" s="1"/>
  <c r="Q124" i="1" s="1"/>
  <c r="L134" i="1"/>
  <c r="AL134" i="1"/>
  <c r="AN114" i="1"/>
  <c r="AM114" i="1"/>
  <c r="Z114" i="1" s="1"/>
  <c r="AC114" i="1" s="1"/>
  <c r="AK80" i="1"/>
  <c r="AJ80" i="1"/>
  <c r="AX134" i="1" a="1"/>
  <c r="AX134" i="1" s="1"/>
  <c r="AA134" i="1"/>
  <c r="T116" i="1"/>
  <c r="N122" i="1"/>
  <c r="T122" i="1"/>
  <c r="AV85" i="1" a="1"/>
  <c r="AV85" i="1" s="1"/>
  <c r="AW85" i="1" s="1" a="1"/>
  <c r="AW85" i="1" s="1"/>
  <c r="O85" i="1"/>
  <c r="AJ66" i="1"/>
  <c r="AK66" i="1"/>
  <c r="AL71" i="1"/>
  <c r="L71" i="1"/>
  <c r="AK83" i="1"/>
  <c r="AJ83" i="1"/>
  <c r="AW56" i="1" a="1"/>
  <c r="AW56" i="1" s="1"/>
  <c r="AV48" i="1" a="1"/>
  <c r="AV48" i="1" s="1"/>
  <c r="O48" i="1" s="1"/>
  <c r="AA29" i="1"/>
  <c r="AB26" i="1" s="1"/>
  <c r="AW29" i="1" a="1"/>
  <c r="AW29" i="1" s="1"/>
  <c r="T29" i="1" s="1"/>
  <c r="AM23" i="1"/>
  <c r="Z23" i="1" s="1"/>
  <c r="AN23" i="1"/>
  <c r="AX18" i="1" a="1"/>
  <c r="AX18" i="1" s="1"/>
  <c r="AC39" i="1"/>
  <c r="O28" i="1"/>
  <c r="P28" i="1" s="1"/>
  <c r="AX10" i="1" a="1"/>
  <c r="AX10" i="1" s="1"/>
  <c r="N29" i="1"/>
  <c r="U25" i="1"/>
  <c r="L9" i="1"/>
  <c r="O17" i="1"/>
  <c r="P17" i="1" s="1"/>
  <c r="AM105" i="1"/>
  <c r="Z105" i="1" s="1"/>
  <c r="AC102" i="1" s="1"/>
  <c r="AN105" i="1"/>
  <c r="AM93" i="1"/>
  <c r="Z93" i="1" s="1"/>
  <c r="AC93" i="1" s="1"/>
  <c r="AN93" i="1"/>
  <c r="U99" i="1"/>
  <c r="V94" i="1" s="1"/>
  <c r="O99" i="1"/>
  <c r="P97" i="1" s="1"/>
  <c r="AW81" i="1" a="1"/>
  <c r="AW81" i="1" s="1"/>
  <c r="AN49" i="1"/>
  <c r="AM49" i="1"/>
  <c r="Z49" i="1" s="1"/>
  <c r="AW120" i="1" a="1"/>
  <c r="AW120" i="1" s="1"/>
  <c r="AX127" i="1" a="1"/>
  <c r="AX127" i="1" s="1"/>
  <c r="AK135" i="1"/>
  <c r="AJ135" i="1"/>
  <c r="AN101" i="1"/>
  <c r="AM101" i="1"/>
  <c r="Z101" i="1" s="1"/>
  <c r="N120" i="1"/>
  <c r="Q120" i="1" s="1"/>
  <c r="T120" i="1"/>
  <c r="W120" i="1" s="1"/>
  <c r="L110" i="1"/>
  <c r="AL110" i="1"/>
  <c r="AJ91" i="1"/>
  <c r="AK91" i="1"/>
  <c r="AX69" i="1" a="1"/>
  <c r="AX69" i="1" s="1"/>
  <c r="AA69" i="1" s="1"/>
  <c r="L125" i="1"/>
  <c r="AL125" i="1"/>
  <c r="AM108" i="1"/>
  <c r="Z108" i="1" s="1"/>
  <c r="AC108" i="1" s="1"/>
  <c r="AN108" i="1"/>
  <c r="AW118" i="1" a="1"/>
  <c r="AW118" i="1" s="1"/>
  <c r="U122" i="1"/>
  <c r="V118" i="1" s="1"/>
  <c r="T111" i="1"/>
  <c r="N116" i="1"/>
  <c r="Q115" i="1" s="1"/>
  <c r="L104" i="1"/>
  <c r="AW70" i="1" a="1"/>
  <c r="AW70" i="1" s="1"/>
  <c r="O81" i="1"/>
  <c r="AL91" i="1"/>
  <c r="L86" i="1"/>
  <c r="O69" i="1"/>
  <c r="AX104" i="1" a="1"/>
  <c r="AX104" i="1" s="1"/>
  <c r="L102" i="1"/>
  <c r="AL60" i="1"/>
  <c r="L60" i="1"/>
  <c r="AN45" i="1"/>
  <c r="AM45" i="1"/>
  <c r="Z45" i="1" s="1"/>
  <c r="AA63" i="1"/>
  <c r="AW21" i="1" a="1"/>
  <c r="AW21" i="1" s="1"/>
  <c r="U21" i="1" s="1"/>
  <c r="AV16" i="1" a="1"/>
  <c r="AV16" i="1" s="1"/>
  <c r="AW16" i="1" s="1" a="1"/>
  <c r="AW16" i="1" s="1"/>
  <c r="AK31" i="1"/>
  <c r="AJ31" i="1"/>
  <c r="AA18" i="1"/>
  <c r="AX21" i="1" a="1"/>
  <c r="AX21" i="1" s="1"/>
  <c r="AA21" i="1" s="1"/>
  <c r="AN27" i="1"/>
  <c r="AM27" i="1"/>
  <c r="Z27" i="1" s="1"/>
  <c r="AC27" i="1" s="1"/>
  <c r="AV26" i="1" a="1"/>
  <c r="AV26" i="1" s="1"/>
  <c r="AW26" i="1" s="1" a="1"/>
  <c r="AW26" i="1" s="1"/>
  <c r="O26" i="1"/>
  <c r="P26" i="1" s="1"/>
  <c r="O4" i="1"/>
  <c r="O18" i="1"/>
  <c r="P18" i="1" s="1"/>
  <c r="Z29" i="1"/>
  <c r="O25" i="1"/>
  <c r="P25" i="1" s="1"/>
  <c r="AN9" i="1"/>
  <c r="AM9" i="1"/>
  <c r="Z9" i="1" s="1"/>
  <c r="AW17" i="1" a="1"/>
  <c r="AW17" i="1" s="1"/>
  <c r="V36" i="1"/>
  <c r="N21" i="1"/>
  <c r="AX13" i="1" a="1"/>
  <c r="AX13" i="1" s="1"/>
  <c r="AW13" i="1" a="1"/>
  <c r="AW13" i="1" s="1"/>
  <c r="U4" i="1"/>
  <c r="V4" i="1" s="1"/>
  <c r="U34" i="1"/>
  <c r="AA34" i="1"/>
  <c r="AX36" i="1" a="1"/>
  <c r="AX36" i="1" s="1"/>
  <c r="AB10" i="1"/>
  <c r="AJ105" i="1"/>
  <c r="AK105" i="1"/>
  <c r="N130" i="1"/>
  <c r="P118" i="1"/>
  <c r="AK109" i="1"/>
  <c r="AJ109" i="1"/>
  <c r="AM97" i="1"/>
  <c r="Z97" i="1" s="1"/>
  <c r="AC97" i="1" s="1"/>
  <c r="AN97" i="1"/>
  <c r="O89" i="1"/>
  <c r="U89" i="1"/>
  <c r="AA70" i="1"/>
  <c r="AN94" i="1"/>
  <c r="AM94" i="1"/>
  <c r="Z94" i="1" s="1"/>
  <c r="AC94" i="1" s="1"/>
  <c r="O75" i="1"/>
  <c r="P75" i="1" s="1"/>
  <c r="AW88" i="1" a="1"/>
  <c r="AW88" i="1" s="1"/>
  <c r="AA65" i="1"/>
  <c r="AB65" i="1" s="1"/>
  <c r="AA93" i="1"/>
  <c r="AL96" i="1"/>
  <c r="L96" i="1"/>
  <c r="AL95" i="1"/>
  <c r="L95" i="1"/>
  <c r="N65" i="1"/>
  <c r="Q65" i="1" s="1"/>
  <c r="AC62" i="1"/>
  <c r="O67" i="1"/>
  <c r="U67" i="1"/>
  <c r="V64" i="1" s="1"/>
  <c r="AK72" i="1"/>
  <c r="AJ72" i="1"/>
  <c r="AL47" i="1"/>
  <c r="L47" i="1"/>
  <c r="AM46" i="1"/>
  <c r="Z46" i="1" s="1"/>
  <c r="AN46" i="1"/>
  <c r="AM18" i="1"/>
  <c r="AN18" i="1"/>
  <c r="Z18" i="1"/>
  <c r="AC18" i="1" s="1"/>
  <c r="AV9" i="1" a="1"/>
  <c r="AV9" i="1" s="1"/>
  <c r="AW9" i="1" s="1" a="1"/>
  <c r="AW9" i="1" s="1"/>
  <c r="AM10" i="1"/>
  <c r="AN10" i="1"/>
  <c r="O39" i="1"/>
  <c r="T21" i="1"/>
  <c r="O13" i="1"/>
  <c r="P13" i="1" s="1"/>
  <c r="U13" i="1"/>
  <c r="V13" i="1" s="1"/>
  <c r="AN16" i="1"/>
  <c r="AM16" i="1"/>
  <c r="Z16" i="1" s="1"/>
  <c r="AC16" i="1" s="1"/>
  <c r="O6" i="1"/>
  <c r="AN17" i="1"/>
  <c r="AM17" i="1"/>
  <c r="Z17" i="1" s="1"/>
  <c r="AC17" i="1" s="1"/>
  <c r="O34" i="1"/>
  <c r="AK96" i="1"/>
  <c r="AJ96" i="1"/>
  <c r="U110" i="1"/>
  <c r="W115" i="1"/>
  <c r="AK101" i="1"/>
  <c r="AJ101" i="1"/>
  <c r="O103" i="1"/>
  <c r="L87" i="1"/>
  <c r="AL87" i="1"/>
  <c r="AN74" i="1"/>
  <c r="AM74" i="1"/>
  <c r="Z74" i="1" s="1"/>
  <c r="N88" i="1"/>
  <c r="Q64" i="1"/>
  <c r="AN85" i="1"/>
  <c r="AM85" i="1"/>
  <c r="Z85" i="1" s="1"/>
  <c r="N62" i="1"/>
  <c r="Q62" i="1" s="1"/>
  <c r="O93" i="1"/>
  <c r="AX94" i="1" a="1"/>
  <c r="AX94" i="1" s="1"/>
  <c r="AA94" i="1"/>
  <c r="O108" i="1"/>
  <c r="T69" i="1"/>
  <c r="L54" i="1"/>
  <c r="AL54" i="1"/>
  <c r="AL72" i="1"/>
  <c r="L69" i="1"/>
  <c r="AJ47" i="1"/>
  <c r="AK47" i="1"/>
  <c r="AL51" i="1"/>
  <c r="L51" i="1"/>
  <c r="AJ27" i="1"/>
  <c r="AK27" i="1"/>
  <c r="L10" i="1"/>
  <c r="AC25" i="1"/>
  <c r="O10" i="1"/>
  <c r="O65" i="1"/>
  <c r="AA67" i="1"/>
  <c r="AW134" i="1" a="1"/>
  <c r="AW134" i="1" s="1"/>
  <c r="U130" i="1"/>
  <c r="O130" i="1"/>
  <c r="V115" i="1"/>
  <c r="P98" i="1"/>
  <c r="AK87" i="1"/>
  <c r="AJ87" i="1"/>
  <c r="AW99" i="1" a="1"/>
  <c r="AW99" i="1" s="1"/>
  <c r="L74" i="1"/>
  <c r="AV86" i="1" a="1"/>
  <c r="AV86" i="1" s="1"/>
  <c r="AX88" i="1" a="1"/>
  <c r="AX88" i="1" s="1"/>
  <c r="AW57" i="1" a="1"/>
  <c r="AW57" i="1" s="1"/>
  <c r="T57" i="1" s="1"/>
  <c r="AA57" i="1"/>
  <c r="AM76" i="1"/>
  <c r="Z76" i="1" s="1"/>
  <c r="AN76" i="1"/>
  <c r="O94" i="1"/>
  <c r="U69" i="1"/>
  <c r="AN56" i="1"/>
  <c r="AM56" i="1"/>
  <c r="Z56" i="1" s="1"/>
  <c r="Z57" i="1"/>
  <c r="AJ54" i="1"/>
  <c r="AK54" i="1"/>
  <c r="O70" i="1"/>
  <c r="AK51" i="1"/>
  <c r="AJ51" i="1"/>
  <c r="AV43" i="1" a="1"/>
  <c r="AV43" i="1" s="1"/>
  <c r="AA43" i="1" s="1"/>
  <c r="AM11" i="1"/>
  <c r="AN11" i="1"/>
  <c r="N11" i="1" s="1"/>
  <c r="L5" i="1"/>
  <c r="L8" i="1"/>
  <c r="T25" i="1"/>
  <c r="N25" i="1"/>
  <c r="Q25" i="1" s="1"/>
  <c r="AW43" i="1" a="1"/>
  <c r="AW43" i="1" s="1"/>
  <c r="U16" i="1"/>
  <c r="AB9" i="1"/>
  <c r="AM40" i="1"/>
  <c r="Z40" i="1" s="1"/>
  <c r="AN40" i="1"/>
  <c r="O8" i="1"/>
  <c r="U37" i="1"/>
  <c r="AA37" i="1"/>
  <c r="AB36" i="1" s="1"/>
  <c r="L39" i="1"/>
  <c r="AX8" i="1" a="1"/>
  <c r="AX8" i="1" s="1"/>
  <c r="AA8" i="1" s="1"/>
  <c r="AB8" i="1" s="1"/>
  <c r="AN128" i="1"/>
  <c r="AM128" i="1"/>
  <c r="Z128" i="1" s="1"/>
  <c r="O132" i="1"/>
  <c r="U132" i="1"/>
  <c r="AL53" i="1"/>
  <c r="L53" i="1"/>
  <c r="AN126" i="1"/>
  <c r="N126" i="1" s="1"/>
  <c r="AM126" i="1"/>
  <c r="O126" i="1"/>
  <c r="AK128" i="1"/>
  <c r="AJ128" i="1"/>
  <c r="O112" i="1"/>
  <c r="P111" i="1" s="1"/>
  <c r="AV112" i="1" a="1"/>
  <c r="AV112" i="1" s="1"/>
  <c r="AL103" i="1"/>
  <c r="L103" i="1"/>
  <c r="O134" i="1"/>
  <c r="Z90" i="1"/>
  <c r="AM90" i="1"/>
  <c r="AN90" i="1"/>
  <c r="AX65" i="1" a="1"/>
  <c r="AX65" i="1" s="1"/>
  <c r="AM107" i="1"/>
  <c r="Z107" i="1" s="1"/>
  <c r="AC107" i="1" s="1"/>
  <c r="AN107" i="1"/>
  <c r="AX97" i="1" a="1"/>
  <c r="AX97" i="1" s="1"/>
  <c r="AA97" i="1" s="1"/>
  <c r="AW97" i="1" a="1"/>
  <c r="AW97" i="1" s="1"/>
  <c r="AW65" i="1" a="1"/>
  <c r="AW65" i="1" s="1"/>
  <c r="L75" i="1"/>
  <c r="N67" i="1"/>
  <c r="AJ49" i="1"/>
  <c r="AK49" i="1"/>
  <c r="O64" i="1"/>
  <c r="P64" i="1" s="1"/>
  <c r="AN58" i="1"/>
  <c r="AM58" i="1"/>
  <c r="AJ52" i="1"/>
  <c r="AK52" i="1"/>
  <c r="AK53" i="1"/>
  <c r="AJ53" i="1"/>
  <c r="AX43" i="1" a="1"/>
  <c r="AX43" i="1" s="1"/>
  <c r="Z32" i="1"/>
  <c r="O119" i="1"/>
  <c r="P119" i="1" s="1"/>
  <c r="N8" i="1"/>
  <c r="Q8" i="1" s="1"/>
  <c r="AA40" i="1"/>
  <c r="O37" i="1"/>
  <c r="P36" i="1" s="1"/>
  <c r="AW40" i="1" a="1"/>
  <c r="AW40" i="1" s="1"/>
  <c r="O23" i="1"/>
  <c r="U23" i="1"/>
  <c r="AX39" i="1" a="1"/>
  <c r="AX39" i="1" s="1"/>
  <c r="AA39" i="1" s="1"/>
  <c r="AB39" i="1" s="1"/>
  <c r="AV8" i="1" a="1"/>
  <c r="AV8" i="1" s="1"/>
  <c r="T8" i="1" s="1"/>
  <c r="V98" i="1"/>
  <c r="AW122" i="1" a="1"/>
  <c r="AW122" i="1" s="1"/>
  <c r="AL118" i="1"/>
  <c r="L118" i="1"/>
  <c r="AM89" i="1"/>
  <c r="AN89" i="1"/>
  <c r="L79" i="1"/>
  <c r="AL79" i="1"/>
  <c r="U65" i="1"/>
  <c r="AN77" i="1"/>
  <c r="N77" i="1" s="1"/>
  <c r="AM77" i="1"/>
  <c r="Q98" i="1"/>
  <c r="AN75" i="1"/>
  <c r="AM75" i="1"/>
  <c r="Z75" i="1" s="1"/>
  <c r="O88" i="1"/>
  <c r="N104" i="1"/>
  <c r="T104" i="1"/>
  <c r="AV74" i="1" a="1"/>
  <c r="AV74" i="1" s="1"/>
  <c r="AW74" i="1" s="1" a="1"/>
  <c r="AW74" i="1" s="1"/>
  <c r="AL52" i="1"/>
  <c r="L52" i="1"/>
  <c r="AN6" i="1"/>
  <c r="N6" i="1" s="1"/>
  <c r="AM6" i="1"/>
  <c r="AV42" i="1" a="1"/>
  <c r="AV42" i="1" s="1"/>
  <c r="AA42" i="1" s="1"/>
  <c r="AL4" i="1"/>
  <c r="L4" i="1"/>
  <c r="AC20" i="1"/>
  <c r="O40" i="1"/>
  <c r="U40" i="1"/>
  <c r="V39" i="1" s="1"/>
  <c r="AN36" i="1"/>
  <c r="AM36" i="1"/>
  <c r="AX4" i="1" a="1"/>
  <c r="AX4" i="1" s="1"/>
  <c r="AV5" i="1" a="1"/>
  <c r="AV5" i="1" s="1"/>
  <c r="AX5" i="1" s="1" a="1"/>
  <c r="AX5" i="1" s="1"/>
  <c r="AC19" i="1"/>
  <c r="AA14" i="1"/>
  <c r="AB13" i="1" s="1"/>
  <c r="AA104" i="1"/>
  <c r="AN135" i="1"/>
  <c r="AM135" i="1"/>
  <c r="AA112" i="1"/>
  <c r="AB108" i="1" s="1"/>
  <c r="L101" i="1"/>
  <c r="AK76" i="1"/>
  <c r="AJ76" i="1"/>
  <c r="AV75" i="1" a="1"/>
  <c r="AV75" i="1" s="1"/>
  <c r="U75" i="1" s="1"/>
  <c r="V75" i="1" s="1"/>
  <c r="W64" i="1"/>
  <c r="AC64" i="1"/>
  <c r="AJ61" i="1"/>
  <c r="AK61" i="1"/>
  <c r="U63" i="1"/>
  <c r="V63" i="1" s="1"/>
  <c r="O63" i="1"/>
  <c r="P63" i="1" s="1"/>
  <c r="L48" i="1"/>
  <c r="AJ46" i="1"/>
  <c r="AK46" i="1"/>
  <c r="AM28" i="1"/>
  <c r="Z28" i="1" s="1"/>
  <c r="AN28" i="1"/>
  <c r="AK20" i="1"/>
  <c r="AJ20" i="1"/>
  <c r="L36" i="1"/>
  <c r="AX23" i="1" a="1"/>
  <c r="AX23" i="1" s="1"/>
  <c r="AA23" i="1" s="1"/>
  <c r="N5" i="1"/>
  <c r="Q5" i="1" s="1"/>
  <c r="N32" i="1"/>
  <c r="O14" i="1"/>
  <c r="V18" i="1" l="1"/>
  <c r="V17" i="1"/>
  <c r="AB16" i="1"/>
  <c r="AB17" i="1"/>
  <c r="T76" i="1"/>
  <c r="W76" i="1" s="1"/>
  <c r="N76" i="1"/>
  <c r="Q76" i="1" s="1"/>
  <c r="AN72" i="1"/>
  <c r="AM72" i="1"/>
  <c r="AM47" i="1"/>
  <c r="Z47" i="1" s="1"/>
  <c r="AN47" i="1"/>
  <c r="AV91" i="1" a="1"/>
  <c r="AV91" i="1" s="1"/>
  <c r="O91" i="1" s="1"/>
  <c r="N89" i="1"/>
  <c r="T89" i="1"/>
  <c r="AV128" i="1" a="1"/>
  <c r="AV128" i="1" s="1"/>
  <c r="T128" i="1" s="1"/>
  <c r="AV27" i="1" a="1"/>
  <c r="AV27" i="1" s="1"/>
  <c r="O27" i="1" s="1"/>
  <c r="P27" i="1" s="1"/>
  <c r="AN118" i="1"/>
  <c r="AM118" i="1"/>
  <c r="Z118" i="1" s="1"/>
  <c r="AC118" i="1" s="1"/>
  <c r="T86" i="1"/>
  <c r="N86" i="1"/>
  <c r="AW86" i="1" a="1"/>
  <c r="AW86" i="1" s="1"/>
  <c r="AB94" i="1"/>
  <c r="AA49" i="1"/>
  <c r="AX49" i="1" a="1"/>
  <c r="AX49" i="1" s="1"/>
  <c r="T40" i="1"/>
  <c r="N40" i="1"/>
  <c r="T11" i="1"/>
  <c r="Z11" i="1"/>
  <c r="O86" i="1"/>
  <c r="AM51" i="1"/>
  <c r="Z51" i="1" s="1"/>
  <c r="AN51" i="1"/>
  <c r="P93" i="1"/>
  <c r="AN95" i="1"/>
  <c r="AM95" i="1"/>
  <c r="Z95" i="1" s="1"/>
  <c r="AC95" i="1" s="1"/>
  <c r="N97" i="1"/>
  <c r="Q97" i="1" s="1"/>
  <c r="T97" i="1"/>
  <c r="W97" i="1" s="1"/>
  <c r="P4" i="1"/>
  <c r="AN91" i="1"/>
  <c r="N91" i="1" s="1"/>
  <c r="AM91" i="1"/>
  <c r="AN125" i="1"/>
  <c r="N125" i="1" s="1"/>
  <c r="Q125" i="1" s="1"/>
  <c r="AM125" i="1"/>
  <c r="N93" i="1"/>
  <c r="Q93" i="1" s="1"/>
  <c r="T93" i="1"/>
  <c r="W93" i="1" s="1"/>
  <c r="U83" i="1"/>
  <c r="AV83" i="1" a="1"/>
  <c r="AV83" i="1" s="1"/>
  <c r="AA83" i="1" s="1"/>
  <c r="AN109" i="1"/>
  <c r="AM109" i="1"/>
  <c r="Z109" i="1" s="1"/>
  <c r="AC109" i="1" s="1"/>
  <c r="N48" i="1"/>
  <c r="AX90" i="1" a="1"/>
  <c r="AX90" i="1" s="1"/>
  <c r="AA90" i="1"/>
  <c r="AW90" i="1" a="1"/>
  <c r="AW90" i="1" s="1"/>
  <c r="N28" i="1"/>
  <c r="Q28" i="1" s="1"/>
  <c r="T28" i="1"/>
  <c r="W28" i="1" s="1"/>
  <c r="AW76" i="1" a="1"/>
  <c r="AW76" i="1" s="1"/>
  <c r="AX76" i="1" a="1"/>
  <c r="AX76" i="1" s="1"/>
  <c r="AA76" i="1" s="1"/>
  <c r="AB76" i="1" s="1"/>
  <c r="T77" i="1"/>
  <c r="Z77" i="1"/>
  <c r="AC75" i="1" s="1"/>
  <c r="O9" i="1"/>
  <c r="P9" i="1" s="1"/>
  <c r="N56" i="1"/>
  <c r="T56" i="1"/>
  <c r="P65" i="1"/>
  <c r="O47" i="1"/>
  <c r="P47" i="1" s="1"/>
  <c r="AV47" i="1" a="1"/>
  <c r="AV47" i="1" s="1"/>
  <c r="U47" i="1" s="1"/>
  <c r="V47" i="1" s="1"/>
  <c r="AX101" i="1" a="1"/>
  <c r="AX101" i="1" s="1"/>
  <c r="AA101" i="1" s="1"/>
  <c r="N46" i="1"/>
  <c r="Q46" i="1" s="1"/>
  <c r="U26" i="1"/>
  <c r="AA135" i="1"/>
  <c r="AB134" i="1" s="1"/>
  <c r="AX135" i="1" a="1"/>
  <c r="AX135" i="1" s="1"/>
  <c r="AW135" i="1" a="1"/>
  <c r="AW135" i="1" s="1"/>
  <c r="U135" i="1" s="1"/>
  <c r="V134" i="1" s="1"/>
  <c r="AB119" i="1"/>
  <c r="Z34" i="1"/>
  <c r="T34" i="1"/>
  <c r="Q13" i="1"/>
  <c r="N132" i="1"/>
  <c r="T132" i="1"/>
  <c r="AB25" i="1"/>
  <c r="AA46" i="1"/>
  <c r="AB46" i="1" s="1"/>
  <c r="AX46" i="1" a="1"/>
  <c r="AX46" i="1" s="1"/>
  <c r="O74" i="1"/>
  <c r="P74" i="1" s="1"/>
  <c r="AA53" i="1"/>
  <c r="AB53" i="1" s="1"/>
  <c r="AW53" i="1" a="1"/>
  <c r="AW53" i="1" s="1"/>
  <c r="AX53" i="1" a="1"/>
  <c r="AX53" i="1" s="1"/>
  <c r="AA20" i="1"/>
  <c r="AB20" i="1" s="1"/>
  <c r="AX20" i="1" a="1"/>
  <c r="AX20" i="1" s="1"/>
  <c r="AW20" i="1" a="1"/>
  <c r="AW20" i="1" s="1"/>
  <c r="AV20" i="1" a="1"/>
  <c r="AV20" i="1" s="1"/>
  <c r="O5" i="1"/>
  <c r="P5" i="1" s="1"/>
  <c r="AN103" i="1"/>
  <c r="AM103" i="1"/>
  <c r="Z103" i="1" s="1"/>
  <c r="AC103" i="1" s="1"/>
  <c r="AA47" i="1"/>
  <c r="AB47" i="1" s="1"/>
  <c r="AX47" i="1" a="1"/>
  <c r="AX47" i="1" s="1"/>
  <c r="AW47" i="1" a="1"/>
  <c r="AW47" i="1" s="1"/>
  <c r="AV101" i="1" a="1"/>
  <c r="AV101" i="1" s="1"/>
  <c r="AW101" i="1" s="1" a="1"/>
  <c r="AW101" i="1" s="1"/>
  <c r="N16" i="1"/>
  <c r="Q16" i="1" s="1"/>
  <c r="T16" i="1"/>
  <c r="W16" i="1" s="1"/>
  <c r="AN96" i="1"/>
  <c r="AM96" i="1"/>
  <c r="Z96" i="1"/>
  <c r="AC96" i="1" s="1"/>
  <c r="AX109" i="1" a="1"/>
  <c r="AX109" i="1" s="1"/>
  <c r="AA109" i="1" s="1"/>
  <c r="AB109" i="1" s="1"/>
  <c r="O135" i="1"/>
  <c r="P134" i="1" s="1"/>
  <c r="AV135" i="1" a="1"/>
  <c r="AV135" i="1" s="1"/>
  <c r="N135" i="1" s="1"/>
  <c r="T23" i="1"/>
  <c r="N23" i="1"/>
  <c r="AN71" i="1"/>
  <c r="AM71" i="1"/>
  <c r="Z71" i="1"/>
  <c r="AX80" i="1" a="1"/>
  <c r="AX80" i="1" s="1"/>
  <c r="AW80" i="1" a="1"/>
  <c r="AW80" i="1" s="1"/>
  <c r="AW71" i="1" a="1"/>
  <c r="AW71" i="1" s="1"/>
  <c r="V45" i="1"/>
  <c r="AB107" i="1"/>
  <c r="U58" i="1"/>
  <c r="AW58" i="1" a="1"/>
  <c r="AW58" i="1" s="1"/>
  <c r="T58" i="1" s="1"/>
  <c r="AX58" i="1" a="1"/>
  <c r="AX58" i="1" s="1"/>
  <c r="AA58" i="1"/>
  <c r="V119" i="1"/>
  <c r="AM79" i="1"/>
  <c r="AN79" i="1"/>
  <c r="N79" i="1" s="1"/>
  <c r="Q79" i="1" s="1"/>
  <c r="P10" i="1"/>
  <c r="W25" i="1"/>
  <c r="Q88" i="1"/>
  <c r="P108" i="1"/>
  <c r="AN87" i="1"/>
  <c r="AM87" i="1"/>
  <c r="Z87" i="1" s="1"/>
  <c r="AC28" i="1"/>
  <c r="O76" i="1"/>
  <c r="P76" i="1" s="1"/>
  <c r="U76" i="1"/>
  <c r="V76" i="1" s="1"/>
  <c r="AV76" i="1" a="1"/>
  <c r="AV76" i="1" s="1"/>
  <c r="U46" i="1"/>
  <c r="V46" i="1" s="1"/>
  <c r="O46" i="1"/>
  <c r="P46" i="1" s="1"/>
  <c r="AV46" i="1" a="1"/>
  <c r="AV46" i="1" s="1"/>
  <c r="T46" i="1" s="1"/>
  <c r="W46" i="1" s="1"/>
  <c r="N36" i="1"/>
  <c r="Q36" i="1" s="1"/>
  <c r="T36" i="1"/>
  <c r="W36" i="1" s="1"/>
  <c r="AN52" i="1"/>
  <c r="AM52" i="1"/>
  <c r="Z52" i="1"/>
  <c r="V65" i="1"/>
  <c r="W8" i="1"/>
  <c r="AW112" i="1" a="1"/>
  <c r="AW112" i="1" s="1"/>
  <c r="N112" i="1"/>
  <c r="Q111" i="1" s="1"/>
  <c r="T112" i="1"/>
  <c r="V16" i="1"/>
  <c r="P94" i="1"/>
  <c r="AB93" i="1"/>
  <c r="AV109" i="1" a="1"/>
  <c r="AV109" i="1" s="1"/>
  <c r="AW109" i="1" s="1" a="1"/>
  <c r="AW109" i="1" s="1"/>
  <c r="AB63" i="1"/>
  <c r="AV66" i="1" a="1"/>
  <c r="AV66" i="1" s="1"/>
  <c r="AW66" i="1" s="1" a="1"/>
  <c r="AW66" i="1" s="1"/>
  <c r="AV80" i="1" a="1"/>
  <c r="AV80" i="1" s="1"/>
  <c r="O80" i="1" s="1"/>
  <c r="P80" i="1" s="1"/>
  <c r="U71" i="1"/>
  <c r="AV71" i="1" a="1"/>
  <c r="AV71" i="1" s="1"/>
  <c r="AA71" i="1" s="1"/>
  <c r="P107" i="1"/>
  <c r="AC31" i="1"/>
  <c r="O58" i="1"/>
  <c r="AV58" i="1" a="1"/>
  <c r="AV58" i="1" s="1"/>
  <c r="Q63" i="1"/>
  <c r="AX42" i="1" a="1"/>
  <c r="AX42" i="1" s="1"/>
  <c r="AX66" i="1" a="1"/>
  <c r="AX66" i="1" s="1"/>
  <c r="AA66" i="1" s="1"/>
  <c r="AB66" i="1" s="1"/>
  <c r="AX110" i="1" a="1"/>
  <c r="AX110" i="1" s="1"/>
  <c r="U53" i="1"/>
  <c r="AV53" i="1" a="1"/>
  <c r="AV53" i="1" s="1"/>
  <c r="O53" i="1" s="1"/>
  <c r="P53" i="1" s="1"/>
  <c r="AB97" i="1"/>
  <c r="AX128" i="1" a="1"/>
  <c r="AX128" i="1" s="1"/>
  <c r="AA128" i="1" s="1"/>
  <c r="AW128" i="1" a="1"/>
  <c r="AW128" i="1" s="1"/>
  <c r="N128" i="1"/>
  <c r="U51" i="1"/>
  <c r="V51" i="1" s="1"/>
  <c r="AV51" i="1" a="1"/>
  <c r="AV51" i="1" s="1"/>
  <c r="O51" i="1" s="1"/>
  <c r="P51" i="1" s="1"/>
  <c r="AV87" i="1" a="1"/>
  <c r="AV87" i="1" s="1"/>
  <c r="O87" i="1" s="1"/>
  <c r="P87" i="1" s="1"/>
  <c r="AN54" i="1"/>
  <c r="AM54" i="1"/>
  <c r="Z54" i="1" s="1"/>
  <c r="AC54" i="1" s="1"/>
  <c r="AW96" i="1" a="1"/>
  <c r="AW96" i="1" s="1"/>
  <c r="AX72" i="1" a="1"/>
  <c r="AX72" i="1" s="1"/>
  <c r="AA72" i="1"/>
  <c r="AB69" i="1" s="1"/>
  <c r="AW72" i="1" a="1"/>
  <c r="AW72" i="1" s="1"/>
  <c r="U72" i="1" s="1"/>
  <c r="T27" i="1"/>
  <c r="W27" i="1" s="1"/>
  <c r="N45" i="1"/>
  <c r="Q45" i="1" s="1"/>
  <c r="T45" i="1"/>
  <c r="AW91" i="1" a="1"/>
  <c r="AW91" i="1" s="1"/>
  <c r="U91" i="1"/>
  <c r="V88" i="1" s="1"/>
  <c r="AX91" i="1" a="1"/>
  <c r="AX91" i="1" s="1"/>
  <c r="AA91" i="1" s="1"/>
  <c r="U29" i="1"/>
  <c r="V28" i="1" s="1"/>
  <c r="N114" i="1"/>
  <c r="Q114" i="1" s="1"/>
  <c r="T114" i="1"/>
  <c r="W114" i="1" s="1"/>
  <c r="AM119" i="1"/>
  <c r="Z119" i="1" s="1"/>
  <c r="AC119" i="1" s="1"/>
  <c r="AN119" i="1"/>
  <c r="AB64" i="1"/>
  <c r="AV52" i="1" a="1"/>
  <c r="AV52" i="1" s="1"/>
  <c r="AA52" i="1" s="1"/>
  <c r="AB52" i="1" s="1"/>
  <c r="AB57" i="1"/>
  <c r="AV96" i="1" a="1"/>
  <c r="AV96" i="1" s="1"/>
  <c r="AA96" i="1" s="1"/>
  <c r="AB96" i="1" s="1"/>
  <c r="P39" i="1"/>
  <c r="AV72" i="1" a="1"/>
  <c r="AV72" i="1" s="1"/>
  <c r="O72" i="1" s="1"/>
  <c r="AV105" i="1" a="1"/>
  <c r="AV105" i="1" s="1"/>
  <c r="T105" i="1" s="1"/>
  <c r="AC9" i="1"/>
  <c r="W111" i="1"/>
  <c r="Z134" i="1"/>
  <c r="AN134" i="1"/>
  <c r="AM134" i="1"/>
  <c r="AW75" i="1" a="1"/>
  <c r="AW75" i="1" s="1"/>
  <c r="AB28" i="1"/>
  <c r="AX19" i="1" a="1"/>
  <c r="AX19" i="1" s="1"/>
  <c r="AA19" i="1" s="1"/>
  <c r="AB19" i="1" s="1"/>
  <c r="AN61" i="1"/>
  <c r="AM61" i="1"/>
  <c r="Z61" i="1" s="1"/>
  <c r="AC61" i="1" s="1"/>
  <c r="AN121" i="1"/>
  <c r="AM121" i="1"/>
  <c r="Z121" i="1"/>
  <c r="AC121" i="1" s="1"/>
  <c r="O95" i="1"/>
  <c r="P95" i="1" s="1"/>
  <c r="U95" i="1"/>
  <c r="V95" i="1" s="1"/>
  <c r="AV95" i="1" a="1"/>
  <c r="AV95" i="1" s="1"/>
  <c r="AV54" i="1" a="1"/>
  <c r="AV54" i="1" s="1"/>
  <c r="O54" i="1" s="1"/>
  <c r="P54" i="1" s="1"/>
  <c r="AC74" i="1"/>
  <c r="N10" i="1"/>
  <c r="Q10" i="1" s="1"/>
  <c r="T10" i="1"/>
  <c r="W10" i="1" s="1"/>
  <c r="AX105" i="1" a="1"/>
  <c r="AX105" i="1" s="1"/>
  <c r="AA105" i="1" s="1"/>
  <c r="N9" i="1"/>
  <c r="Q9" i="1" s="1"/>
  <c r="T9" i="1"/>
  <c r="W9" i="1" s="1"/>
  <c r="AB18" i="1"/>
  <c r="AM60" i="1"/>
  <c r="AN60" i="1"/>
  <c r="N60" i="1" s="1"/>
  <c r="Q60" i="1" s="1"/>
  <c r="AN110" i="1"/>
  <c r="AM110" i="1"/>
  <c r="Z110" i="1"/>
  <c r="AC110" i="1" s="1"/>
  <c r="W39" i="1"/>
  <c r="U62" i="1"/>
  <c r="V62" i="1" s="1"/>
  <c r="AX62" i="1" a="1"/>
  <c r="AX62" i="1" s="1"/>
  <c r="AW62" i="1" a="1"/>
  <c r="AW62" i="1" s="1"/>
  <c r="AA62" i="1"/>
  <c r="AB62" i="1" s="1"/>
  <c r="AV19" i="1" a="1"/>
  <c r="AV19" i="1" s="1"/>
  <c r="AW19" i="1" s="1" a="1"/>
  <c r="AW19" i="1" s="1"/>
  <c r="U19" i="1"/>
  <c r="V19" i="1" s="1"/>
  <c r="AX95" i="1" a="1"/>
  <c r="AX95" i="1" s="1"/>
  <c r="AA95" i="1" s="1"/>
  <c r="AB95" i="1" s="1"/>
  <c r="AW95" i="1" a="1"/>
  <c r="AW95" i="1" s="1"/>
  <c r="AW87" i="1" a="1"/>
  <c r="AW87" i="1" s="1"/>
  <c r="AX87" i="1" a="1"/>
  <c r="AX87" i="1" s="1"/>
  <c r="AA87" i="1" s="1"/>
  <c r="AB87" i="1" s="1"/>
  <c r="T85" i="1"/>
  <c r="N85" i="1"/>
  <c r="Z135" i="1"/>
  <c r="U74" i="1"/>
  <c r="V74" i="1" s="1"/>
  <c r="N107" i="1"/>
  <c r="Q107" i="1" s="1"/>
  <c r="T107" i="1"/>
  <c r="W107" i="1" s="1"/>
  <c r="O61" i="1"/>
  <c r="P61" i="1" s="1"/>
  <c r="AV61" i="1" a="1"/>
  <c r="AV61" i="1" s="1"/>
  <c r="U61" i="1"/>
  <c r="V61" i="1" s="1"/>
  <c r="AN4" i="1"/>
  <c r="Z4" i="1"/>
  <c r="AC4" i="1" s="1"/>
  <c r="AM4" i="1"/>
  <c r="Z58" i="1"/>
  <c r="AC55" i="1" s="1"/>
  <c r="AW54" i="1" a="1"/>
  <c r="AW54" i="1" s="1"/>
  <c r="AX54" i="1" a="1"/>
  <c r="AX54" i="1" s="1"/>
  <c r="AA54" i="1" s="1"/>
  <c r="AB54" i="1" s="1"/>
  <c r="U57" i="1"/>
  <c r="V57" i="1" s="1"/>
  <c r="AX27" i="1" a="1"/>
  <c r="AX27" i="1" s="1"/>
  <c r="AA27" i="1" s="1"/>
  <c r="AB27" i="1" s="1"/>
  <c r="AW27" i="1" a="1"/>
  <c r="AW27" i="1" s="1"/>
  <c r="N74" i="1"/>
  <c r="Q74" i="1" s="1"/>
  <c r="T74" i="1"/>
  <c r="W74" i="1" s="1"/>
  <c r="N94" i="1"/>
  <c r="Q94" i="1" s="1"/>
  <c r="T94" i="1"/>
  <c r="W94" i="1" s="1"/>
  <c r="V25" i="1"/>
  <c r="U85" i="1"/>
  <c r="V85" i="1" s="1"/>
  <c r="Q39" i="1"/>
  <c r="O62" i="1"/>
  <c r="P62" i="1" s="1"/>
  <c r="AV121" i="1" a="1"/>
  <c r="AV121" i="1" s="1"/>
  <c r="AA121" i="1" s="1"/>
  <c r="AB121" i="1" s="1"/>
  <c r="U121" i="1"/>
  <c r="V121" i="1" s="1"/>
  <c r="Z37" i="1"/>
  <c r="AC36" i="1" s="1"/>
  <c r="T37" i="1"/>
  <c r="U8" i="1"/>
  <c r="V8" i="1" s="1"/>
  <c r="AX61" i="1" a="1"/>
  <c r="AX61" i="1" s="1"/>
  <c r="AA61" i="1"/>
  <c r="AB61" i="1" s="1"/>
  <c r="AW61" i="1" a="1"/>
  <c r="AW61" i="1" s="1"/>
  <c r="AX31" i="1" a="1"/>
  <c r="AX31" i="1" s="1"/>
  <c r="AA31" i="1" s="1"/>
  <c r="AB31" i="1" s="1"/>
  <c r="Z14" i="1"/>
  <c r="AC13" i="1" s="1"/>
  <c r="T14" i="1"/>
  <c r="W13" i="1" s="1"/>
  <c r="N80" i="1"/>
  <c r="Q80" i="1" s="1"/>
  <c r="O114" i="1"/>
  <c r="P114" i="1" s="1"/>
  <c r="AV114" i="1" a="1"/>
  <c r="AV114" i="1" s="1"/>
  <c r="U114" i="1" s="1"/>
  <c r="V114" i="1" s="1"/>
  <c r="AW8" i="1" a="1"/>
  <c r="AW8" i="1" s="1"/>
  <c r="U9" i="1"/>
  <c r="V9" i="1" s="1"/>
  <c r="V110" i="1"/>
  <c r="AW42" i="1" a="1"/>
  <c r="AW42" i="1" s="1"/>
  <c r="V89" i="1"/>
  <c r="AV31" i="1" a="1"/>
  <c r="AV31" i="1" s="1"/>
  <c r="AW31" i="1" s="1" a="1"/>
  <c r="AW31" i="1" s="1"/>
  <c r="N108" i="1"/>
  <c r="T108" i="1"/>
  <c r="AX83" i="1" a="1"/>
  <c r="AX83" i="1" s="1"/>
  <c r="AW83" i="1" a="1"/>
  <c r="AW83" i="1" s="1"/>
  <c r="AW110" i="1" a="1"/>
  <c r="AW110" i="1" s="1"/>
  <c r="AA110" i="1"/>
  <c r="AB110" i="1" s="1"/>
  <c r="AN66" i="1"/>
  <c r="AM66" i="1"/>
  <c r="Z66" i="1" s="1"/>
  <c r="AC66" i="1" s="1"/>
  <c r="P45" i="1"/>
  <c r="U90" i="1"/>
  <c r="AA114" i="1"/>
  <c r="AB114" i="1" s="1"/>
  <c r="AW114" i="1" a="1"/>
  <c r="AW114" i="1" s="1"/>
  <c r="AX114" i="1" a="1"/>
  <c r="AX114" i="1" s="1"/>
  <c r="U112" i="1"/>
  <c r="AX51" i="1" a="1"/>
  <c r="AX51" i="1" s="1"/>
  <c r="AA51" i="1" s="1"/>
  <c r="AB51" i="1" s="1"/>
  <c r="N58" i="1"/>
  <c r="N90" i="1"/>
  <c r="Q90" i="1" s="1"/>
  <c r="T90" i="1"/>
  <c r="AA5" i="1"/>
  <c r="AB5" i="1" s="1"/>
  <c r="T5" i="1"/>
  <c r="W5" i="1" s="1"/>
  <c r="AW5" i="1" a="1"/>
  <c r="AW5" i="1" s="1"/>
  <c r="Z6" i="1"/>
  <c r="AC5" i="1" s="1"/>
  <c r="T6" i="1"/>
  <c r="N75" i="1"/>
  <c r="Q75" i="1" s="1"/>
  <c r="T75" i="1"/>
  <c r="W75" i="1" s="1"/>
  <c r="AV49" i="1" a="1"/>
  <c r="AV49" i="1" s="1"/>
  <c r="AW49" i="1" s="1" a="1"/>
  <c r="AW49" i="1" s="1"/>
  <c r="AN53" i="1"/>
  <c r="AM53" i="1"/>
  <c r="Z53" i="1" s="1"/>
  <c r="P8" i="1"/>
  <c r="U86" i="1"/>
  <c r="V86" i="1" s="1"/>
  <c r="T17" i="1"/>
  <c r="W17" i="1" s="1"/>
  <c r="N17" i="1"/>
  <c r="Q17" i="1" s="1"/>
  <c r="T18" i="1"/>
  <c r="W18" i="1" s="1"/>
  <c r="N18" i="1"/>
  <c r="Q18" i="1" s="1"/>
  <c r="AC101" i="1"/>
  <c r="AN26" i="1"/>
  <c r="AM26" i="1"/>
  <c r="Z26" i="1" s="1"/>
  <c r="AC26" i="1" s="1"/>
  <c r="N83" i="1"/>
  <c r="T83" i="1"/>
  <c r="Z48" i="1"/>
  <c r="AC46" i="1" s="1"/>
  <c r="T48" i="1"/>
  <c r="O90" i="1"/>
  <c r="U5" i="1"/>
  <c r="V5" i="1" s="1"/>
  <c r="AB102" i="1" l="1"/>
  <c r="AB103" i="1"/>
  <c r="AB104" i="1"/>
  <c r="V70" i="1"/>
  <c r="V69" i="1"/>
  <c r="BR91" i="1"/>
  <c r="BR29" i="1"/>
  <c r="P85" i="1"/>
  <c r="P88" i="1"/>
  <c r="P89" i="1"/>
  <c r="W55" i="1"/>
  <c r="W57" i="1"/>
  <c r="AB101" i="1"/>
  <c r="W102" i="1"/>
  <c r="W104" i="1"/>
  <c r="AB86" i="1"/>
  <c r="AB88" i="1"/>
  <c r="AB85" i="1"/>
  <c r="AB89" i="1"/>
  <c r="P69" i="1"/>
  <c r="P70" i="1"/>
  <c r="O49" i="1"/>
  <c r="N105" i="1"/>
  <c r="N101" i="1"/>
  <c r="Q101" i="1" s="1"/>
  <c r="N47" i="1"/>
  <c r="Q47" i="1" s="1"/>
  <c r="T47" i="1"/>
  <c r="W47" i="1" s="1"/>
  <c r="AW51" i="1" a="1"/>
  <c r="AW51" i="1" s="1"/>
  <c r="T135" i="1"/>
  <c r="AX121" i="1" a="1"/>
  <c r="AX121" i="1" s="1"/>
  <c r="U54" i="1"/>
  <c r="V54" i="1" s="1"/>
  <c r="O105" i="1"/>
  <c r="U87" i="1"/>
  <c r="V87" i="1" s="1"/>
  <c r="U66" i="1"/>
  <c r="V66" i="1" s="1"/>
  <c r="AC71" i="1"/>
  <c r="N96" i="1"/>
  <c r="Q96" i="1" s="1"/>
  <c r="T96" i="1"/>
  <c r="W96" i="1" s="1"/>
  <c r="AB90" i="1"/>
  <c r="T101" i="1"/>
  <c r="W101" i="1" s="1"/>
  <c r="N51" i="1"/>
  <c r="Q51" i="1" s="1"/>
  <c r="T51" i="1"/>
  <c r="W51" i="1" s="1"/>
  <c r="AC47" i="1"/>
  <c r="AC45" i="1"/>
  <c r="O19" i="1"/>
  <c r="P19" i="1" s="1"/>
  <c r="N110" i="1"/>
  <c r="Q110" i="1" s="1"/>
  <c r="T110" i="1"/>
  <c r="W110" i="1" s="1"/>
  <c r="W45" i="1"/>
  <c r="N103" i="1"/>
  <c r="Q103" i="1" s="1"/>
  <c r="T103" i="1"/>
  <c r="W103" i="1" s="1"/>
  <c r="AX52" i="1" a="1"/>
  <c r="AX52" i="1" s="1"/>
  <c r="V111" i="1"/>
  <c r="V108" i="1"/>
  <c r="V107" i="1"/>
  <c r="AB111" i="1"/>
  <c r="W108" i="1"/>
  <c r="Q85" i="1"/>
  <c r="T20" i="1"/>
  <c r="W20" i="1" s="1"/>
  <c r="N20" i="1"/>
  <c r="Q20" i="1" s="1"/>
  <c r="W56" i="1"/>
  <c r="Z72" i="1"/>
  <c r="T72" i="1"/>
  <c r="AW121" i="1" a="1"/>
  <c r="AW121" i="1" s="1"/>
  <c r="T119" i="1"/>
  <c r="W119" i="1" s="1"/>
  <c r="N119" i="1"/>
  <c r="Q119" i="1" s="1"/>
  <c r="V53" i="1"/>
  <c r="O66" i="1"/>
  <c r="P66" i="1" s="1"/>
  <c r="AB56" i="1"/>
  <c r="AB55" i="1"/>
  <c r="AW46" i="1" a="1"/>
  <c r="AW46" i="1" s="1"/>
  <c r="AC51" i="1"/>
  <c r="P90" i="1"/>
  <c r="Q108" i="1"/>
  <c r="N27" i="1"/>
  <c r="Q27" i="1" s="1"/>
  <c r="AC76" i="1"/>
  <c r="N71" i="1"/>
  <c r="Q71" i="1" s="1"/>
  <c r="T71" i="1"/>
  <c r="W71" i="1" s="1"/>
  <c r="U20" i="1"/>
  <c r="V20" i="1" s="1"/>
  <c r="Q56" i="1"/>
  <c r="P86" i="1"/>
  <c r="Q86" i="1"/>
  <c r="N72" i="1"/>
  <c r="P57" i="1"/>
  <c r="P55" i="1"/>
  <c r="P56" i="1"/>
  <c r="U109" i="1"/>
  <c r="V109" i="1" s="1"/>
  <c r="AC52" i="1"/>
  <c r="O20" i="1"/>
  <c r="P20" i="1" s="1"/>
  <c r="V26" i="1"/>
  <c r="T91" i="1"/>
  <c r="W88" i="1" s="1"/>
  <c r="Z91" i="1"/>
  <c r="AC87" i="1" s="1"/>
  <c r="AC56" i="1"/>
  <c r="W86" i="1"/>
  <c r="U128" i="1"/>
  <c r="N4" i="1"/>
  <c r="Q4" i="1" s="1"/>
  <c r="T4" i="1"/>
  <c r="W4" i="1" s="1"/>
  <c r="N109" i="1"/>
  <c r="Q109" i="1" s="1"/>
  <c r="T109" i="1"/>
  <c r="W109" i="1" s="1"/>
  <c r="AC8" i="1"/>
  <c r="AC10" i="1"/>
  <c r="AC57" i="1"/>
  <c r="V55" i="1"/>
  <c r="V56" i="1"/>
  <c r="AC53" i="1"/>
  <c r="V90" i="1"/>
  <c r="U31" i="1"/>
  <c r="V31" i="1" s="1"/>
  <c r="O121" i="1"/>
  <c r="P121" i="1" s="1"/>
  <c r="AW105" i="1" a="1"/>
  <c r="AW105" i="1" s="1"/>
  <c r="N134" i="1"/>
  <c r="T134" i="1"/>
  <c r="U96" i="1"/>
  <c r="V96" i="1" s="1"/>
  <c r="T31" i="1"/>
  <c r="W31" i="1" s="1"/>
  <c r="O109" i="1"/>
  <c r="P109" i="1" s="1"/>
  <c r="N52" i="1"/>
  <c r="Q52" i="1" s="1"/>
  <c r="T52" i="1"/>
  <c r="W52" i="1" s="1"/>
  <c r="N87" i="1"/>
  <c r="Q87" i="1" s="1"/>
  <c r="T87" i="1"/>
  <c r="U101" i="1"/>
  <c r="O128" i="1"/>
  <c r="T53" i="1"/>
  <c r="W53" i="1" s="1"/>
  <c r="N53" i="1"/>
  <c r="Q53" i="1" s="1"/>
  <c r="O31" i="1"/>
  <c r="P31" i="1" s="1"/>
  <c r="O96" i="1"/>
  <c r="P96" i="1" s="1"/>
  <c r="N31" i="1"/>
  <c r="Q31" i="1" s="1"/>
  <c r="AB71" i="1"/>
  <c r="O101" i="1"/>
  <c r="P101" i="1" s="1"/>
  <c r="N118" i="1"/>
  <c r="Q118" i="1" s="1"/>
  <c r="T118" i="1"/>
  <c r="W118" i="1" s="1"/>
  <c r="V71" i="1"/>
  <c r="Q89" i="1"/>
  <c r="T49" i="1"/>
  <c r="N121" i="1"/>
  <c r="Q121" i="1" s="1"/>
  <c r="T121" i="1"/>
  <c r="W121" i="1" s="1"/>
  <c r="T26" i="1"/>
  <c r="W26" i="1" s="1"/>
  <c r="N26" i="1"/>
  <c r="Q26" i="1" s="1"/>
  <c r="U49" i="1"/>
  <c r="Q55" i="1"/>
  <c r="Q57" i="1"/>
  <c r="N66" i="1"/>
  <c r="Q66" i="1" s="1"/>
  <c r="T66" i="1"/>
  <c r="W66" i="1" s="1"/>
  <c r="N49" i="1"/>
  <c r="U52" i="1"/>
  <c r="V52" i="1" s="1"/>
  <c r="AX96" i="1" a="1"/>
  <c r="AX96" i="1" s="1"/>
  <c r="O71" i="1"/>
  <c r="P71" i="1" s="1"/>
  <c r="AX71" i="1" a="1"/>
  <c r="AX71" i="1" s="1"/>
  <c r="AB70" i="1"/>
  <c r="O83" i="1"/>
  <c r="U27" i="1"/>
  <c r="V27" i="1" s="1"/>
  <c r="N61" i="1"/>
  <c r="Q61" i="1" s="1"/>
  <c r="T61" i="1"/>
  <c r="W61" i="1" s="1"/>
  <c r="N95" i="1"/>
  <c r="Q95" i="1" s="1"/>
  <c r="T95" i="1"/>
  <c r="W95" i="1" s="1"/>
  <c r="T19" i="1"/>
  <c r="W19" i="1" s="1"/>
  <c r="N19" i="1"/>
  <c r="Q19" i="1" s="1"/>
  <c r="U105" i="1"/>
  <c r="O52" i="1"/>
  <c r="P52" i="1" s="1"/>
  <c r="N54" i="1"/>
  <c r="Q54" i="1" s="1"/>
  <c r="T54" i="1"/>
  <c r="W54" i="1" s="1"/>
  <c r="AW52" i="1" a="1"/>
  <c r="AW52" i="1" s="1"/>
  <c r="W90" i="1" l="1"/>
  <c r="V103" i="1"/>
  <c r="V102" i="1"/>
  <c r="V104" i="1"/>
  <c r="W85" i="1"/>
  <c r="W69" i="1"/>
  <c r="W70" i="1"/>
  <c r="AC70" i="1"/>
  <c r="AC69" i="1"/>
  <c r="Q102" i="1"/>
  <c r="Q104" i="1"/>
  <c r="W89" i="1"/>
  <c r="V101" i="1"/>
  <c r="W87" i="1"/>
  <c r="Q69" i="1"/>
  <c r="Q70" i="1"/>
  <c r="P102" i="1"/>
  <c r="P104" i="1"/>
  <c r="P103" i="1"/>
  <c r="AC88" i="1"/>
  <c r="AC86" i="1"/>
  <c r="AC89" i="1"/>
  <c r="AC85" i="1"/>
  <c r="AC9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tc={DBCF4576-A515-46E2-8EB0-4760588BA6A8}</author>
  </authors>
  <commentList>
    <comment ref="F4" authorId="0" shapeId="0" xr:uid="{DBCF4576-A515-46E2-8EB0-4760588BA6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Premium Paket İçeriğinde bulunan Metalik Renk, Cam Tavan, Konfor Erişim Sistemi, Otomatik Bagaj Kapağı bulunmamaktadır.
ek olarak; sadece sürücü koltuğu elektriklidir.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<sst xmlns="http://schemas.openxmlformats.org/spreadsheetml/2006/main" count="662" uniqueCount="204">
  <si>
    <t>Nakit Alım</t>
  </si>
  <si>
    <t>Takaslı Alım</t>
  </si>
  <si>
    <t>Kredili Alım</t>
  </si>
  <si>
    <t>sadece indirim</t>
  </si>
  <si>
    <t>ind+nakit ind</t>
  </si>
  <si>
    <t>Fiyat Karşılaştırması / 
Satılan Otomobiller Mart 2026</t>
  </si>
  <si>
    <t>Stoktaki En Uygun Otomobile Ait Fiyat</t>
  </si>
  <si>
    <t>Fiyat Endeksi</t>
  </si>
  <si>
    <t>indirim oranı</t>
  </si>
  <si>
    <t>Stoktaki En Uygun Otomobile Ait Spec Adj. Fiyatı</t>
  </si>
  <si>
    <t>Spec Adj İnd. Anahtar Teslim Fiyat
(Kampanyalı)</t>
  </si>
  <si>
    <t>İnd. Fiyat
(Kampanyalı)</t>
  </si>
  <si>
    <t>İndirimli Fiyat Endeksi</t>
  </si>
  <si>
    <t>Spec Adj Fiyat Endeksi</t>
  </si>
  <si>
    <t>Cashback %</t>
  </si>
  <si>
    <t>Takas Desteği Tutarı (VD)</t>
  </si>
  <si>
    <t>Kredi Maliyeti (VD)</t>
  </si>
  <si>
    <t>İndirim Oranı</t>
  </si>
  <si>
    <t>Takas veya Kredi sunulmadığında alınacak ind oranı (basically toptan+cb)</t>
  </si>
  <si>
    <t>Vergi Hariç TL</t>
  </si>
  <si>
    <t>İndirimli Vergi Hariç TL</t>
  </si>
  <si>
    <t>Nakit Alımlı Vergi Hariç (İnd.+Cashback i.)</t>
  </si>
  <si>
    <t>Spec Adj. Vergi Hariç TL</t>
  </si>
  <si>
    <t>İnd. Spec Adj. Vergi Hariç TL</t>
  </si>
  <si>
    <t>Nakit Alımlı Spec Adj. Vergi Hariç (İnd.+Cashback i.)</t>
  </si>
  <si>
    <t>Tescil</t>
  </si>
  <si>
    <t>Motor Hacmi</t>
  </si>
  <si>
    <t>Liste Fiyatı ÖTV</t>
  </si>
  <si>
    <t>Spec Adj. (EUR)
(+/-) değer alabilir</t>
  </si>
  <si>
    <t>filtre</t>
  </si>
  <si>
    <t>Nakit Alımda ÖTV Oranı</t>
  </si>
  <si>
    <t>Takas Desteğinde ÖTV Oranı 
(Takas Desteği Yoksa Nakit Alım Baz alınır)</t>
  </si>
  <si>
    <t>Kredi Desteğinde ÖTV Oranı 
(Kredi Desteği Yoksa Nakit Alım Baz alınır)</t>
  </si>
  <si>
    <t>Yakıt Türü</t>
  </si>
  <si>
    <t>BEV ise kW Değeri</t>
  </si>
  <si>
    <t>Vergi Hariç Takas Desteği TL</t>
  </si>
  <si>
    <t>Audi-A3 HB-A</t>
  </si>
  <si>
    <t>MY25</t>
  </si>
  <si>
    <t>Audi</t>
  </si>
  <si>
    <t>A3 Sportback 35 TFSI</t>
  </si>
  <si>
    <t>Advanced</t>
  </si>
  <si>
    <t>a</t>
  </si>
  <si>
    <t>MY26</t>
  </si>
  <si>
    <t>81GE-SL</t>
  </si>
  <si>
    <t>BMW</t>
  </si>
  <si>
    <t>Sport Line</t>
  </si>
  <si>
    <t>A-A</t>
  </si>
  <si>
    <t>MB</t>
  </si>
  <si>
    <t>A 200</t>
  </si>
  <si>
    <t>AMG</t>
  </si>
  <si>
    <t>Audi-A3 HB-SL</t>
  </si>
  <si>
    <t>S Line</t>
  </si>
  <si>
    <t>81GE</t>
  </si>
  <si>
    <t>M Sport</t>
  </si>
  <si>
    <t>Audi-A3 S-A</t>
  </si>
  <si>
    <t>A3 Sedan 35 TFSI</t>
  </si>
  <si>
    <t>Advanced+Premium</t>
  </si>
  <si>
    <t>31GH-SL</t>
  </si>
  <si>
    <t>220 Gran Coupé</t>
  </si>
  <si>
    <t>AS-A</t>
  </si>
  <si>
    <t>A 200 Sedan</t>
  </si>
  <si>
    <t>CLA-A</t>
  </si>
  <si>
    <t>CLA 200</t>
  </si>
  <si>
    <t>Audi-A3 S-SL</t>
  </si>
  <si>
    <t>CLA</t>
  </si>
  <si>
    <t>CLA 220 4MATIC</t>
  </si>
  <si>
    <t>31GH-MS</t>
  </si>
  <si>
    <t>CLAElectric-Edt</t>
  </si>
  <si>
    <t>CLA 350 4MATIC</t>
  </si>
  <si>
    <t>Edition 1 AMG</t>
  </si>
  <si>
    <t>Audi-A5 Sed-BLq</t>
  </si>
  <si>
    <t>A5 Sedan TFSI quattro</t>
  </si>
  <si>
    <t>C-A</t>
  </si>
  <si>
    <t>C 200 4MATIC</t>
  </si>
  <si>
    <t>51FS</t>
  </si>
  <si>
    <t>320i Sedan</t>
  </si>
  <si>
    <t>CLE-A</t>
  </si>
  <si>
    <t>CLE 300 4MATIC Coupé</t>
  </si>
  <si>
    <t>21HB</t>
  </si>
  <si>
    <t>420i Coupé</t>
  </si>
  <si>
    <t>Edition M Sport</t>
  </si>
  <si>
    <t>21HD</t>
  </si>
  <si>
    <t>i4 eDrive40</t>
  </si>
  <si>
    <t>21HC</t>
  </si>
  <si>
    <t>420i Gran Coupé</t>
  </si>
  <si>
    <t>CLE Cab-A</t>
  </si>
  <si>
    <t>CLE 300 4MATIC Cabriolet</t>
  </si>
  <si>
    <t>41FP</t>
  </si>
  <si>
    <t>430i xDrive Cabrio</t>
  </si>
  <si>
    <t>EQE280-A</t>
  </si>
  <si>
    <t>EQE 280</t>
  </si>
  <si>
    <t>MBEQE 280AMG</t>
  </si>
  <si>
    <t>Audi-A6 eSB</t>
  </si>
  <si>
    <t>A6 Sportback e-tron</t>
  </si>
  <si>
    <t>61HG</t>
  </si>
  <si>
    <t>i5 eDrive40</t>
  </si>
  <si>
    <t>Audi-A6-A</t>
  </si>
  <si>
    <t>A6 Sedan TDI 150 kW Quattro</t>
  </si>
  <si>
    <t>Audi-A6-SL</t>
  </si>
  <si>
    <t>E180-E</t>
  </si>
  <si>
    <t>E 180</t>
  </si>
  <si>
    <t>Exclusive</t>
  </si>
  <si>
    <t>E180-A</t>
  </si>
  <si>
    <t>31FJ</t>
  </si>
  <si>
    <t>520i Sedan</t>
  </si>
  <si>
    <t>E-E1A</t>
  </si>
  <si>
    <t>MY24</t>
  </si>
  <si>
    <t>E 220 d 4MATIC</t>
  </si>
  <si>
    <t>E-A</t>
  </si>
  <si>
    <t>E-Exc</t>
  </si>
  <si>
    <t>21FL</t>
  </si>
  <si>
    <t>520d xDrive Sedan</t>
  </si>
  <si>
    <t>S-I</t>
  </si>
  <si>
    <t>S 450 d 4MATIC Long</t>
  </si>
  <si>
    <t>Inspiration</t>
  </si>
  <si>
    <t>Audi-A8</t>
  </si>
  <si>
    <t>A8L 50 TDI quattro</t>
  </si>
  <si>
    <t>21EJ</t>
  </si>
  <si>
    <t>740d xDrive Sedan</t>
  </si>
  <si>
    <t>M Excellence</t>
  </si>
  <si>
    <t>EQS-I</t>
  </si>
  <si>
    <t>EQS 450 4MATIC</t>
  </si>
  <si>
    <t>EQS-H</t>
  </si>
  <si>
    <t>EQS 580 4MATIC</t>
  </si>
  <si>
    <t>Heritage Edition</t>
  </si>
  <si>
    <t>51EJ</t>
  </si>
  <si>
    <t>i7 xDrive60</t>
  </si>
  <si>
    <t>GLB 200 4MATIC</t>
  </si>
  <si>
    <t>Progressive+</t>
  </si>
  <si>
    <t>Q3 35 TFSI</t>
  </si>
  <si>
    <t>X1 sDrive20i</t>
  </si>
  <si>
    <t>X-Line</t>
  </si>
  <si>
    <t>Audi-Q2</t>
  </si>
  <si>
    <t>Q2 35 TFSI</t>
  </si>
  <si>
    <t>GLB-A</t>
  </si>
  <si>
    <t>GLB 200</t>
  </si>
  <si>
    <t>GLA-A</t>
  </si>
  <si>
    <t>GLA 200</t>
  </si>
  <si>
    <t>Audi-Q3-A</t>
  </si>
  <si>
    <t xml:space="preserve">Q3 SUV TFSI </t>
  </si>
  <si>
    <t>Audi-Q3-SL</t>
  </si>
  <si>
    <t>31EE</t>
  </si>
  <si>
    <t>21EF-MS</t>
  </si>
  <si>
    <t>X1 xDrive25e</t>
  </si>
  <si>
    <t>EQB-A</t>
  </si>
  <si>
    <t>EQB 250+</t>
  </si>
  <si>
    <t>EQA-NE</t>
  </si>
  <si>
    <t>EQA 250+</t>
  </si>
  <si>
    <t>Night Edition</t>
  </si>
  <si>
    <t>EQA-A</t>
  </si>
  <si>
    <t>Volvo-EX40</t>
  </si>
  <si>
    <t>Volvo</t>
  </si>
  <si>
    <t>EX40</t>
  </si>
  <si>
    <t>Single Motor Extended Range, Ultra</t>
  </si>
  <si>
    <t>Audi-Q4 40e</t>
  </si>
  <si>
    <t>Q4 40 e-tron</t>
  </si>
  <si>
    <t>71EG</t>
  </si>
  <si>
    <t>iX1 eDrive20</t>
  </si>
  <si>
    <t>Audi-Q3-SB SL</t>
  </si>
  <si>
    <t>Q3 Sportback 35 TFSI</t>
  </si>
  <si>
    <t>21GM</t>
  </si>
  <si>
    <t>X2 sDrive20i</t>
  </si>
  <si>
    <t>Audi-Q4 eSB</t>
  </si>
  <si>
    <t>Q4 Sportback 45 e-tron</t>
  </si>
  <si>
    <t>Base Line</t>
  </si>
  <si>
    <t>Audi-Q4 40eSB</t>
  </si>
  <si>
    <t>Q4 Sportback 40 e-tron</t>
  </si>
  <si>
    <t>51GM</t>
  </si>
  <si>
    <t>iX2 eDrive20</t>
  </si>
  <si>
    <t>GLC-A</t>
  </si>
  <si>
    <t>GLC 180</t>
  </si>
  <si>
    <t>25GP</t>
  </si>
  <si>
    <t>X3 20</t>
  </si>
  <si>
    <t>GLC300-A</t>
  </si>
  <si>
    <t>GLC 300d 4MATIC</t>
  </si>
  <si>
    <t>Volvo-XC60</t>
  </si>
  <si>
    <t>XC60</t>
  </si>
  <si>
    <t>B5 AWD Ultimate</t>
  </si>
  <si>
    <t>Audi-Q5 TDI</t>
  </si>
  <si>
    <t>Q5 TDI quattro</t>
  </si>
  <si>
    <t>15GR</t>
  </si>
  <si>
    <t>X3 20d xDrive</t>
  </si>
  <si>
    <t>Audi-Q8 e-AD</t>
  </si>
  <si>
    <t>MY23</t>
  </si>
  <si>
    <t>Q8 e-tron</t>
  </si>
  <si>
    <t>11CF</t>
  </si>
  <si>
    <t>iX xDrive40</t>
  </si>
  <si>
    <t>First Edition Sport</t>
  </si>
  <si>
    <t>21CF</t>
  </si>
  <si>
    <t>iX xDrive50</t>
  </si>
  <si>
    <t>Audi-Q6 e</t>
  </si>
  <si>
    <t>Q6 e-tron quattro</t>
  </si>
  <si>
    <t>Audi-Q7 SL</t>
  </si>
  <si>
    <t>Q7 45 TFSI quattro</t>
  </si>
  <si>
    <t>Audi-Q8</t>
  </si>
  <si>
    <t>Q8 45 TFSI quattro</t>
  </si>
  <si>
    <t>Volvo-XC90</t>
  </si>
  <si>
    <t>XC90 B5 Mild Hybrid AWD</t>
  </si>
  <si>
    <t>Plus Bright</t>
  </si>
  <si>
    <t>-</t>
  </si>
  <si>
    <t>51CF</t>
  </si>
  <si>
    <t>iX xDrive60</t>
  </si>
  <si>
    <t>*Tüm bu çalışma gizli müşteri araştırması ile hazırlanmıştır.</t>
  </si>
  <si>
    <t>**Çalışmada kullanılan fiyatlar tescil hariç tutarlardır.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</si>
</sst>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%"/>
    <numFmt numFmtId="165" formatCode="_-* #,##0\ [$TRY]_-;\-* #,##0\ [$TRY]_-;_-* &quot;-&quot;\ [$TRY]_-;_-@_-"/>
    <numFmt numFmtId="166" formatCode="0.0"/>
    <numFmt numFmtId="167" formatCode="#,##0_ ;\-#,##0\ "/>
    <numFmt numFmtId="168" formatCode="_-&quot;₺&quot;* #,##0_-;\-&quot;₺&quot;* #,##0_-;_-&quot;₺&quot;* &quot;-&quot;??_-;_-@_-"/>
    <numFmt numFmtId="169" formatCode="_-* #,##0.00\ [$€-1]_-;\-* #,##0.00\ [$€-1]_-;_-* &quot;-&quot;??\ [$€-1]_-"/>
    <numFmt numFmtId="170" formatCode="_-* #,##0\ [$€-1]_-;\-* #,##0\ [$€-1]_-;_-* &quot;-&quot;??\ [$€-1]_-"/>
  </numFmts>
  <fonts count="41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b/>
      <i/>
      <sz val="10"/>
      <color theme="1"/>
      <name val="Calibri"/>
      <family val="2"/>
      <charset val="162"/>
      <scheme val="minor"/>
    </font>
    <font>
      <b/>
      <sz val="10"/>
      <color rgb="FFFF0000"/>
      <name val="Arial"/>
      <family val="2"/>
      <charset val="162"/>
    </font>
    <font>
      <b/>
      <sz val="11"/>
      <color indexed="8"/>
      <name val="Calibri"/>
      <family val="2"/>
      <scheme val="minor"/>
    </font>
    <font>
      <sz val="10"/>
      <name val="Calibri"/>
      <family val="2"/>
      <charset val="162"/>
      <scheme val="minor"/>
    </font>
    <font>
      <sz val="10"/>
      <color rgb="FFFF0000"/>
      <name val="Calibri"/>
      <family val="2"/>
      <charset val="162"/>
      <scheme val="minor"/>
    </font>
    <font>
      <b/>
      <i/>
      <sz val="14"/>
      <name val="Calibri"/>
      <family val="2"/>
      <scheme val="minor"/>
    </font>
    <font>
      <b/>
      <sz val="1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10"/>
      <name val="Calibri"/>
      <family val="2"/>
      <scheme val="minor"/>
    </font>
    <font>
      <b/>
      <sz val="16"/>
      <name val="Arial"/>
      <family val="2"/>
    </font>
    <font>
      <b/>
      <i/>
      <sz val="10"/>
      <name val="Arial"/>
      <family val="2"/>
      <charset val="162"/>
    </font>
    <font>
      <b/>
      <i/>
      <sz val="11"/>
      <name val="Arial"/>
      <family val="2"/>
      <charset val="162"/>
    </font>
    <font>
      <b/>
      <i/>
      <sz val="9"/>
      <name val="Arial"/>
      <family val="2"/>
      <charset val="162"/>
    </font>
    <font>
      <b/>
      <sz val="11"/>
      <name val="Calibri"/>
      <family val="2"/>
      <scheme val="minor"/>
    </font>
    <font>
      <b/>
      <sz val="10"/>
      <name val="Arial"/>
      <family val="2"/>
      <charset val="162"/>
    </font>
    <font>
      <b/>
      <sz val="11"/>
      <name val="Arial"/>
      <family val="2"/>
      <charset val="162"/>
    </font>
    <font>
      <i/>
      <sz val="10"/>
      <name val="Arial"/>
      <family val="2"/>
      <charset val="162"/>
    </font>
    <font>
      <sz val="11"/>
      <name val="Calibri"/>
      <family val="2"/>
      <charset val="162"/>
      <scheme val="minor"/>
    </font>
    <font>
      <b/>
      <i/>
      <sz val="10"/>
      <color rgb="FFFF0000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0"/>
      <name val="Arial"/>
      <family val="2"/>
      <charset val="162"/>
    </font>
    <font>
      <b/>
      <sz val="11"/>
      <color rgb="FFFF0000"/>
      <name val="Arial"/>
      <family val="2"/>
      <charset val="162"/>
    </font>
    <font>
      <i/>
      <sz val="10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10"/>
      <color theme="1"/>
      <name val="Arial"/>
      <family val="2"/>
      <charset val="162"/>
    </font>
    <font>
      <sz val="10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charset val="162"/>
      <scheme val="minor"/>
    </font>
    <font>
      <sz val="10"/>
      <color theme="1"/>
      <name val="Arial"/>
      <family val="2"/>
      <charset val="162"/>
    </font>
    <font>
      <sz val="9"/>
      <color rgb="FFFF0000"/>
      <name val="Calibri"/>
      <family val="2"/>
      <charset val="162"/>
      <scheme val="minor"/>
    </font>
    <font>
      <b/>
      <sz val="10"/>
      <name val="Arial"/>
      <family val="2"/>
    </font>
    <font>
      <sz val="9"/>
      <name val="Calibri"/>
      <family val="2"/>
      <charset val="162"/>
      <scheme val="minor"/>
    </font>
    <font>
      <b/>
      <i/>
      <sz val="10"/>
      <color rgb="FFFF0000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b/>
      <i/>
      <sz val="12"/>
      <color theme="1"/>
      <name val="Calibri"/>
      <family val="2"/>
      <charset val="162"/>
      <scheme val="minor"/>
    </font>
    <font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B1A0"/>
        <bgColor indexed="64"/>
      </patternFill>
    </fill>
    <fill>
      <patternFill patternType="solid">
        <fgColor rgb="FFFBC6B7"/>
        <bgColor indexed="64"/>
      </patternFill>
    </fill>
    <fill>
      <patternFill patternType="solid">
        <fgColor rgb="FFF89D84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 style="medium">
        <color theme="0" tint="-0.249977111117893"/>
      </right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indexed="64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 style="thin">
        <color indexed="64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</cellStyleXfs>
  <cellXfs count="269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2" fillId="0" borderId="0" xfId="0" applyFont="1"/>
    <xf numFmtId="164" fontId="11" fillId="0" borderId="9" xfId="0" applyNumberFormat="1" applyFont="1" applyBorder="1" applyAlignment="1">
      <alignment horizontal="center"/>
    </xf>
    <xf numFmtId="164" fontId="11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12" fillId="3" borderId="0" xfId="0" applyNumberFormat="1" applyFont="1" applyFill="1" applyAlignment="1">
      <alignment horizontal="center"/>
    </xf>
    <xf numFmtId="1" fontId="12" fillId="4" borderId="0" xfId="0" applyNumberFormat="1" applyFont="1" applyFill="1" applyAlignment="1">
      <alignment horizontal="center"/>
    </xf>
    <xf numFmtId="164" fontId="12" fillId="3" borderId="0" xfId="0" applyNumberFormat="1" applyFont="1" applyFill="1" applyAlignment="1">
      <alignment horizontal="center"/>
    </xf>
    <xf numFmtId="2" fontId="12" fillId="0" borderId="0" xfId="0" applyNumberFormat="1" applyFont="1" applyAlignment="1">
      <alignment horizontal="center"/>
    </xf>
    <xf numFmtId="0" fontId="13" fillId="0" borderId="0" xfId="0" applyFont="1" applyAlignment="1">
      <alignment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9" fontId="16" fillId="5" borderId="4" xfId="0" applyNumberFormat="1" applyFont="1" applyFill="1" applyBorder="1" applyAlignment="1">
      <alignment horizontal="center" vertical="center" wrapText="1"/>
    </xf>
    <xf numFmtId="165" fontId="15" fillId="0" borderId="4" xfId="0" applyNumberFormat="1" applyFont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wrapText="1"/>
    </xf>
    <xf numFmtId="1" fontId="16" fillId="5" borderId="12" xfId="0" applyNumberFormat="1" applyFont="1" applyFill="1" applyBorder="1" applyAlignment="1">
      <alignment horizontal="center" vertical="center" wrapText="1"/>
    </xf>
    <xf numFmtId="1" fontId="17" fillId="5" borderId="13" xfId="0" applyNumberFormat="1" applyFont="1" applyFill="1" applyBorder="1" applyAlignment="1">
      <alignment horizontal="center" vertical="center" wrapText="1"/>
    </xf>
    <xf numFmtId="1" fontId="16" fillId="5" borderId="14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1" fontId="16" fillId="3" borderId="14" xfId="0" applyNumberFormat="1" applyFont="1" applyFill="1" applyBorder="1" applyAlignment="1">
      <alignment horizontal="center" vertical="center" wrapText="1"/>
    </xf>
    <xf numFmtId="164" fontId="16" fillId="5" borderId="14" xfId="0" applyNumberFormat="1" applyFont="1" applyFill="1" applyBorder="1" applyAlignment="1">
      <alignment horizontal="center" vertical="center" wrapText="1"/>
    </xf>
    <xf numFmtId="164" fontId="16" fillId="3" borderId="14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65" fontId="15" fillId="0" borderId="0" xfId="0" applyNumberFormat="1" applyFont="1" applyAlignment="1">
      <alignment horizontal="center" vertical="center" wrapText="1"/>
    </xf>
    <xf numFmtId="10" fontId="15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15" xfId="0" applyFont="1" applyBorder="1" applyAlignment="1">
      <alignment wrapText="1"/>
    </xf>
    <xf numFmtId="1" fontId="16" fillId="0" borderId="11" xfId="0" applyNumberFormat="1" applyFont="1" applyBorder="1" applyAlignment="1">
      <alignment horizontal="center" vertical="center" wrapText="1"/>
    </xf>
    <xf numFmtId="1" fontId="17" fillId="0" borderId="0" xfId="0" applyNumberFormat="1" applyFont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1" fontId="16" fillId="3" borderId="0" xfId="0" applyNumberFormat="1" applyFont="1" applyFill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  <xf numFmtId="164" fontId="16" fillId="3" borderId="0" xfId="0" applyNumberFormat="1" applyFont="1" applyFill="1" applyAlignment="1">
      <alignment horizontal="center" vertical="center" wrapText="1"/>
    </xf>
    <xf numFmtId="0" fontId="18" fillId="0" borderId="0" xfId="0" applyFont="1"/>
    <xf numFmtId="0" fontId="5" fillId="6" borderId="0" xfId="0" applyFont="1" applyFill="1" applyAlignment="1">
      <alignment vertical="center"/>
    </xf>
    <xf numFmtId="0" fontId="19" fillId="0" borderId="16" xfId="0" applyFont="1" applyBorder="1" applyAlignment="1">
      <alignment vertical="center"/>
    </xf>
    <xf numFmtId="0" fontId="20" fillId="0" borderId="17" xfId="0" applyFont="1" applyBorder="1" applyAlignment="1">
      <alignment horizontal="left"/>
    </xf>
    <xf numFmtId="0" fontId="20" fillId="0" borderId="18" xfId="0" applyFont="1" applyBorder="1" applyAlignment="1">
      <alignment horizontal="left"/>
    </xf>
    <xf numFmtId="9" fontId="21" fillId="0" borderId="0" xfId="2" applyFont="1" applyFill="1" applyAlignment="1">
      <alignment horizontal="center" vertical="center"/>
    </xf>
    <xf numFmtId="165" fontId="8" fillId="0" borderId="19" xfId="0" applyNumberFormat="1" applyFont="1" applyBorder="1" applyAlignment="1">
      <alignment horizontal="center" vertical="center"/>
    </xf>
    <xf numFmtId="166" fontId="19" fillId="6" borderId="20" xfId="0" applyNumberFormat="1" applyFont="1" applyFill="1" applyBorder="1" applyAlignment="1">
      <alignment horizontal="center" vertical="center"/>
    </xf>
    <xf numFmtId="9" fontId="21" fillId="7" borderId="0" xfId="2" applyFont="1" applyFill="1" applyAlignment="1">
      <alignment horizontal="center" vertical="center"/>
    </xf>
    <xf numFmtId="165" fontId="9" fillId="0" borderId="19" xfId="0" applyNumberFormat="1" applyFont="1" applyBorder="1" applyAlignment="1">
      <alignment horizontal="center" vertical="center"/>
    </xf>
    <xf numFmtId="9" fontId="11" fillId="0" borderId="21" xfId="0" applyNumberFormat="1" applyFont="1" applyBorder="1" applyAlignment="1">
      <alignment horizontal="center"/>
    </xf>
    <xf numFmtId="165" fontId="8" fillId="0" borderId="22" xfId="0" applyNumberFormat="1" applyFont="1" applyBorder="1" applyAlignment="1">
      <alignment horizontal="right" vertical="center"/>
    </xf>
    <xf numFmtId="165" fontId="8" fillId="0" borderId="19" xfId="0" applyNumberFormat="1" applyFont="1" applyBorder="1" applyAlignment="1">
      <alignment horizontal="right" vertical="center"/>
    </xf>
    <xf numFmtId="0" fontId="22" fillId="0" borderId="15" xfId="0" applyFont="1" applyBorder="1"/>
    <xf numFmtId="164" fontId="11" fillId="0" borderId="23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167" fontId="11" fillId="0" borderId="21" xfId="3" applyNumberFormat="1" applyFont="1" applyBorder="1" applyAlignment="1">
      <alignment horizontal="center"/>
    </xf>
    <xf numFmtId="0" fontId="22" fillId="0" borderId="0" xfId="0" applyFont="1"/>
    <xf numFmtId="167" fontId="11" fillId="3" borderId="21" xfId="3" applyNumberFormat="1" applyFont="1" applyFill="1" applyBorder="1" applyAlignment="1">
      <alignment horizontal="center"/>
    </xf>
    <xf numFmtId="167" fontId="11" fillId="0" borderId="21" xfId="3" applyNumberFormat="1" applyFont="1" applyFill="1" applyBorder="1" applyAlignment="1">
      <alignment horizontal="center"/>
    </xf>
    <xf numFmtId="1" fontId="11" fillId="0" borderId="21" xfId="0" applyNumberFormat="1" applyFont="1" applyBorder="1" applyAlignment="1">
      <alignment horizontal="center"/>
    </xf>
    <xf numFmtId="0" fontId="11" fillId="3" borderId="21" xfId="0" applyFont="1" applyFill="1" applyBorder="1" applyAlignment="1">
      <alignment horizontal="center"/>
    </xf>
    <xf numFmtId="1" fontId="0" fillId="8" borderId="14" xfId="1" applyNumberFormat="1" applyFont="1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168" fontId="11" fillId="0" borderId="21" xfId="0" applyNumberFormat="1" applyFont="1" applyBorder="1" applyAlignment="1">
      <alignment horizontal="center"/>
    </xf>
    <xf numFmtId="2" fontId="22" fillId="0" borderId="0" xfId="0" applyNumberFormat="1" applyFont="1"/>
    <xf numFmtId="166" fontId="22" fillId="0" borderId="0" xfId="0" applyNumberFormat="1" applyFont="1"/>
    <xf numFmtId="165" fontId="22" fillId="0" borderId="0" xfId="0" applyNumberFormat="1" applyFont="1"/>
    <xf numFmtId="0" fontId="23" fillId="6" borderId="0" xfId="0" applyFont="1" applyFill="1" applyAlignment="1">
      <alignment vertical="center"/>
    </xf>
    <xf numFmtId="0" fontId="19" fillId="0" borderId="24" xfId="0" applyFont="1" applyBorder="1" applyAlignment="1">
      <alignment vertical="center"/>
    </xf>
    <xf numFmtId="0" fontId="20" fillId="0" borderId="0" xfId="0" applyFont="1" applyAlignment="1">
      <alignment horizontal="left"/>
    </xf>
    <xf numFmtId="0" fontId="20" fillId="0" borderId="25" xfId="0" applyFont="1" applyBorder="1" applyAlignment="1">
      <alignment horizontal="left"/>
    </xf>
    <xf numFmtId="165" fontId="8" fillId="0" borderId="26" xfId="0" applyNumberFormat="1" applyFont="1" applyBorder="1" applyAlignment="1">
      <alignment horizontal="center" vertical="center"/>
    </xf>
    <xf numFmtId="166" fontId="19" fillId="6" borderId="27" xfId="0" applyNumberFormat="1" applyFont="1" applyFill="1" applyBorder="1" applyAlignment="1">
      <alignment horizontal="center" vertical="center"/>
    </xf>
    <xf numFmtId="165" fontId="9" fillId="0" borderId="26" xfId="0" applyNumberFormat="1" applyFont="1" applyBorder="1" applyAlignment="1">
      <alignment horizontal="center" vertical="center"/>
    </xf>
    <xf numFmtId="165" fontId="8" fillId="0" borderId="28" xfId="0" applyNumberFormat="1" applyFont="1" applyBorder="1" applyAlignment="1">
      <alignment horizontal="right" vertical="center"/>
    </xf>
    <xf numFmtId="165" fontId="8" fillId="0" borderId="26" xfId="0" applyNumberFormat="1" applyFont="1" applyBorder="1" applyAlignment="1">
      <alignment horizontal="right" vertical="center"/>
    </xf>
    <xf numFmtId="0" fontId="19" fillId="0" borderId="29" xfId="0" applyFont="1" applyBorder="1" applyAlignment="1">
      <alignment vertical="center"/>
    </xf>
    <xf numFmtId="0" fontId="20" fillId="0" borderId="30" xfId="0" applyFont="1" applyBorder="1" applyAlignment="1">
      <alignment horizontal="left"/>
    </xf>
    <xf numFmtId="0" fontId="24" fillId="0" borderId="31" xfId="0" applyFont="1" applyBorder="1" applyAlignment="1">
      <alignment horizontal="left"/>
    </xf>
    <xf numFmtId="9" fontId="25" fillId="0" borderId="0" xfId="2" applyFont="1" applyFill="1" applyAlignment="1">
      <alignment horizontal="center" vertical="center"/>
    </xf>
    <xf numFmtId="165" fontId="8" fillId="0" borderId="32" xfId="0" applyNumberFormat="1" applyFont="1" applyBorder="1" applyAlignment="1">
      <alignment horizontal="center" vertical="center"/>
    </xf>
    <xf numFmtId="0" fontId="25" fillId="5" borderId="33" xfId="0" applyFont="1" applyFill="1" applyBorder="1" applyAlignment="1">
      <alignment horizontal="center" vertical="center"/>
    </xf>
    <xf numFmtId="165" fontId="9" fillId="0" borderId="32" xfId="0" applyNumberFormat="1" applyFont="1" applyBorder="1" applyAlignment="1">
      <alignment horizontal="center" vertical="center"/>
    </xf>
    <xf numFmtId="9" fontId="25" fillId="7" borderId="0" xfId="2" applyFont="1" applyFill="1" applyAlignment="1">
      <alignment horizontal="center" vertical="center"/>
    </xf>
    <xf numFmtId="165" fontId="8" fillId="0" borderId="34" xfId="0" applyNumberFormat="1" applyFont="1" applyBorder="1" applyAlignment="1">
      <alignment horizontal="center" vertical="center"/>
    </xf>
    <xf numFmtId="3" fontId="11" fillId="0" borderId="21" xfId="3" applyNumberFormat="1" applyFont="1" applyFill="1" applyBorder="1" applyAlignment="1">
      <alignment horizontal="center"/>
    </xf>
    <xf numFmtId="0" fontId="5" fillId="7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26" fillId="0" borderId="0" xfId="0" applyFont="1" applyAlignment="1">
      <alignment horizontal="left"/>
    </xf>
    <xf numFmtId="9" fontId="27" fillId="0" borderId="0" xfId="2" applyFont="1" applyFill="1" applyAlignment="1">
      <alignment horizontal="center" vertical="center"/>
    </xf>
    <xf numFmtId="170" fontId="25" fillId="0" borderId="0" xfId="4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9" fontId="27" fillId="7" borderId="0" xfId="2" applyFont="1" applyFill="1" applyAlignment="1">
      <alignment horizontal="center" vertical="center"/>
    </xf>
    <xf numFmtId="9" fontId="12" fillId="7" borderId="0" xfId="0" applyNumberFormat="1" applyFont="1" applyFill="1" applyAlignment="1">
      <alignment horizontal="center"/>
    </xf>
    <xf numFmtId="165" fontId="25" fillId="7" borderId="27" xfId="4" applyNumberFormat="1" applyFont="1" applyFill="1" applyBorder="1" applyAlignment="1">
      <alignment horizontal="center" vertical="center"/>
    </xf>
    <xf numFmtId="165" fontId="25" fillId="7" borderId="0" xfId="4" applyNumberFormat="1" applyFont="1" applyFill="1" applyBorder="1" applyAlignment="1">
      <alignment horizontal="center" vertical="center"/>
    </xf>
    <xf numFmtId="0" fontId="2" fillId="7" borderId="15" xfId="0" applyFont="1" applyFill="1" applyBorder="1"/>
    <xf numFmtId="164" fontId="11" fillId="0" borderId="11" xfId="0" applyNumberFormat="1" applyFont="1" applyBorder="1" applyAlignment="1">
      <alignment horizontal="center"/>
    </xf>
    <xf numFmtId="1" fontId="12" fillId="7" borderId="0" xfId="0" applyNumberFormat="1" applyFont="1" applyFill="1" applyAlignment="1">
      <alignment horizontal="center"/>
    </xf>
    <xf numFmtId="0" fontId="2" fillId="7" borderId="0" xfId="0" applyFont="1" applyFill="1"/>
    <xf numFmtId="3" fontId="12" fillId="0" borderId="0" xfId="0" applyNumberFormat="1" applyFont="1" applyAlignment="1">
      <alignment horizontal="center"/>
    </xf>
    <xf numFmtId="9" fontId="22" fillId="0" borderId="0" xfId="0" applyNumberFormat="1" applyFont="1"/>
    <xf numFmtId="0" fontId="29" fillId="0" borderId="16" xfId="0" applyFont="1" applyBorder="1" applyAlignment="1">
      <alignment vertical="center"/>
    </xf>
    <xf numFmtId="0" fontId="24" fillId="0" borderId="17" xfId="0" applyFont="1" applyBorder="1" applyAlignment="1">
      <alignment horizontal="left"/>
    </xf>
    <xf numFmtId="0" fontId="24" fillId="0" borderId="18" xfId="0" applyFont="1" applyBorder="1" applyAlignment="1">
      <alignment horizontal="left"/>
    </xf>
    <xf numFmtId="165" fontId="30" fillId="0" borderId="19" xfId="0" applyNumberFormat="1" applyFont="1" applyBorder="1" applyAlignment="1">
      <alignment horizontal="center" vertical="center"/>
    </xf>
    <xf numFmtId="166" fontId="29" fillId="6" borderId="20" xfId="0" applyNumberFormat="1" applyFont="1" applyFill="1" applyBorder="1" applyAlignment="1">
      <alignment horizontal="center" vertical="center"/>
    </xf>
    <xf numFmtId="166" fontId="6" fillId="6" borderId="27" xfId="0" applyNumberFormat="1" applyFont="1" applyFill="1" applyBorder="1" applyAlignment="1">
      <alignment horizontal="center" vertical="center"/>
    </xf>
    <xf numFmtId="9" fontId="3" fillId="0" borderId="21" xfId="0" applyNumberFormat="1" applyFont="1" applyBorder="1" applyAlignment="1">
      <alignment horizontal="center"/>
    </xf>
    <xf numFmtId="165" fontId="30" fillId="0" borderId="22" xfId="0" applyNumberFormat="1" applyFont="1" applyBorder="1" applyAlignment="1">
      <alignment horizontal="right" vertical="center"/>
    </xf>
    <xf numFmtId="165" fontId="30" fillId="0" borderId="35" xfId="0" applyNumberFormat="1" applyFont="1" applyBorder="1" applyAlignment="1">
      <alignment horizontal="right" vertical="center"/>
    </xf>
    <xf numFmtId="0" fontId="2" fillId="0" borderId="15" xfId="0" applyFont="1" applyBorder="1"/>
    <xf numFmtId="164" fontId="3" fillId="0" borderId="23" xfId="0" applyNumberFormat="1" applyFont="1" applyBorder="1" applyAlignment="1">
      <alignment horizontal="center"/>
    </xf>
    <xf numFmtId="164" fontId="12" fillId="0" borderId="21" xfId="0" applyNumberFormat="1" applyFont="1" applyBorder="1" applyAlignment="1">
      <alignment horizontal="center"/>
    </xf>
    <xf numFmtId="167" fontId="12" fillId="0" borderId="21" xfId="3" applyNumberFormat="1" applyFont="1" applyBorder="1" applyAlignment="1">
      <alignment horizontal="center"/>
    </xf>
    <xf numFmtId="167" fontId="12" fillId="3" borderId="21" xfId="3" applyNumberFormat="1" applyFont="1" applyFill="1" applyBorder="1" applyAlignment="1">
      <alignment horizontal="center"/>
    </xf>
    <xf numFmtId="167" fontId="12" fillId="0" borderId="21" xfId="3" applyNumberFormat="1" applyFont="1" applyFill="1" applyBorder="1" applyAlignment="1">
      <alignment horizontal="center"/>
    </xf>
    <xf numFmtId="1" fontId="12" fillId="0" borderId="21" xfId="0" applyNumberFormat="1" applyFont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9" fontId="12" fillId="0" borderId="21" xfId="0" applyNumberFormat="1" applyFont="1" applyBorder="1" applyAlignment="1">
      <alignment horizontal="center"/>
    </xf>
    <xf numFmtId="1" fontId="2" fillId="8" borderId="14" xfId="1" applyNumberFormat="1" applyFont="1" applyFill="1" applyBorder="1" applyAlignment="1">
      <alignment horizontal="center"/>
    </xf>
    <xf numFmtId="0" fontId="12" fillId="0" borderId="21" xfId="0" applyFont="1" applyBorder="1" applyAlignment="1">
      <alignment horizontal="center"/>
    </xf>
    <xf numFmtId="168" fontId="12" fillId="0" borderId="21" xfId="0" applyNumberFormat="1" applyFont="1" applyBorder="1" applyAlignment="1">
      <alignment horizontal="center"/>
    </xf>
    <xf numFmtId="2" fontId="2" fillId="0" borderId="0" xfId="0" applyNumberFormat="1" applyFont="1"/>
    <xf numFmtId="166" fontId="2" fillId="0" borderId="0" xfId="0" applyNumberFormat="1" applyFont="1"/>
    <xf numFmtId="165" fontId="2" fillId="0" borderId="0" xfId="0" applyNumberFormat="1" applyFont="1"/>
    <xf numFmtId="0" fontId="29" fillId="0" borderId="24" xfId="0" applyFont="1" applyBorder="1" applyAlignment="1">
      <alignment vertical="center"/>
    </xf>
    <xf numFmtId="0" fontId="24" fillId="0" borderId="0" xfId="0" applyFont="1" applyAlignment="1">
      <alignment horizontal="left"/>
    </xf>
    <xf numFmtId="0" fontId="24" fillId="0" borderId="25" xfId="0" applyFont="1" applyBorder="1" applyAlignment="1">
      <alignment horizontal="left"/>
    </xf>
    <xf numFmtId="165" fontId="30" fillId="0" borderId="26" xfId="0" applyNumberFormat="1" applyFont="1" applyBorder="1" applyAlignment="1">
      <alignment horizontal="center" vertical="center"/>
    </xf>
    <xf numFmtId="166" fontId="29" fillId="6" borderId="27" xfId="0" applyNumberFormat="1" applyFont="1" applyFill="1" applyBorder="1" applyAlignment="1">
      <alignment horizontal="center" vertical="center"/>
    </xf>
    <xf numFmtId="165" fontId="30" fillId="0" borderId="28" xfId="0" applyNumberFormat="1" applyFont="1" applyBorder="1" applyAlignment="1">
      <alignment horizontal="right" vertical="center"/>
    </xf>
    <xf numFmtId="165" fontId="30" fillId="0" borderId="26" xfId="0" applyNumberFormat="1" applyFont="1" applyBorder="1" applyAlignment="1">
      <alignment horizontal="right" vertical="center"/>
    </xf>
    <xf numFmtId="1" fontId="0" fillId="4" borderId="14" xfId="1" applyNumberFormat="1" applyFont="1" applyFill="1" applyBorder="1" applyAlignment="1">
      <alignment horizontal="center"/>
    </xf>
    <xf numFmtId="0" fontId="20" fillId="0" borderId="31" xfId="0" applyFont="1" applyBorder="1" applyAlignment="1">
      <alignment horizontal="left"/>
    </xf>
    <xf numFmtId="3" fontId="11" fillId="4" borderId="21" xfId="3" applyNumberFormat="1" applyFont="1" applyFill="1" applyBorder="1" applyAlignment="1">
      <alignment horizontal="center"/>
    </xf>
    <xf numFmtId="165" fontId="8" fillId="0" borderId="35" xfId="0" applyNumberFormat="1" applyFont="1" applyBorder="1" applyAlignment="1">
      <alignment horizontal="right" vertical="center"/>
    </xf>
    <xf numFmtId="3" fontId="11" fillId="8" borderId="21" xfId="3" applyNumberFormat="1" applyFont="1" applyFill="1" applyBorder="1" applyAlignment="1">
      <alignment horizontal="center"/>
    </xf>
    <xf numFmtId="0" fontId="31" fillId="0" borderId="14" xfId="0" applyFont="1" applyBorder="1" applyAlignment="1">
      <alignment horizontal="left"/>
    </xf>
    <xf numFmtId="164" fontId="21" fillId="7" borderId="0" xfId="2" applyNumberFormat="1" applyFont="1" applyFill="1" applyAlignment="1">
      <alignment horizontal="center" vertical="center"/>
    </xf>
    <xf numFmtId="165" fontId="9" fillId="0" borderId="28" xfId="0" applyNumberFormat="1" applyFont="1" applyBorder="1" applyAlignment="1">
      <alignment horizontal="center" vertical="center"/>
    </xf>
    <xf numFmtId="166" fontId="29" fillId="6" borderId="22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left"/>
    </xf>
    <xf numFmtId="164" fontId="27" fillId="7" borderId="0" xfId="2" applyNumberFormat="1" applyFont="1" applyFill="1" applyAlignment="1">
      <alignment horizontal="center" vertical="center"/>
    </xf>
    <xf numFmtId="166" fontId="29" fillId="6" borderId="28" xfId="0" applyNumberFormat="1" applyFont="1" applyFill="1" applyBorder="1" applyAlignment="1">
      <alignment horizontal="center" vertical="center"/>
    </xf>
    <xf numFmtId="165" fontId="30" fillId="0" borderId="36" xfId="0" applyNumberFormat="1" applyFont="1" applyBorder="1" applyAlignment="1">
      <alignment horizontal="right" vertical="center"/>
    </xf>
    <xf numFmtId="3" fontId="12" fillId="0" borderId="21" xfId="3" applyNumberFormat="1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165" fontId="25" fillId="0" borderId="27" xfId="4" applyNumberFormat="1" applyFont="1" applyBorder="1" applyAlignment="1">
      <alignment horizontal="center" vertical="center"/>
    </xf>
    <xf numFmtId="165" fontId="25" fillId="0" borderId="0" xfId="4" applyNumberFormat="1" applyFont="1" applyBorder="1" applyAlignment="1">
      <alignment horizontal="center" vertical="center"/>
    </xf>
    <xf numFmtId="0" fontId="5" fillId="6" borderId="25" xfId="0" applyFont="1" applyFill="1" applyBorder="1" applyAlignment="1">
      <alignment vertical="center"/>
    </xf>
    <xf numFmtId="0" fontId="19" fillId="0" borderId="37" xfId="0" applyFont="1" applyBorder="1" applyAlignment="1">
      <alignment vertical="center"/>
    </xf>
    <xf numFmtId="0" fontId="20" fillId="0" borderId="38" xfId="0" applyFont="1" applyBorder="1" applyAlignment="1">
      <alignment horizontal="left"/>
    </xf>
    <xf numFmtId="0" fontId="20" fillId="0" borderId="39" xfId="0" applyFont="1" applyBorder="1" applyAlignment="1">
      <alignment horizontal="left"/>
    </xf>
    <xf numFmtId="165" fontId="8" fillId="0" borderId="40" xfId="0" applyNumberFormat="1" applyFont="1" applyBorder="1" applyAlignment="1">
      <alignment horizontal="center" vertical="center"/>
    </xf>
    <xf numFmtId="0" fontId="25" fillId="5" borderId="41" xfId="0" applyFont="1" applyFill="1" applyBorder="1" applyAlignment="1">
      <alignment horizontal="center" vertical="center"/>
    </xf>
    <xf numFmtId="165" fontId="9" fillId="0" borderId="40" xfId="0" applyNumberFormat="1" applyFont="1" applyBorder="1" applyAlignment="1">
      <alignment horizontal="center" vertical="center"/>
    </xf>
    <xf numFmtId="165" fontId="9" fillId="0" borderId="42" xfId="0" applyNumberFormat="1" applyFont="1" applyBorder="1" applyAlignment="1">
      <alignment horizontal="center" vertical="center"/>
    </xf>
    <xf numFmtId="165" fontId="8" fillId="0" borderId="42" xfId="0" applyNumberFormat="1" applyFont="1" applyBorder="1" applyAlignment="1">
      <alignment horizontal="center" vertical="center"/>
    </xf>
    <xf numFmtId="0" fontId="19" fillId="7" borderId="16" xfId="0" applyFont="1" applyFill="1" applyBorder="1" applyAlignment="1">
      <alignment vertical="center"/>
    </xf>
    <xf numFmtId="164" fontId="21" fillId="0" borderId="0" xfId="2" applyNumberFormat="1" applyFont="1" applyFill="1" applyAlignment="1">
      <alignment horizontal="center" vertical="center"/>
    </xf>
    <xf numFmtId="165" fontId="30" fillId="0" borderId="19" xfId="0" applyNumberFormat="1" applyFont="1" applyBorder="1" applyAlignment="1">
      <alignment horizontal="right" vertical="center"/>
    </xf>
    <xf numFmtId="166" fontId="29" fillId="3" borderId="27" xfId="0" applyNumberFormat="1" applyFont="1" applyFill="1" applyBorder="1" applyAlignment="1">
      <alignment horizontal="center" vertical="center"/>
    </xf>
    <xf numFmtId="3" fontId="12" fillId="8" borderId="21" xfId="3" applyNumberFormat="1" applyFont="1" applyFill="1" applyBorder="1" applyAlignment="1">
      <alignment horizontal="center"/>
    </xf>
    <xf numFmtId="165" fontId="30" fillId="0" borderId="32" xfId="0" applyNumberFormat="1" applyFont="1" applyBorder="1" applyAlignment="1">
      <alignment horizontal="center" vertical="center"/>
    </xf>
    <xf numFmtId="0" fontId="33" fillId="5" borderId="33" xfId="0" applyFont="1" applyFill="1" applyBorder="1" applyAlignment="1">
      <alignment horizontal="center" vertical="center"/>
    </xf>
    <xf numFmtId="0" fontId="28" fillId="5" borderId="33" xfId="0" applyFont="1" applyFill="1" applyBorder="1" applyAlignment="1">
      <alignment horizontal="center" vertical="center"/>
    </xf>
    <xf numFmtId="165" fontId="30" fillId="0" borderId="34" xfId="0" applyNumberFormat="1" applyFont="1" applyBorder="1" applyAlignment="1">
      <alignment horizontal="center" vertical="center"/>
    </xf>
    <xf numFmtId="3" fontId="12" fillId="4" borderId="21" xfId="3" applyNumberFormat="1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34" fillId="7" borderId="17" xfId="0" applyFont="1" applyFill="1" applyBorder="1" applyAlignment="1">
      <alignment horizontal="left" wrapText="1"/>
    </xf>
    <xf numFmtId="165" fontId="9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8" fillId="0" borderId="27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/>
    </xf>
    <xf numFmtId="9" fontId="11" fillId="0" borderId="0" xfId="0" applyNumberFormat="1" applyFont="1" applyAlignment="1">
      <alignment horizontal="center"/>
    </xf>
    <xf numFmtId="167" fontId="11" fillId="0" borderId="0" xfId="3" applyNumberFormat="1" applyFont="1" applyBorder="1" applyAlignment="1">
      <alignment horizontal="center"/>
    </xf>
    <xf numFmtId="167" fontId="11" fillId="3" borderId="0" xfId="3" applyNumberFormat="1" applyFont="1" applyFill="1" applyBorder="1" applyAlignment="1">
      <alignment horizontal="center"/>
    </xf>
    <xf numFmtId="167" fontId="11" fillId="0" borderId="0" xfId="3" applyNumberFormat="1" applyFont="1" applyFill="1" applyBorder="1" applyAlignment="1">
      <alignment horizontal="center"/>
    </xf>
    <xf numFmtId="1" fontId="11" fillId="0" borderId="0" xfId="0" applyNumberFormat="1" applyFont="1" applyAlignment="1">
      <alignment horizontal="center"/>
    </xf>
    <xf numFmtId="3" fontId="11" fillId="0" borderId="0" xfId="3" applyNumberFormat="1" applyFont="1" applyFill="1" applyBorder="1" applyAlignment="1">
      <alignment horizontal="center"/>
    </xf>
    <xf numFmtId="0" fontId="0" fillId="0" borderId="15" xfId="0" applyBorder="1"/>
    <xf numFmtId="0" fontId="0" fillId="0" borderId="11" xfId="0" applyBorder="1"/>
    <xf numFmtId="0" fontId="0" fillId="3" borderId="0" xfId="0" applyFill="1"/>
    <xf numFmtId="165" fontId="9" fillId="0" borderId="22" xfId="0" applyNumberFormat="1" applyFont="1" applyBorder="1" applyAlignment="1">
      <alignment horizontal="center" vertical="center"/>
    </xf>
    <xf numFmtId="166" fontId="19" fillId="6" borderId="22" xfId="0" applyNumberFormat="1" applyFont="1" applyFill="1" applyBorder="1" applyAlignment="1">
      <alignment horizontal="center" vertical="center"/>
    </xf>
    <xf numFmtId="166" fontId="19" fillId="6" borderId="28" xfId="0" applyNumberFormat="1" applyFont="1" applyFill="1" applyBorder="1" applyAlignment="1">
      <alignment horizontal="center" vertical="center"/>
    </xf>
    <xf numFmtId="164" fontId="11" fillId="3" borderId="21" xfId="0" applyNumberFormat="1" applyFont="1" applyFill="1" applyBorder="1" applyAlignment="1">
      <alignment horizontal="center"/>
    </xf>
    <xf numFmtId="0" fontId="29" fillId="0" borderId="29" xfId="0" applyFont="1" applyBorder="1" applyAlignment="1">
      <alignment vertical="center"/>
    </xf>
    <xf numFmtId="0" fontId="24" fillId="0" borderId="30" xfId="0" applyFont="1" applyBorder="1" applyAlignment="1">
      <alignment horizontal="left"/>
    </xf>
    <xf numFmtId="9" fontId="28" fillId="7" borderId="0" xfId="2" applyFont="1" applyFill="1" applyAlignment="1">
      <alignment horizontal="center" vertical="center"/>
    </xf>
    <xf numFmtId="0" fontId="24" fillId="7" borderId="17" xfId="0" applyFont="1" applyFill="1" applyBorder="1" applyAlignment="1">
      <alignment horizontal="left"/>
    </xf>
    <xf numFmtId="0" fontId="24" fillId="7" borderId="18" xfId="0" applyFont="1" applyFill="1" applyBorder="1" applyAlignment="1">
      <alignment horizontal="left"/>
    </xf>
    <xf numFmtId="0" fontId="24" fillId="7" borderId="0" xfId="0" applyFont="1" applyFill="1" applyAlignment="1">
      <alignment horizontal="left"/>
    </xf>
    <xf numFmtId="0" fontId="24" fillId="7" borderId="25" xfId="0" applyFont="1" applyFill="1" applyBorder="1" applyAlignment="1">
      <alignment horizontal="left"/>
    </xf>
    <xf numFmtId="0" fontId="23" fillId="0" borderId="0" xfId="0" applyFont="1" applyAlignment="1">
      <alignment vertical="center"/>
    </xf>
    <xf numFmtId="9" fontId="21" fillId="0" borderId="0" xfId="2" applyFont="1" applyFill="1" applyBorder="1" applyAlignment="1">
      <alignment horizontal="center" vertical="center"/>
    </xf>
    <xf numFmtId="170" fontId="25" fillId="0" borderId="0" xfId="4" applyNumberFormat="1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170" fontId="25" fillId="0" borderId="15" xfId="4" applyNumberFormat="1" applyFont="1" applyFill="1" applyBorder="1" applyAlignment="1">
      <alignment horizontal="center" vertical="center"/>
    </xf>
    <xf numFmtId="3" fontId="25" fillId="0" borderId="0" xfId="0" applyNumberFormat="1" applyFont="1" applyAlignment="1">
      <alignment horizontal="center" vertical="center"/>
    </xf>
    <xf numFmtId="0" fontId="20" fillId="7" borderId="17" xfId="0" applyFont="1" applyFill="1" applyBorder="1" applyAlignment="1">
      <alignment horizontal="left"/>
    </xf>
    <xf numFmtId="0" fontId="20" fillId="7" borderId="18" xfId="0" applyFont="1" applyFill="1" applyBorder="1" applyAlignment="1">
      <alignment horizontal="left"/>
    </xf>
    <xf numFmtId="0" fontId="20" fillId="7" borderId="0" xfId="0" applyFont="1" applyFill="1" applyAlignment="1">
      <alignment horizontal="left"/>
    </xf>
    <xf numFmtId="0" fontId="20" fillId="7" borderId="25" xfId="0" applyFont="1" applyFill="1" applyBorder="1" applyAlignment="1">
      <alignment horizontal="left"/>
    </xf>
    <xf numFmtId="165" fontId="8" fillId="0" borderId="24" xfId="0" applyNumberFormat="1" applyFont="1" applyBorder="1" applyAlignment="1">
      <alignment horizontal="center" vertical="center"/>
    </xf>
    <xf numFmtId="166" fontId="19" fillId="6" borderId="25" xfId="0" applyNumberFormat="1" applyFont="1" applyFill="1" applyBorder="1" applyAlignment="1">
      <alignment horizontal="center" vertical="center"/>
    </xf>
    <xf numFmtId="165" fontId="9" fillId="0" borderId="16" xfId="0" applyNumberFormat="1" applyFont="1" applyBorder="1" applyAlignment="1">
      <alignment horizontal="center" vertical="center"/>
    </xf>
    <xf numFmtId="166" fontId="19" fillId="6" borderId="18" xfId="0" applyNumberFormat="1" applyFont="1" applyFill="1" applyBorder="1" applyAlignment="1">
      <alignment horizontal="center" vertical="center"/>
    </xf>
    <xf numFmtId="9" fontId="11" fillId="0" borderId="43" xfId="0" applyNumberFormat="1" applyFont="1" applyBorder="1" applyAlignment="1">
      <alignment horizontal="center"/>
    </xf>
    <xf numFmtId="165" fontId="8" fillId="0" borderId="44" xfId="0" applyNumberFormat="1" applyFont="1" applyBorder="1" applyAlignment="1">
      <alignment horizontal="right" vertical="center"/>
    </xf>
    <xf numFmtId="165" fontId="8" fillId="0" borderId="45" xfId="0" applyNumberFormat="1" applyFont="1" applyBorder="1" applyAlignment="1">
      <alignment horizontal="right" vertical="center"/>
    </xf>
    <xf numFmtId="3" fontId="11" fillId="3" borderId="21" xfId="3" applyNumberFormat="1" applyFont="1" applyFill="1" applyBorder="1" applyAlignment="1">
      <alignment horizontal="center"/>
    </xf>
    <xf numFmtId="164" fontId="27" fillId="0" borderId="0" xfId="2" applyNumberFormat="1" applyFont="1" applyFill="1" applyAlignment="1">
      <alignment horizontal="center" vertical="center"/>
    </xf>
    <xf numFmtId="166" fontId="6" fillId="6" borderId="20" xfId="0" applyNumberFormat="1" applyFont="1" applyFill="1" applyBorder="1" applyAlignment="1">
      <alignment horizontal="center" vertical="center"/>
    </xf>
    <xf numFmtId="3" fontId="2" fillId="0" borderId="0" xfId="0" applyNumberFormat="1" applyFont="1"/>
    <xf numFmtId="3" fontId="22" fillId="0" borderId="0" xfId="0" applyNumberFormat="1" applyFont="1"/>
    <xf numFmtId="166" fontId="19" fillId="9" borderId="27" xfId="0" applyNumberFormat="1" applyFont="1" applyFill="1" applyBorder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26" fillId="7" borderId="0" xfId="0" applyFont="1" applyFill="1" applyAlignment="1">
      <alignment horizontal="left"/>
    </xf>
    <xf numFmtId="166" fontId="19" fillId="9" borderId="20" xfId="0" applyNumberFormat="1" applyFont="1" applyFill="1" applyBorder="1" applyAlignment="1">
      <alignment horizontal="center" vertical="center"/>
    </xf>
    <xf numFmtId="166" fontId="22" fillId="4" borderId="0" xfId="0" applyNumberFormat="1" applyFont="1" applyFill="1"/>
    <xf numFmtId="165" fontId="8" fillId="0" borderId="28" xfId="0" applyNumberFormat="1" applyFont="1" applyBorder="1" applyAlignment="1">
      <alignment horizontal="center" vertical="center"/>
    </xf>
    <xf numFmtId="9" fontId="11" fillId="7" borderId="0" xfId="0" applyNumberFormat="1" applyFont="1" applyFill="1" applyAlignment="1">
      <alignment horizontal="center"/>
    </xf>
    <xf numFmtId="0" fontId="19" fillId="7" borderId="0" xfId="0" applyFont="1" applyFill="1" applyAlignment="1">
      <alignment vertical="center"/>
    </xf>
    <xf numFmtId="0" fontId="22" fillId="7" borderId="15" xfId="0" applyFont="1" applyFill="1" applyBorder="1"/>
    <xf numFmtId="1" fontId="35" fillId="5" borderId="20" xfId="0" applyNumberFormat="1" applyFont="1" applyFill="1" applyBorder="1" applyAlignment="1">
      <alignment horizontal="center" vertical="center"/>
    </xf>
    <xf numFmtId="165" fontId="8" fillId="0" borderId="22" xfId="0" applyNumberFormat="1" applyFont="1" applyBorder="1" applyAlignment="1">
      <alignment horizontal="center" vertical="center"/>
    </xf>
    <xf numFmtId="165" fontId="8" fillId="0" borderId="35" xfId="0" applyNumberFormat="1" applyFont="1" applyBorder="1" applyAlignment="1">
      <alignment horizontal="center" vertical="center"/>
    </xf>
    <xf numFmtId="0" fontId="25" fillId="5" borderId="34" xfId="0" applyFont="1" applyFill="1" applyBorder="1" applyAlignment="1">
      <alignment horizontal="center" vertical="center"/>
    </xf>
    <xf numFmtId="166" fontId="19" fillId="9" borderId="22" xfId="0" applyNumberFormat="1" applyFont="1" applyFill="1" applyBorder="1" applyAlignment="1">
      <alignment horizontal="center" vertical="center"/>
    </xf>
    <xf numFmtId="166" fontId="19" fillId="9" borderId="28" xfId="0" applyNumberFormat="1" applyFont="1" applyFill="1" applyBorder="1" applyAlignment="1">
      <alignment horizontal="center" vertical="center"/>
    </xf>
    <xf numFmtId="165" fontId="8" fillId="0" borderId="36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22" fillId="7" borderId="0" xfId="0" applyFont="1" applyFill="1"/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vertical="center" wrapText="1"/>
    </xf>
    <xf numFmtId="170" fontId="25" fillId="7" borderId="0" xfId="0" applyNumberFormat="1" applyFont="1" applyFill="1" applyAlignment="1">
      <alignment horizontal="center" vertical="center"/>
    </xf>
    <xf numFmtId="0" fontId="37" fillId="6" borderId="0" xfId="0" applyFont="1" applyFill="1" applyAlignment="1">
      <alignment vertical="center"/>
    </xf>
    <xf numFmtId="0" fontId="19" fillId="10" borderId="16" xfId="0" applyFont="1" applyFill="1" applyBorder="1" applyAlignment="1">
      <alignment vertical="center"/>
    </xf>
    <xf numFmtId="0" fontId="19" fillId="10" borderId="24" xfId="0" applyFont="1" applyFill="1" applyBorder="1" applyAlignment="1">
      <alignment vertical="center"/>
    </xf>
    <xf numFmtId="0" fontId="19" fillId="10" borderId="29" xfId="0" applyFont="1" applyFill="1" applyBorder="1" applyAlignment="1">
      <alignment vertical="center"/>
    </xf>
    <xf numFmtId="164" fontId="22" fillId="0" borderId="0" xfId="0" applyNumberFormat="1" applyFont="1"/>
    <xf numFmtId="0" fontId="2" fillId="0" borderId="0" xfId="0" applyFont="1" applyAlignment="1">
      <alignment horizontal="left"/>
    </xf>
    <xf numFmtId="164" fontId="12" fillId="0" borderId="0" xfId="0" applyNumberFormat="1" applyFont="1" applyAlignment="1">
      <alignment horizontal="center"/>
    </xf>
    <xf numFmtId="10" fontId="9" fillId="0" borderId="0" xfId="0" applyNumberFormat="1" applyFont="1" applyAlignment="1">
      <alignment horizontal="center"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</cellXfs>
  <cellStyles count="5">
    <cellStyle name="Comma" xfId="1" builtinId="3"/>
    <cellStyle name="Comma 2" xfId="3" xr:uid="{F11C5930-BB98-4714-BC5D-02B0815E3486}"/>
    <cellStyle name="Euro" xfId="4" xr:uid="{0832014F-CD23-486D-8A9C-24A1937BE984}"/>
    <cellStyle name="Normal" xfId="0" builtinId="0"/>
    <cellStyle name="Percent" xfId="2" builtinId="5"/>
  </cellStyles>
  <dxfs count="249">
    <dxf>
      <font>
        <color rgb="FF9C0006"/>
      </font>
      <fill>
        <patternFill>
          <bgColor rgb="FFFFC7CE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rgb="FFFBC6B7"/>
          <bgColor theme="5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theme="9" tint="0.59996337778862885"/>
          <bgColor theme="9" tint="0.79998168889431442"/>
        </patternFill>
      </fill>
    </dxf>
    <dxf>
      <fill>
        <patternFill>
          <fgColor rgb="FFFBC6B7"/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rusan-my.sharepoint.com/personal/bcapar_borusan_com/Documents/Microsoft%20Teams%20Sohbet%20Dosyalar&#305;/Fiyat%20Kar&#351;&#305;la&#351;t&#305;rmas&#305;%20-%2010.03.2026.xlsx" TargetMode="External"/><Relationship Id="rId1" Type="http://schemas.openxmlformats.org/officeDocument/2006/relationships/externalLinkPath" Target="https://borusan-my.sharepoint.com/personal/bcapar_borusan_com/Documents/Microsoft%20Teams%20Sohbet%20Dosyalar&#305;/Fiyat%20Kar&#351;&#305;la&#351;t&#305;rmas&#305;%20-%2010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7.05.2025 Liste Fiyatı"/>
      <sheetName val="Mart 2026 Spec Adj Satılan O."/>
      <sheetName val="My Input"/>
      <sheetName val="Audi"/>
      <sheetName val="kW Tescil"/>
      <sheetName val="BMW"/>
      <sheetName val="MB"/>
      <sheetName val="Volvo"/>
      <sheetName val="Tesla"/>
    </sheetNames>
    <sheetDataSet>
      <sheetData sheetId="0"/>
      <sheetData sheetId="1"/>
      <sheetData sheetId="2">
        <row r="2">
          <cell r="B2" t="str">
            <v>Model Kodu</v>
          </cell>
          <cell r="E2" t="str">
            <v>Default indirim oranı (ind oranı takas ve krediyle birlikte kullanılabiliyorsa buraya yaz)</v>
          </cell>
          <cell r="F2" t="str">
            <v>Nakit Alım İnd Oranı (CB)</v>
          </cell>
          <cell r="G2" t="str">
            <v>Takas veya Kredi sunulmadığında alınacak ind oranı</v>
          </cell>
          <cell r="H2" t="str">
            <v>Takas Destek VH</v>
          </cell>
          <cell r="I2" t="str">
            <v>Takas Destek VD</v>
          </cell>
          <cell r="N2" t="str">
            <v>Kredi Maliyeti</v>
          </cell>
          <cell r="Q2" t="str">
            <v>Spec Adj. (EUR)
(+/-) değer alabilir</v>
          </cell>
          <cell r="S2" t="str">
            <v>Motor Hacmi (cc)</v>
          </cell>
          <cell r="T2" t="str">
            <v>Tescil</v>
          </cell>
          <cell r="U2" t="str">
            <v>Liste Fiyatı ÖTV</v>
          </cell>
          <cell r="V2" t="str">
            <v>Yakıt Türü</v>
          </cell>
        </row>
        <row r="3">
          <cell r="B3" t="str">
            <v>7K31</v>
          </cell>
          <cell r="E3">
            <v>0.03</v>
          </cell>
          <cell r="F3">
            <v>0</v>
          </cell>
          <cell r="G3">
            <v>0.03</v>
          </cell>
          <cell r="H3">
            <v>0</v>
          </cell>
          <cell r="I3">
            <v>0</v>
          </cell>
          <cell r="N3">
            <v>0</v>
          </cell>
          <cell r="Q3">
            <v>0</v>
          </cell>
          <cell r="S3">
            <v>1600</v>
          </cell>
          <cell r="T3">
            <v>8016.1</v>
          </cell>
          <cell r="U3">
            <v>0.8</v>
          </cell>
        </row>
        <row r="4">
          <cell r="B4" t="str">
            <v>7M71</v>
          </cell>
          <cell r="E4">
            <v>0.03</v>
          </cell>
          <cell r="F4">
            <v>0</v>
          </cell>
          <cell r="G4">
            <v>0.03</v>
          </cell>
          <cell r="H4">
            <v>0</v>
          </cell>
          <cell r="I4">
            <v>0</v>
          </cell>
          <cell r="N4">
            <v>0</v>
          </cell>
          <cell r="Q4">
            <v>0</v>
          </cell>
          <cell r="S4">
            <v>1600</v>
          </cell>
          <cell r="T4">
            <v>8016.1</v>
          </cell>
          <cell r="U4">
            <v>0.8</v>
          </cell>
        </row>
        <row r="5">
          <cell r="B5" t="str">
            <v>81GE-SL</v>
          </cell>
          <cell r="E5">
            <v>0.03</v>
          </cell>
          <cell r="F5">
            <v>0.08</v>
          </cell>
          <cell r="G5">
            <v>0.11</v>
          </cell>
          <cell r="H5">
            <v>175438.59649122809</v>
          </cell>
          <cell r="I5">
            <v>400000</v>
          </cell>
          <cell r="N5">
            <v>187879.57</v>
          </cell>
          <cell r="Q5">
            <v>0</v>
          </cell>
          <cell r="S5">
            <v>1600</v>
          </cell>
          <cell r="T5">
            <v>0</v>
          </cell>
          <cell r="U5">
            <v>0.9</v>
          </cell>
          <cell r="V5" t="str">
            <v>ICE</v>
          </cell>
        </row>
        <row r="6">
          <cell r="B6" t="str">
            <v>81GE</v>
          </cell>
          <cell r="E6">
            <v>0.03</v>
          </cell>
          <cell r="F6">
            <v>0.08</v>
          </cell>
          <cell r="G6">
            <v>0.11</v>
          </cell>
          <cell r="H6">
            <v>175438.59649122809</v>
          </cell>
          <cell r="I6">
            <v>400000</v>
          </cell>
          <cell r="N6">
            <v>187879.57</v>
          </cell>
          <cell r="Q6">
            <v>0</v>
          </cell>
          <cell r="S6">
            <v>1600</v>
          </cell>
          <cell r="T6">
            <v>0</v>
          </cell>
          <cell r="U6">
            <v>0.9</v>
          </cell>
          <cell r="V6" t="str">
            <v>ICE</v>
          </cell>
        </row>
        <row r="7">
          <cell r="B7" t="str">
            <v>71BX</v>
          </cell>
          <cell r="E7">
            <v>0.03</v>
          </cell>
          <cell r="F7">
            <v>0</v>
          </cell>
          <cell r="G7">
            <v>0.03</v>
          </cell>
          <cell r="H7">
            <v>0</v>
          </cell>
          <cell r="I7">
            <v>0</v>
          </cell>
          <cell r="N7">
            <v>0</v>
          </cell>
          <cell r="Q7">
            <v>0</v>
          </cell>
          <cell r="S7">
            <v>1600</v>
          </cell>
          <cell r="T7">
            <v>0</v>
          </cell>
          <cell r="U7">
            <v>0.8</v>
          </cell>
        </row>
        <row r="8">
          <cell r="B8" t="str">
            <v>51BX</v>
          </cell>
          <cell r="E8">
            <v>0.03</v>
          </cell>
          <cell r="F8">
            <v>0.03</v>
          </cell>
          <cell r="G8">
            <v>0.06</v>
          </cell>
          <cell r="H8">
            <v>0</v>
          </cell>
          <cell r="I8">
            <v>0</v>
          </cell>
          <cell r="N8">
            <v>0</v>
          </cell>
          <cell r="Q8">
            <v>0</v>
          </cell>
          <cell r="S8">
            <v>1600</v>
          </cell>
          <cell r="T8">
            <v>0</v>
          </cell>
          <cell r="U8">
            <v>0.75</v>
          </cell>
          <cell r="V8" t="str">
            <v>PHEV</v>
          </cell>
        </row>
        <row r="9">
          <cell r="B9" t="str">
            <v>31GH-SL</v>
          </cell>
          <cell r="E9">
            <v>0.03</v>
          </cell>
          <cell r="F9">
            <v>0.05</v>
          </cell>
          <cell r="G9">
            <v>0.08</v>
          </cell>
          <cell r="H9">
            <v>109649.12280701756</v>
          </cell>
          <cell r="I9">
            <v>250000</v>
          </cell>
          <cell r="N9">
            <v>125253.04</v>
          </cell>
          <cell r="Q9">
            <v>0</v>
          </cell>
          <cell r="S9">
            <v>1600</v>
          </cell>
          <cell r="T9">
            <v>0</v>
          </cell>
          <cell r="U9">
            <v>0.9</v>
          </cell>
          <cell r="V9" t="str">
            <v>ICE</v>
          </cell>
        </row>
        <row r="10">
          <cell r="B10" t="str">
            <v>31GH-MS</v>
          </cell>
          <cell r="E10">
            <v>0.03</v>
          </cell>
          <cell r="F10">
            <v>0.11</v>
          </cell>
          <cell r="G10">
            <v>0.14000000000000001</v>
          </cell>
          <cell r="H10">
            <v>109649.12280701756</v>
          </cell>
          <cell r="I10">
            <v>250000</v>
          </cell>
          <cell r="N10">
            <v>125253.04</v>
          </cell>
          <cell r="Q10">
            <v>0</v>
          </cell>
          <cell r="S10">
            <v>1600</v>
          </cell>
          <cell r="T10">
            <v>0</v>
          </cell>
          <cell r="U10">
            <v>0.9</v>
          </cell>
          <cell r="V10" t="str">
            <v>ICE</v>
          </cell>
        </row>
        <row r="11">
          <cell r="B11" t="str">
            <v>51FS-SL</v>
          </cell>
          <cell r="E11">
            <v>0.03</v>
          </cell>
          <cell r="F11">
            <v>0.08</v>
          </cell>
          <cell r="G11">
            <v>0.11</v>
          </cell>
          <cell r="H11">
            <v>0</v>
          </cell>
          <cell r="I11">
            <v>0</v>
          </cell>
          <cell r="N11">
            <v>281819.34999999998</v>
          </cell>
          <cell r="Q11">
            <v>0</v>
          </cell>
          <cell r="S11">
            <v>1600</v>
          </cell>
          <cell r="T11">
            <v>0</v>
          </cell>
          <cell r="U11">
            <v>1</v>
          </cell>
          <cell r="V11" t="str">
            <v>ICE</v>
          </cell>
        </row>
        <row r="12">
          <cell r="B12" t="str">
            <v>51FS</v>
          </cell>
          <cell r="E12">
            <v>0.03</v>
          </cell>
          <cell r="F12">
            <v>0.08</v>
          </cell>
          <cell r="G12">
            <v>0.11</v>
          </cell>
          <cell r="H12">
            <v>0</v>
          </cell>
          <cell r="I12">
            <v>0</v>
          </cell>
          <cell r="N12">
            <v>281819.34999999998</v>
          </cell>
          <cell r="Q12">
            <v>0</v>
          </cell>
          <cell r="S12">
            <v>1600</v>
          </cell>
          <cell r="T12">
            <v>0</v>
          </cell>
          <cell r="U12">
            <v>1</v>
          </cell>
          <cell r="V12" t="str">
            <v>ICE</v>
          </cell>
        </row>
        <row r="13">
          <cell r="B13" t="str">
            <v>21HB</v>
          </cell>
          <cell r="E13">
            <v>0.03</v>
          </cell>
          <cell r="F13">
            <v>7.0000000000000007E-2</v>
          </cell>
          <cell r="G13">
            <v>0.1</v>
          </cell>
          <cell r="H13">
            <v>291666.66666666669</v>
          </cell>
          <cell r="I13">
            <v>700000</v>
          </cell>
          <cell r="N13">
            <v>313132.61</v>
          </cell>
          <cell r="Q13">
            <v>0</v>
          </cell>
          <cell r="S13">
            <v>1600</v>
          </cell>
          <cell r="T13">
            <v>0</v>
          </cell>
          <cell r="U13">
            <v>1</v>
          </cell>
          <cell r="V13" t="str">
            <v>ICE</v>
          </cell>
        </row>
        <row r="14">
          <cell r="B14" t="str">
            <v>21AV</v>
          </cell>
          <cell r="E14">
            <v>0.03</v>
          </cell>
          <cell r="F14">
            <v>7.0000000000000007E-2</v>
          </cell>
          <cell r="G14">
            <v>0.1</v>
          </cell>
          <cell r="H14">
            <v>0</v>
          </cell>
          <cell r="I14">
            <v>0</v>
          </cell>
          <cell r="N14">
            <v>250506.09</v>
          </cell>
          <cell r="Q14">
            <v>0</v>
          </cell>
          <cell r="S14">
            <v>1600</v>
          </cell>
          <cell r="T14">
            <v>0</v>
          </cell>
          <cell r="U14">
            <v>0.8</v>
          </cell>
        </row>
        <row r="15">
          <cell r="B15" t="str">
            <v>21HC</v>
          </cell>
          <cell r="E15">
            <v>0.03</v>
          </cell>
          <cell r="F15">
            <v>0.1</v>
          </cell>
          <cell r="G15">
            <v>0.13</v>
          </cell>
          <cell r="H15">
            <v>333333.33333333337</v>
          </cell>
          <cell r="I15">
            <v>800000</v>
          </cell>
          <cell r="N15">
            <v>375759.13</v>
          </cell>
          <cell r="Q15">
            <v>0</v>
          </cell>
          <cell r="S15">
            <v>1600</v>
          </cell>
          <cell r="T15">
            <v>0</v>
          </cell>
          <cell r="U15">
            <v>1</v>
          </cell>
          <cell r="V15" t="str">
            <v>ICE</v>
          </cell>
        </row>
        <row r="16">
          <cell r="B16" t="str">
            <v>71AW</v>
          </cell>
          <cell r="E16">
            <v>0.03</v>
          </cell>
          <cell r="F16">
            <v>0.1</v>
          </cell>
          <cell r="G16">
            <v>0.13</v>
          </cell>
          <cell r="H16">
            <v>0</v>
          </cell>
          <cell r="I16">
            <v>0</v>
          </cell>
          <cell r="N16">
            <v>313132.61</v>
          </cell>
          <cell r="Q16">
            <v>0</v>
          </cell>
          <cell r="S16">
            <v>0</v>
          </cell>
          <cell r="T16">
            <v>0</v>
          </cell>
          <cell r="U16">
            <v>0.4</v>
          </cell>
        </row>
        <row r="17">
          <cell r="B17" t="str">
            <v>21HD</v>
          </cell>
          <cell r="E17">
            <v>0.03</v>
          </cell>
          <cell r="F17">
            <v>0.05</v>
          </cell>
          <cell r="G17">
            <v>0.08</v>
          </cell>
          <cell r="H17">
            <v>215053.76344086023</v>
          </cell>
          <cell r="I17">
            <v>400000</v>
          </cell>
          <cell r="N17">
            <v>219192.83</v>
          </cell>
          <cell r="Q17">
            <v>0</v>
          </cell>
          <cell r="S17">
            <v>0</v>
          </cell>
          <cell r="T17">
            <v>0</v>
          </cell>
          <cell r="U17">
            <v>0.55000000000000004</v>
          </cell>
          <cell r="V17" t="str">
            <v>BEV</v>
          </cell>
        </row>
        <row r="18">
          <cell r="B18" t="str">
            <v>31HD</v>
          </cell>
          <cell r="E18">
            <v>0.03</v>
          </cell>
          <cell r="F18">
            <v>0</v>
          </cell>
          <cell r="G18">
            <v>0.03</v>
          </cell>
          <cell r="H18">
            <v>0</v>
          </cell>
          <cell r="I18">
            <v>0</v>
          </cell>
          <cell r="N18">
            <v>0</v>
          </cell>
          <cell r="Q18">
            <v>0</v>
          </cell>
          <cell r="S18">
            <v>0</v>
          </cell>
          <cell r="T18">
            <v>0</v>
          </cell>
          <cell r="U18">
            <v>0.75</v>
          </cell>
          <cell r="V18" t="str">
            <v>BEV</v>
          </cell>
        </row>
        <row r="19">
          <cell r="B19" t="str">
            <v>41FP</v>
          </cell>
          <cell r="E19">
            <v>0.03</v>
          </cell>
          <cell r="F19">
            <v>0.05</v>
          </cell>
          <cell r="G19">
            <v>0.08</v>
          </cell>
          <cell r="H19">
            <v>0</v>
          </cell>
          <cell r="I19">
            <v>0</v>
          </cell>
          <cell r="N19">
            <v>219192.83</v>
          </cell>
          <cell r="Q19">
            <v>0</v>
          </cell>
          <cell r="S19">
            <v>2000</v>
          </cell>
          <cell r="T19">
            <v>0</v>
          </cell>
          <cell r="U19">
            <v>1.7</v>
          </cell>
          <cell r="V19" t="str">
            <v>ICE</v>
          </cell>
        </row>
        <row r="20">
          <cell r="B20" t="str">
            <v>61HG</v>
          </cell>
          <cell r="E20">
            <v>0.03</v>
          </cell>
          <cell r="F20">
            <v>0.08</v>
          </cell>
          <cell r="G20">
            <v>0.11</v>
          </cell>
          <cell r="H20">
            <v>0</v>
          </cell>
          <cell r="I20">
            <v>0</v>
          </cell>
          <cell r="N20">
            <v>407072.39</v>
          </cell>
          <cell r="Q20">
            <v>0</v>
          </cell>
          <cell r="S20">
            <v>0</v>
          </cell>
          <cell r="T20">
            <v>0</v>
          </cell>
          <cell r="U20">
            <v>0.55000000000000004</v>
          </cell>
          <cell r="V20" t="str">
            <v>BEV</v>
          </cell>
        </row>
        <row r="21">
          <cell r="B21" t="str">
            <v>31FJ</v>
          </cell>
          <cell r="E21">
            <v>0.03</v>
          </cell>
          <cell r="F21">
            <v>0.13</v>
          </cell>
          <cell r="G21">
            <v>0.16</v>
          </cell>
          <cell r="H21">
            <v>583333.33333333337</v>
          </cell>
          <cell r="I21">
            <v>1400000</v>
          </cell>
          <cell r="N21">
            <v>626265.22</v>
          </cell>
          <cell r="Q21">
            <v>0</v>
          </cell>
          <cell r="S21">
            <v>1600</v>
          </cell>
          <cell r="T21">
            <v>0</v>
          </cell>
          <cell r="U21">
            <v>1</v>
          </cell>
          <cell r="V21" t="str">
            <v>ICE</v>
          </cell>
        </row>
        <row r="22">
          <cell r="B22" t="str">
            <v>21FL</v>
          </cell>
          <cell r="E22">
            <v>0.03</v>
          </cell>
          <cell r="F22">
            <v>0.03</v>
          </cell>
          <cell r="G22">
            <v>0.06</v>
          </cell>
          <cell r="H22">
            <v>0</v>
          </cell>
          <cell r="I22">
            <v>0</v>
          </cell>
          <cell r="N22">
            <v>156566.29999999999</v>
          </cell>
          <cell r="Q22">
            <v>0</v>
          </cell>
          <cell r="S22">
            <v>2000</v>
          </cell>
          <cell r="T22">
            <v>0</v>
          </cell>
          <cell r="U22">
            <v>1.7</v>
          </cell>
          <cell r="V22" t="str">
            <v>ICE</v>
          </cell>
        </row>
        <row r="23">
          <cell r="B23" t="str">
            <v>21EJ</v>
          </cell>
          <cell r="E23">
            <v>0.03</v>
          </cell>
          <cell r="F23">
            <v>0.05</v>
          </cell>
          <cell r="G23">
            <v>0.08</v>
          </cell>
          <cell r="H23">
            <v>325520.83333333331</v>
          </cell>
          <cell r="I23">
            <v>1250000</v>
          </cell>
          <cell r="N23">
            <v>375759.13</v>
          </cell>
          <cell r="Q23">
            <v>0</v>
          </cell>
          <cell r="S23">
            <v>3000</v>
          </cell>
          <cell r="T23">
            <v>0</v>
          </cell>
          <cell r="U23">
            <v>2.2000000000000002</v>
          </cell>
          <cell r="V23" t="str">
            <v>ICE</v>
          </cell>
        </row>
        <row r="24">
          <cell r="B24" t="str">
            <v>51EJ</v>
          </cell>
          <cell r="E24">
            <v>0.03</v>
          </cell>
          <cell r="F24">
            <v>7.0000000000000007E-2</v>
          </cell>
          <cell r="G24">
            <v>0.1</v>
          </cell>
          <cell r="H24">
            <v>595238.09523809527</v>
          </cell>
          <cell r="I24">
            <v>1250000</v>
          </cell>
          <cell r="N24">
            <v>626265.22</v>
          </cell>
          <cell r="Q24">
            <v>0</v>
          </cell>
          <cell r="S24">
            <v>0</v>
          </cell>
          <cell r="T24">
            <v>0</v>
          </cell>
          <cell r="U24">
            <v>0.75</v>
          </cell>
          <cell r="V24" t="str">
            <v>BEV</v>
          </cell>
        </row>
        <row r="25">
          <cell r="B25" t="str">
            <v>HF31</v>
          </cell>
          <cell r="E25">
            <v>0.03</v>
          </cell>
          <cell r="F25">
            <v>0.05</v>
          </cell>
          <cell r="G25">
            <v>0.08</v>
          </cell>
          <cell r="H25">
            <v>0</v>
          </cell>
          <cell r="I25">
            <v>0</v>
          </cell>
          <cell r="N25">
            <v>187879.57</v>
          </cell>
          <cell r="Q25">
            <v>0</v>
          </cell>
          <cell r="S25">
            <v>2000</v>
          </cell>
          <cell r="T25">
            <v>0</v>
          </cell>
          <cell r="U25">
            <v>1.7</v>
          </cell>
          <cell r="V25" t="str">
            <v>ICE</v>
          </cell>
        </row>
        <row r="26">
          <cell r="B26" t="str">
            <v>31EE</v>
          </cell>
          <cell r="E26">
            <v>0.03</v>
          </cell>
          <cell r="F26">
            <v>0</v>
          </cell>
          <cell r="G26">
            <v>0.03</v>
          </cell>
          <cell r="H26">
            <v>0</v>
          </cell>
          <cell r="I26">
            <v>0</v>
          </cell>
          <cell r="N26">
            <v>0</v>
          </cell>
          <cell r="Q26">
            <v>0</v>
          </cell>
          <cell r="S26">
            <v>1600</v>
          </cell>
          <cell r="T26">
            <v>0</v>
          </cell>
          <cell r="U26">
            <v>1</v>
          </cell>
          <cell r="V26" t="str">
            <v>ICE</v>
          </cell>
        </row>
        <row r="27">
          <cell r="B27" t="str">
            <v>31EE</v>
          </cell>
          <cell r="E27">
            <v>0.03</v>
          </cell>
          <cell r="F27">
            <v>0</v>
          </cell>
          <cell r="G27">
            <v>0.03</v>
          </cell>
          <cell r="H27">
            <v>0</v>
          </cell>
          <cell r="I27">
            <v>0</v>
          </cell>
          <cell r="N27">
            <v>0</v>
          </cell>
          <cell r="Q27">
            <v>0</v>
          </cell>
          <cell r="S27">
            <v>1600</v>
          </cell>
          <cell r="T27">
            <v>0</v>
          </cell>
          <cell r="U27">
            <v>1</v>
          </cell>
          <cell r="V27" t="str">
            <v>ICE</v>
          </cell>
        </row>
        <row r="28">
          <cell r="B28" t="str">
            <v>21EF-XL</v>
          </cell>
          <cell r="E28">
            <v>0.03</v>
          </cell>
          <cell r="F28">
            <v>0.06</v>
          </cell>
          <cell r="G28">
            <v>0.09</v>
          </cell>
          <cell r="H28">
            <v>238095.23809523811</v>
          </cell>
          <cell r="I28">
            <v>500000</v>
          </cell>
          <cell r="N28">
            <v>219192.83</v>
          </cell>
          <cell r="Q28">
            <v>0</v>
          </cell>
          <cell r="S28">
            <v>1600</v>
          </cell>
          <cell r="T28">
            <v>0</v>
          </cell>
          <cell r="U28">
            <v>0.75</v>
          </cell>
          <cell r="V28" t="str">
            <v>PHEV</v>
          </cell>
        </row>
        <row r="29">
          <cell r="B29" t="str">
            <v>21EF-MS</v>
          </cell>
          <cell r="E29">
            <v>0.03</v>
          </cell>
          <cell r="F29">
            <v>0.06</v>
          </cell>
          <cell r="G29">
            <v>0.09</v>
          </cell>
          <cell r="H29">
            <v>238095.23809523811</v>
          </cell>
          <cell r="I29">
            <v>500000</v>
          </cell>
          <cell r="N29">
            <v>219192.83</v>
          </cell>
          <cell r="Q29">
            <v>0</v>
          </cell>
          <cell r="S29">
            <v>1600</v>
          </cell>
          <cell r="T29">
            <v>0</v>
          </cell>
          <cell r="U29">
            <v>0.75</v>
          </cell>
          <cell r="V29" t="str">
            <v>PHEV</v>
          </cell>
        </row>
        <row r="30">
          <cell r="B30" t="str">
            <v>71EG</v>
          </cell>
          <cell r="E30">
            <v>0.03</v>
          </cell>
          <cell r="F30">
            <v>0.03</v>
          </cell>
          <cell r="G30">
            <v>0.06</v>
          </cell>
          <cell r="H30">
            <v>0</v>
          </cell>
          <cell r="I30">
            <v>0</v>
          </cell>
          <cell r="N30">
            <v>125253.04</v>
          </cell>
          <cell r="Q30">
            <v>0</v>
          </cell>
          <cell r="S30">
            <v>0</v>
          </cell>
          <cell r="T30">
            <v>0</v>
          </cell>
          <cell r="U30">
            <v>0.55000000000000004</v>
          </cell>
          <cell r="V30" t="str">
            <v>BEV</v>
          </cell>
        </row>
        <row r="31">
          <cell r="B31" t="str">
            <v>21GM</v>
          </cell>
          <cell r="E31">
            <v>0.03</v>
          </cell>
          <cell r="F31">
            <v>0.05</v>
          </cell>
          <cell r="G31">
            <v>0.08</v>
          </cell>
          <cell r="H31">
            <v>0</v>
          </cell>
          <cell r="I31">
            <v>0</v>
          </cell>
          <cell r="N31">
            <v>156566.29999999999</v>
          </cell>
          <cell r="Q31">
            <v>0</v>
          </cell>
          <cell r="S31">
            <v>1600</v>
          </cell>
          <cell r="T31">
            <v>0</v>
          </cell>
          <cell r="U31">
            <v>1</v>
          </cell>
          <cell r="V31" t="str">
            <v>ICE</v>
          </cell>
        </row>
        <row r="32">
          <cell r="B32" t="str">
            <v>51GM</v>
          </cell>
          <cell r="E32">
            <v>0.03</v>
          </cell>
          <cell r="F32">
            <v>0.03</v>
          </cell>
          <cell r="G32">
            <v>0.06</v>
          </cell>
          <cell r="H32">
            <v>0</v>
          </cell>
          <cell r="I32">
            <v>0</v>
          </cell>
          <cell r="N32">
            <v>125253.04</v>
          </cell>
          <cell r="Q32">
            <v>0</v>
          </cell>
          <cell r="S32">
            <v>0</v>
          </cell>
          <cell r="T32">
            <v>0</v>
          </cell>
          <cell r="U32">
            <v>0.55000000000000004</v>
          </cell>
          <cell r="V32" t="str">
            <v>BEV</v>
          </cell>
        </row>
        <row r="33">
          <cell r="B33" t="str">
            <v>25GP</v>
          </cell>
          <cell r="E33">
            <v>0.03</v>
          </cell>
          <cell r="F33">
            <v>0.05</v>
          </cell>
          <cell r="G33">
            <v>0.08</v>
          </cell>
          <cell r="H33">
            <v>208333.33333333334</v>
          </cell>
          <cell r="I33">
            <v>500000</v>
          </cell>
          <cell r="N33">
            <v>219192.83</v>
          </cell>
          <cell r="Q33">
            <v>0</v>
          </cell>
          <cell r="S33">
            <v>1600</v>
          </cell>
          <cell r="T33">
            <v>0</v>
          </cell>
          <cell r="U33">
            <v>1</v>
          </cell>
          <cell r="V33" t="str">
            <v>ICE</v>
          </cell>
        </row>
        <row r="34">
          <cell r="B34" t="str">
            <v>15GR</v>
          </cell>
          <cell r="E34">
            <v>0.03</v>
          </cell>
          <cell r="F34">
            <v>0.03</v>
          </cell>
          <cell r="G34">
            <v>0.06</v>
          </cell>
          <cell r="H34">
            <v>0</v>
          </cell>
          <cell r="I34">
            <v>0</v>
          </cell>
          <cell r="N34">
            <v>125253.04</v>
          </cell>
          <cell r="Q34">
            <v>0</v>
          </cell>
          <cell r="S34">
            <v>2000</v>
          </cell>
          <cell r="T34">
            <v>0</v>
          </cell>
          <cell r="U34">
            <v>1.7</v>
          </cell>
          <cell r="V34" t="str">
            <v>ICE</v>
          </cell>
        </row>
        <row r="35">
          <cell r="B35" t="str">
            <v>21EN</v>
          </cell>
          <cell r="E35">
            <v>0.03</v>
          </cell>
          <cell r="F35">
            <v>0</v>
          </cell>
          <cell r="G35">
            <v>0.03</v>
          </cell>
          <cell r="H35">
            <v>0</v>
          </cell>
          <cell r="I35">
            <v>0</v>
          </cell>
          <cell r="N35">
            <v>0</v>
          </cell>
          <cell r="Q35">
            <v>0</v>
          </cell>
          <cell r="S35">
            <v>3000</v>
          </cell>
          <cell r="T35">
            <v>0</v>
          </cell>
          <cell r="U35">
            <v>2.2000000000000002</v>
          </cell>
          <cell r="V35" t="str">
            <v>ICE</v>
          </cell>
        </row>
        <row r="36">
          <cell r="B36" t="str">
            <v>51CF</v>
          </cell>
          <cell r="E36">
            <v>0.03</v>
          </cell>
          <cell r="F36">
            <v>0.05</v>
          </cell>
          <cell r="G36">
            <v>0.08</v>
          </cell>
          <cell r="H36">
            <v>285714.28571428574</v>
          </cell>
          <cell r="I36">
            <v>600000</v>
          </cell>
          <cell r="N36">
            <v>344445.87</v>
          </cell>
          <cell r="Q36">
            <v>0</v>
          </cell>
          <cell r="S36">
            <v>0</v>
          </cell>
          <cell r="T36">
            <v>0</v>
          </cell>
          <cell r="U36">
            <v>0.75</v>
          </cell>
          <cell r="V36" t="str">
            <v>BEV</v>
          </cell>
        </row>
        <row r="38">
          <cell r="B38" t="str">
            <v>Model Kodu</v>
          </cell>
          <cell r="E38" t="str">
            <v>Default indirim oranı (ind oranı takas ve krediyle birlikte kullanılabiliyorsa buraya yaz, eğer takas veya kredi sunuluyorsa.  Takas veya kredi sunulmuyorsa sunulan indirimi buraya yazabilirsin)</v>
          </cell>
          <cell r="F38" t="str">
            <v>Nakit Alım İnd Oranı (CB)</v>
          </cell>
          <cell r="G38" t="str">
            <v>Takas veya Kredi sunulmadığında alınacak ind oranı</v>
          </cell>
          <cell r="H38" t="str">
            <v>Takas Destek VH</v>
          </cell>
          <cell r="I38" t="str">
            <v>Takas Destek</v>
          </cell>
          <cell r="N38" t="str">
            <v>Kredi Maliyeti</v>
          </cell>
          <cell r="Q38" t="str">
            <v>Spec Adj. (EUR)
(+/-) değer alabilir</v>
          </cell>
          <cell r="S38" t="str">
            <v>Motor Hacmi (cc)</v>
          </cell>
          <cell r="T38" t="str">
            <v>Tescil</v>
          </cell>
          <cell r="U38" t="str">
            <v>Liste Fiyatı ÖTV</v>
          </cell>
          <cell r="V38" t="str">
            <v>Yakıt Türü</v>
          </cell>
        </row>
        <row r="39">
          <cell r="B39" t="str">
            <v>A-A</v>
          </cell>
          <cell r="E39">
            <v>0.01</v>
          </cell>
          <cell r="F39">
            <v>0</v>
          </cell>
          <cell r="G39">
            <v>0.01</v>
          </cell>
          <cell r="H39">
            <v>0</v>
          </cell>
          <cell r="I39">
            <v>0</v>
          </cell>
          <cell r="N39">
            <v>80816.83</v>
          </cell>
          <cell r="Q39">
            <v>855</v>
          </cell>
          <cell r="S39">
            <v>1300</v>
          </cell>
          <cell r="T39">
            <v>0</v>
          </cell>
          <cell r="U39">
            <v>0.9</v>
          </cell>
          <cell r="V39" t="str">
            <v>ICE</v>
          </cell>
        </row>
        <row r="40">
          <cell r="B40" t="str">
            <v>AS-A</v>
          </cell>
          <cell r="E40">
            <v>0.06</v>
          </cell>
          <cell r="F40">
            <v>0</v>
          </cell>
          <cell r="G40">
            <v>0.06</v>
          </cell>
          <cell r="H40">
            <v>0</v>
          </cell>
          <cell r="I40">
            <v>0</v>
          </cell>
          <cell r="N40">
            <v>80816.83</v>
          </cell>
          <cell r="Q40">
            <v>1401</v>
          </cell>
          <cell r="S40">
            <v>1300</v>
          </cell>
          <cell r="T40">
            <v>13693.26</v>
          </cell>
          <cell r="U40">
            <v>0.9</v>
          </cell>
          <cell r="V40" t="str">
            <v>ICE</v>
          </cell>
        </row>
        <row r="41">
          <cell r="B41" t="str">
            <v>CLA-A</v>
          </cell>
          <cell r="E41">
            <v>0.09</v>
          </cell>
          <cell r="F41">
            <v>0</v>
          </cell>
          <cell r="G41">
            <v>0.09</v>
          </cell>
          <cell r="H41">
            <v>0</v>
          </cell>
          <cell r="I41">
            <v>0</v>
          </cell>
          <cell r="N41">
            <v>80816.83</v>
          </cell>
          <cell r="Q41">
            <v>1401</v>
          </cell>
          <cell r="S41">
            <v>1300</v>
          </cell>
          <cell r="T41">
            <v>13693.26</v>
          </cell>
          <cell r="U41">
            <v>0.9</v>
          </cell>
          <cell r="V41" t="str">
            <v>ICE</v>
          </cell>
        </row>
        <row r="42">
          <cell r="B42" t="str">
            <v>CLAElectric-Edt</v>
          </cell>
          <cell r="E42">
            <v>0.05</v>
          </cell>
          <cell r="F42">
            <v>0</v>
          </cell>
          <cell r="G42">
            <v>0.05</v>
          </cell>
          <cell r="H42">
            <v>0</v>
          </cell>
          <cell r="I42">
            <v>0</v>
          </cell>
          <cell r="N42">
            <v>80816.83</v>
          </cell>
          <cell r="S42">
            <v>0</v>
          </cell>
          <cell r="T42">
            <v>0</v>
          </cell>
          <cell r="U42">
            <v>0.75</v>
          </cell>
          <cell r="V42" t="str">
            <v>BEV</v>
          </cell>
        </row>
        <row r="43">
          <cell r="B43" t="str">
            <v>CLA</v>
          </cell>
          <cell r="E43">
            <v>0.02</v>
          </cell>
          <cell r="F43">
            <v>0</v>
          </cell>
          <cell r="G43">
            <v>0.02</v>
          </cell>
          <cell r="H43">
            <v>0</v>
          </cell>
          <cell r="I43">
            <v>0</v>
          </cell>
          <cell r="N43">
            <v>80816.83</v>
          </cell>
          <cell r="S43">
            <v>1600</v>
          </cell>
          <cell r="T43">
            <v>0</v>
          </cell>
          <cell r="U43">
            <v>1</v>
          </cell>
          <cell r="V43" t="str">
            <v>ICE</v>
          </cell>
        </row>
        <row r="44">
          <cell r="B44" t="str">
            <v>C-A</v>
          </cell>
          <cell r="E44">
            <v>0.11</v>
          </cell>
          <cell r="F44">
            <v>0</v>
          </cell>
          <cell r="G44">
            <v>0.11</v>
          </cell>
          <cell r="H44">
            <v>0</v>
          </cell>
          <cell r="I44">
            <v>0</v>
          </cell>
          <cell r="N44">
            <v>80816.83</v>
          </cell>
          <cell r="Q44">
            <v>-3738</v>
          </cell>
          <cell r="S44">
            <v>1600</v>
          </cell>
          <cell r="T44">
            <v>0</v>
          </cell>
          <cell r="U44">
            <v>1</v>
          </cell>
          <cell r="V44" t="str">
            <v>ICE</v>
          </cell>
        </row>
        <row r="45">
          <cell r="B45" t="str">
            <v>CLE-A</v>
          </cell>
          <cell r="E45">
            <v>0.05</v>
          </cell>
          <cell r="F45">
            <v>0</v>
          </cell>
          <cell r="G45">
            <v>0.05</v>
          </cell>
          <cell r="H45">
            <v>0</v>
          </cell>
          <cell r="I45">
            <v>0</v>
          </cell>
          <cell r="N45">
            <v>80816.83</v>
          </cell>
          <cell r="Q45">
            <v>-10276</v>
          </cell>
          <cell r="S45">
            <v>2000</v>
          </cell>
          <cell r="T45">
            <v>0</v>
          </cell>
          <cell r="U45">
            <v>1.7</v>
          </cell>
          <cell r="V45" t="str">
            <v>ICE</v>
          </cell>
        </row>
        <row r="46">
          <cell r="B46" t="str">
            <v>CLE Cab-A</v>
          </cell>
          <cell r="E46">
            <v>0.04</v>
          </cell>
          <cell r="F46">
            <v>0</v>
          </cell>
          <cell r="G46">
            <v>0.04</v>
          </cell>
          <cell r="H46">
            <v>0</v>
          </cell>
          <cell r="I46">
            <v>0</v>
          </cell>
          <cell r="N46">
            <v>80816.83</v>
          </cell>
          <cell r="Q46">
            <v>-4221</v>
          </cell>
          <cell r="S46">
            <v>2000</v>
          </cell>
          <cell r="T46">
            <v>0</v>
          </cell>
          <cell r="U46">
            <v>1.7</v>
          </cell>
          <cell r="V46" t="str">
            <v>ICE</v>
          </cell>
        </row>
        <row r="47">
          <cell r="B47" t="str">
            <v>EQE280-A</v>
          </cell>
          <cell r="E47">
            <v>0.08</v>
          </cell>
          <cell r="F47">
            <v>0</v>
          </cell>
          <cell r="G47">
            <v>0.08</v>
          </cell>
          <cell r="H47">
            <v>0</v>
          </cell>
          <cell r="I47">
            <v>0</v>
          </cell>
          <cell r="N47">
            <v>80816.83</v>
          </cell>
          <cell r="Q47">
            <v>2471</v>
          </cell>
          <cell r="S47">
            <v>0</v>
          </cell>
          <cell r="T47">
            <v>0</v>
          </cell>
          <cell r="U47">
            <v>0.55000000000000004</v>
          </cell>
          <cell r="V47" t="str">
            <v>BEV</v>
          </cell>
        </row>
        <row r="48">
          <cell r="B48" t="str">
            <v>EQE-A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N48">
            <v>80816.83</v>
          </cell>
          <cell r="Q48">
            <v>-3312</v>
          </cell>
          <cell r="S48">
            <v>0</v>
          </cell>
          <cell r="T48">
            <v>0</v>
          </cell>
          <cell r="U48">
            <v>0.75</v>
          </cell>
          <cell r="V48" t="str">
            <v>BEV</v>
          </cell>
        </row>
        <row r="49">
          <cell r="B49" t="str">
            <v>E180-A</v>
          </cell>
          <cell r="E49">
            <v>0.08</v>
          </cell>
          <cell r="F49">
            <v>0</v>
          </cell>
          <cell r="G49">
            <v>0.08</v>
          </cell>
          <cell r="H49">
            <v>0</v>
          </cell>
          <cell r="I49">
            <v>0</v>
          </cell>
          <cell r="N49">
            <v>80816.83</v>
          </cell>
          <cell r="Q49">
            <v>-514</v>
          </cell>
          <cell r="S49">
            <v>1600</v>
          </cell>
          <cell r="T49">
            <v>0</v>
          </cell>
          <cell r="U49">
            <v>1</v>
          </cell>
          <cell r="V49" t="str">
            <v>ICE</v>
          </cell>
        </row>
        <row r="50">
          <cell r="B50" t="str">
            <v>E180-E</v>
          </cell>
          <cell r="E50">
            <v>0.08</v>
          </cell>
          <cell r="F50">
            <v>0</v>
          </cell>
          <cell r="G50">
            <v>0.08</v>
          </cell>
          <cell r="H50">
            <v>0</v>
          </cell>
          <cell r="I50">
            <v>0</v>
          </cell>
          <cell r="N50">
            <v>80816.83</v>
          </cell>
          <cell r="S50">
            <v>1600</v>
          </cell>
          <cell r="T50">
            <v>0</v>
          </cell>
          <cell r="U50">
            <v>1</v>
          </cell>
          <cell r="V50" t="str">
            <v>ICE</v>
          </cell>
        </row>
        <row r="51">
          <cell r="B51" t="str">
            <v>E-A</v>
          </cell>
          <cell r="E51">
            <v>0.02</v>
          </cell>
          <cell r="F51">
            <v>0</v>
          </cell>
          <cell r="G51">
            <v>0.02</v>
          </cell>
          <cell r="H51">
            <v>0</v>
          </cell>
          <cell r="I51">
            <v>0</v>
          </cell>
          <cell r="N51">
            <v>80816.83</v>
          </cell>
          <cell r="Q51">
            <v>1477</v>
          </cell>
          <cell r="S51">
            <v>2000</v>
          </cell>
          <cell r="T51">
            <v>0</v>
          </cell>
          <cell r="U51">
            <v>1.7</v>
          </cell>
          <cell r="V51" t="str">
            <v>ICE</v>
          </cell>
        </row>
        <row r="52">
          <cell r="B52" t="str">
            <v>E-Exc</v>
          </cell>
          <cell r="E52">
            <v>0.02</v>
          </cell>
          <cell r="F52">
            <v>0</v>
          </cell>
          <cell r="G52">
            <v>0.02</v>
          </cell>
          <cell r="H52">
            <v>0</v>
          </cell>
          <cell r="I52">
            <v>0</v>
          </cell>
          <cell r="N52">
            <v>80816.83</v>
          </cell>
          <cell r="S52">
            <v>2000</v>
          </cell>
          <cell r="T52">
            <v>0</v>
          </cell>
          <cell r="U52">
            <v>1.7</v>
          </cell>
          <cell r="V52" t="str">
            <v>ICE</v>
          </cell>
        </row>
        <row r="53">
          <cell r="B53" t="str">
            <v>S-I</v>
          </cell>
          <cell r="E53">
            <v>0.06</v>
          </cell>
          <cell r="F53">
            <v>0</v>
          </cell>
          <cell r="G53">
            <v>0.06</v>
          </cell>
          <cell r="H53">
            <v>0</v>
          </cell>
          <cell r="I53">
            <v>0</v>
          </cell>
          <cell r="N53">
            <v>80816.83</v>
          </cell>
          <cell r="Q53">
            <v>855</v>
          </cell>
          <cell r="S53">
            <v>3000</v>
          </cell>
          <cell r="T53">
            <v>0</v>
          </cell>
          <cell r="U53">
            <v>2.2000000000000002</v>
          </cell>
          <cell r="V53" t="str">
            <v>ICE</v>
          </cell>
        </row>
        <row r="54">
          <cell r="B54" t="str">
            <v>EQS-I</v>
          </cell>
          <cell r="E54">
            <v>0.12</v>
          </cell>
          <cell r="F54">
            <v>0</v>
          </cell>
          <cell r="G54">
            <v>0.12</v>
          </cell>
          <cell r="H54">
            <v>0</v>
          </cell>
          <cell r="I54">
            <v>0</v>
          </cell>
          <cell r="N54">
            <v>80816.83</v>
          </cell>
          <cell r="Q54">
            <v>18584</v>
          </cell>
          <cell r="S54">
            <v>0</v>
          </cell>
          <cell r="T54">
            <v>0</v>
          </cell>
          <cell r="U54">
            <v>0.75</v>
          </cell>
          <cell r="V54" t="str">
            <v>BEV</v>
          </cell>
        </row>
        <row r="55">
          <cell r="B55" t="str">
            <v>EQS-H</v>
          </cell>
          <cell r="E55">
            <v>0.08</v>
          </cell>
          <cell r="F55">
            <v>0</v>
          </cell>
          <cell r="G55">
            <v>0.08</v>
          </cell>
          <cell r="H55">
            <v>0</v>
          </cell>
          <cell r="I55">
            <v>0</v>
          </cell>
          <cell r="N55">
            <v>80816.83</v>
          </cell>
          <cell r="Q55">
            <v>5819</v>
          </cell>
          <cell r="S55">
            <v>0</v>
          </cell>
          <cell r="T55">
            <v>0</v>
          </cell>
          <cell r="U55">
            <v>0.75</v>
          </cell>
          <cell r="V55" t="str">
            <v>BEV</v>
          </cell>
        </row>
        <row r="56">
          <cell r="B56" t="str">
            <v>GLB-A</v>
          </cell>
          <cell r="E56">
            <v>0.04</v>
          </cell>
          <cell r="F56">
            <v>0</v>
          </cell>
          <cell r="G56">
            <v>0.04</v>
          </cell>
          <cell r="H56">
            <v>0</v>
          </cell>
          <cell r="I56">
            <v>0</v>
          </cell>
          <cell r="N56">
            <v>80816.83</v>
          </cell>
          <cell r="Q56">
            <v>7105</v>
          </cell>
          <cell r="S56">
            <v>1300</v>
          </cell>
          <cell r="T56">
            <v>0</v>
          </cell>
          <cell r="U56">
            <v>0.9</v>
          </cell>
          <cell r="V56" t="str">
            <v>ICE</v>
          </cell>
        </row>
        <row r="57">
          <cell r="B57" t="str">
            <v>GLA-A</v>
          </cell>
          <cell r="E57">
            <v>0.06</v>
          </cell>
          <cell r="F57">
            <v>0</v>
          </cell>
          <cell r="G57">
            <v>0.06</v>
          </cell>
          <cell r="H57">
            <v>0</v>
          </cell>
          <cell r="I57">
            <v>0</v>
          </cell>
          <cell r="N57">
            <v>80816.83</v>
          </cell>
          <cell r="Q57">
            <v>7105</v>
          </cell>
          <cell r="S57">
            <v>1300</v>
          </cell>
          <cell r="T57">
            <v>0</v>
          </cell>
          <cell r="U57">
            <v>0.9</v>
          </cell>
          <cell r="V57" t="str">
            <v>ICE</v>
          </cell>
        </row>
        <row r="58">
          <cell r="B58" t="str">
            <v>EQA-350-A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N58">
            <v>80816.83</v>
          </cell>
          <cell r="Q58" t="str">
            <v>Mevcut Değil</v>
          </cell>
          <cell r="S58">
            <v>0</v>
          </cell>
          <cell r="T58">
            <v>0</v>
          </cell>
          <cell r="U58">
            <v>0.75</v>
          </cell>
          <cell r="V58" t="str">
            <v>BEV</v>
          </cell>
        </row>
        <row r="59">
          <cell r="B59" t="str">
            <v>EQB-350-A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N59">
            <v>80816.83</v>
          </cell>
          <cell r="Q59" t="str">
            <v>Mevcut Değil</v>
          </cell>
          <cell r="S59">
            <v>0</v>
          </cell>
          <cell r="T59">
            <v>0</v>
          </cell>
          <cell r="U59">
            <v>0.75</v>
          </cell>
          <cell r="V59" t="str">
            <v>BEV</v>
          </cell>
        </row>
        <row r="60">
          <cell r="B60" t="str">
            <v>EQA-A</v>
          </cell>
          <cell r="E60">
            <v>7.0000000000000007E-2</v>
          </cell>
          <cell r="F60">
            <v>0</v>
          </cell>
          <cell r="G60">
            <v>7.0000000000000007E-2</v>
          </cell>
          <cell r="H60">
            <v>0</v>
          </cell>
          <cell r="I60">
            <v>0</v>
          </cell>
          <cell r="N60">
            <v>80816.83</v>
          </cell>
          <cell r="Q60">
            <v>1555</v>
          </cell>
          <cell r="S60">
            <v>0</v>
          </cell>
          <cell r="T60">
            <v>0</v>
          </cell>
          <cell r="U60">
            <v>0.55000000000000004</v>
          </cell>
          <cell r="V60" t="str">
            <v>BEV</v>
          </cell>
        </row>
        <row r="61">
          <cell r="B61" t="str">
            <v>EQA-NE</v>
          </cell>
          <cell r="E61">
            <v>7.0000000000000007E-2</v>
          </cell>
          <cell r="F61">
            <v>0</v>
          </cell>
          <cell r="G61">
            <v>7.0000000000000007E-2</v>
          </cell>
          <cell r="H61">
            <v>0</v>
          </cell>
          <cell r="I61">
            <v>0</v>
          </cell>
          <cell r="N61">
            <v>80816.83</v>
          </cell>
          <cell r="Q61">
            <v>1555</v>
          </cell>
          <cell r="S61">
            <v>0</v>
          </cell>
          <cell r="T61">
            <v>0</v>
          </cell>
          <cell r="U61">
            <v>0.55000000000000004</v>
          </cell>
          <cell r="V61" t="str">
            <v>BEV</v>
          </cell>
        </row>
        <row r="62">
          <cell r="B62" t="str">
            <v>EQB-A</v>
          </cell>
          <cell r="E62">
            <v>0.12</v>
          </cell>
          <cell r="F62">
            <v>0</v>
          </cell>
          <cell r="G62">
            <v>0.12</v>
          </cell>
          <cell r="H62">
            <v>0</v>
          </cell>
          <cell r="I62">
            <v>0</v>
          </cell>
          <cell r="N62">
            <v>80816.83</v>
          </cell>
          <cell r="Q62">
            <v>1286</v>
          </cell>
          <cell r="S62">
            <v>0</v>
          </cell>
          <cell r="T62">
            <v>0</v>
          </cell>
          <cell r="U62">
            <v>0.55000000000000004</v>
          </cell>
          <cell r="V62" t="str">
            <v>BEV</v>
          </cell>
        </row>
        <row r="63">
          <cell r="B63" t="str">
            <v>GLC300-A</v>
          </cell>
          <cell r="E63">
            <v>0.05</v>
          </cell>
          <cell r="F63">
            <v>0</v>
          </cell>
          <cell r="G63">
            <v>0.05</v>
          </cell>
          <cell r="H63">
            <v>0</v>
          </cell>
          <cell r="I63">
            <v>0</v>
          </cell>
          <cell r="N63">
            <v>80816.83</v>
          </cell>
          <cell r="Q63">
            <v>-2264</v>
          </cell>
          <cell r="S63">
            <v>2000</v>
          </cell>
          <cell r="T63">
            <v>0</v>
          </cell>
          <cell r="U63">
            <v>1.7</v>
          </cell>
          <cell r="V63" t="str">
            <v>ICE</v>
          </cell>
        </row>
        <row r="64">
          <cell r="B64" t="str">
            <v>GLC-A</v>
          </cell>
          <cell r="E64">
            <v>7.0000000000000007E-2</v>
          </cell>
          <cell r="F64">
            <v>0</v>
          </cell>
          <cell r="G64">
            <v>7.0000000000000007E-2</v>
          </cell>
          <cell r="H64">
            <v>0</v>
          </cell>
          <cell r="I64">
            <v>0</v>
          </cell>
          <cell r="N64">
            <v>80816.83</v>
          </cell>
          <cell r="Q64">
            <v>-2264</v>
          </cell>
          <cell r="S64">
            <v>1600</v>
          </cell>
          <cell r="T64">
            <v>0</v>
          </cell>
          <cell r="U64">
            <v>1</v>
          </cell>
          <cell r="V64" t="str">
            <v>ICE</v>
          </cell>
        </row>
        <row r="66">
          <cell r="B66" t="str">
            <v>Model Kodu</v>
          </cell>
          <cell r="E66" t="str">
            <v>Default indirim oranı (ind oranı takas ve krediyle birlikte kullanılabiliyorsa buraya yaz, eğer takas veya kredi sunuluyorsa.  Takas veya kredi sunulmuyorsa sunulan indirimi buraya yazabilirsin)</v>
          </cell>
          <cell r="F66" t="str">
            <v>Nakit Alım İnd Oranı (CB)</v>
          </cell>
          <cell r="G66" t="str">
            <v>Takas veya Kredi sunulmadığında alınacak ind oranı</v>
          </cell>
          <cell r="H66" t="str">
            <v>Takas Destek VH</v>
          </cell>
          <cell r="I66" t="str">
            <v>Takas Destek</v>
          </cell>
          <cell r="N66" t="str">
            <v>Kredi Maliyeti</v>
          </cell>
          <cell r="Q66" t="str">
            <v>Spec Adj. (EUR)
(+/-) değer alabilir</v>
          </cell>
          <cell r="S66" t="str">
            <v>Motor Hacmi (cc)</v>
          </cell>
          <cell r="T66" t="str">
            <v>Tescil</v>
          </cell>
          <cell r="U66" t="str">
            <v>Liste Fiyatı ÖTV</v>
          </cell>
          <cell r="V66" t="str">
            <v>Yakıt Türü</v>
          </cell>
        </row>
        <row r="67">
          <cell r="B67" t="str">
            <v>Audi-A3 HB-A</v>
          </cell>
          <cell r="E67">
            <v>0.16500000000000001</v>
          </cell>
          <cell r="F67">
            <v>0</v>
          </cell>
          <cell r="G67">
            <v>0.16500000000000001</v>
          </cell>
          <cell r="H67">
            <v>0</v>
          </cell>
          <cell r="I67">
            <v>0</v>
          </cell>
          <cell r="N67">
            <v>0</v>
          </cell>
          <cell r="Q67">
            <v>3504</v>
          </cell>
          <cell r="S67">
            <v>1500</v>
          </cell>
          <cell r="T67">
            <v>0</v>
          </cell>
          <cell r="U67">
            <v>0.9</v>
          </cell>
          <cell r="V67" t="str">
            <v>ICE</v>
          </cell>
        </row>
        <row r="68">
          <cell r="B68" t="str">
            <v>Audi-A3 HB-SL</v>
          </cell>
          <cell r="E68">
            <v>0.16</v>
          </cell>
          <cell r="F68">
            <v>0</v>
          </cell>
          <cell r="G68">
            <v>0.16</v>
          </cell>
          <cell r="H68">
            <v>0</v>
          </cell>
          <cell r="I68">
            <v>0</v>
          </cell>
          <cell r="N68">
            <v>0</v>
          </cell>
          <cell r="Q68">
            <v>891</v>
          </cell>
          <cell r="S68">
            <v>1500</v>
          </cell>
          <cell r="T68">
            <v>0</v>
          </cell>
          <cell r="U68">
            <v>0.9</v>
          </cell>
          <cell r="V68" t="str">
            <v>ICE</v>
          </cell>
        </row>
        <row r="69">
          <cell r="B69" t="str">
            <v>Audi-A3 S-A</v>
          </cell>
          <cell r="E69">
            <v>0.16500000000000001</v>
          </cell>
          <cell r="F69">
            <v>0</v>
          </cell>
          <cell r="G69">
            <v>0.16500000000000001</v>
          </cell>
          <cell r="H69">
            <v>0</v>
          </cell>
          <cell r="I69">
            <v>0</v>
          </cell>
          <cell r="N69">
            <v>0</v>
          </cell>
          <cell r="Q69">
            <v>3244</v>
          </cell>
          <cell r="S69">
            <v>1500</v>
          </cell>
          <cell r="T69">
            <v>0</v>
          </cell>
          <cell r="U69">
            <v>0.9</v>
          </cell>
          <cell r="V69" t="str">
            <v>ICE</v>
          </cell>
        </row>
        <row r="70">
          <cell r="B70" t="str">
            <v>Audi-A3 S-SL</v>
          </cell>
          <cell r="E70">
            <v>0.22</v>
          </cell>
          <cell r="F70">
            <v>0</v>
          </cell>
          <cell r="G70">
            <v>0.22</v>
          </cell>
          <cell r="H70">
            <v>0</v>
          </cell>
          <cell r="I70">
            <v>0</v>
          </cell>
          <cell r="N70">
            <v>0</v>
          </cell>
          <cell r="Q70">
            <v>-84</v>
          </cell>
          <cell r="S70">
            <v>1500</v>
          </cell>
          <cell r="T70">
            <v>0</v>
          </cell>
          <cell r="U70">
            <v>0.9</v>
          </cell>
          <cell r="V70" t="str">
            <v>ICE</v>
          </cell>
        </row>
        <row r="71">
          <cell r="B71" t="str">
            <v>Audi-A3 AS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N71">
            <v>0</v>
          </cell>
          <cell r="S71">
            <v>1500</v>
          </cell>
          <cell r="T71">
            <v>0</v>
          </cell>
          <cell r="U71">
            <v>0.9</v>
          </cell>
          <cell r="V71" t="str">
            <v>ICE</v>
          </cell>
        </row>
        <row r="72">
          <cell r="B72" t="str">
            <v>Audi-A5 Sed-BL</v>
          </cell>
          <cell r="E72">
            <v>0.28999999999999998</v>
          </cell>
          <cell r="F72">
            <v>0</v>
          </cell>
          <cell r="G72">
            <v>0.28999999999999998</v>
          </cell>
          <cell r="H72">
            <v>0</v>
          </cell>
          <cell r="I72">
            <v>0</v>
          </cell>
          <cell r="N72">
            <v>0</v>
          </cell>
          <cell r="Q72">
            <v>4395</v>
          </cell>
          <cell r="S72">
            <v>2000</v>
          </cell>
          <cell r="T72">
            <v>0</v>
          </cell>
          <cell r="U72">
            <v>1.7</v>
          </cell>
          <cell r="V72" t="str">
            <v>ICE</v>
          </cell>
        </row>
        <row r="73">
          <cell r="B73" t="str">
            <v>Audi-A5 Sed-BLq</v>
          </cell>
          <cell r="E73">
            <v>0.245</v>
          </cell>
          <cell r="F73">
            <v>0</v>
          </cell>
          <cell r="G73">
            <v>0.245</v>
          </cell>
          <cell r="H73">
            <v>0</v>
          </cell>
          <cell r="I73">
            <v>0</v>
          </cell>
          <cell r="N73">
            <v>0</v>
          </cell>
          <cell r="Q73">
            <v>4395</v>
          </cell>
          <cell r="S73">
            <v>2000</v>
          </cell>
          <cell r="T73">
            <v>0</v>
          </cell>
          <cell r="U73">
            <v>1.7</v>
          </cell>
          <cell r="V73" t="str">
            <v>ICE</v>
          </cell>
        </row>
        <row r="74">
          <cell r="B74" t="str">
            <v>Audi-A6-A</v>
          </cell>
          <cell r="E74">
            <v>0.19</v>
          </cell>
          <cell r="F74">
            <v>0.03</v>
          </cell>
          <cell r="G74">
            <v>0.22</v>
          </cell>
          <cell r="H74">
            <v>0</v>
          </cell>
          <cell r="I74">
            <v>0</v>
          </cell>
          <cell r="N74">
            <v>240507.33</v>
          </cell>
          <cell r="Q74">
            <v>3273</v>
          </cell>
          <cell r="S74">
            <v>2000</v>
          </cell>
          <cell r="T74">
            <v>0</v>
          </cell>
          <cell r="U74">
            <v>1.7</v>
          </cell>
          <cell r="V74" t="str">
            <v>ICE</v>
          </cell>
        </row>
        <row r="75">
          <cell r="B75" t="str">
            <v>Audi-A6-SL</v>
          </cell>
          <cell r="E75">
            <v>0.25</v>
          </cell>
          <cell r="F75">
            <v>2.4E-2</v>
          </cell>
          <cell r="G75">
            <v>0.27400000000000002</v>
          </cell>
          <cell r="H75">
            <v>0</v>
          </cell>
          <cell r="I75">
            <v>0</v>
          </cell>
          <cell r="N75">
            <v>0</v>
          </cell>
          <cell r="S75">
            <v>2000</v>
          </cell>
          <cell r="T75">
            <v>0</v>
          </cell>
          <cell r="U75">
            <v>1.7</v>
          </cell>
          <cell r="V75" t="str">
            <v>ICE</v>
          </cell>
        </row>
        <row r="76">
          <cell r="B76" t="str">
            <v>Audi-A6 eSB</v>
          </cell>
          <cell r="E76">
            <v>0.23</v>
          </cell>
          <cell r="F76">
            <v>3.5000000000000003E-2</v>
          </cell>
          <cell r="G76">
            <v>0.26500000000000001</v>
          </cell>
          <cell r="H76">
            <v>0</v>
          </cell>
          <cell r="I76">
            <v>0</v>
          </cell>
          <cell r="N76">
            <v>240507.33</v>
          </cell>
          <cell r="Q76">
            <v>-4275</v>
          </cell>
          <cell r="S76">
            <v>0</v>
          </cell>
          <cell r="T76">
            <v>0</v>
          </cell>
          <cell r="U76">
            <v>0.75</v>
          </cell>
          <cell r="V76" t="str">
            <v>BEV</v>
          </cell>
        </row>
        <row r="77">
          <cell r="B77" t="str">
            <v>Audi-A6 eSB-Q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N77">
            <v>265454.49</v>
          </cell>
          <cell r="S77">
            <v>0</v>
          </cell>
          <cell r="T77">
            <v>0</v>
          </cell>
          <cell r="U77">
            <v>0.75</v>
          </cell>
          <cell r="V77" t="str">
            <v>BEV</v>
          </cell>
        </row>
        <row r="78">
          <cell r="B78" t="str">
            <v>Audi-A6 eA</v>
          </cell>
          <cell r="E78">
            <v>0.23</v>
          </cell>
          <cell r="F78">
            <v>0</v>
          </cell>
          <cell r="G78">
            <v>0.23</v>
          </cell>
          <cell r="H78">
            <v>0</v>
          </cell>
          <cell r="I78">
            <v>0</v>
          </cell>
          <cell r="N78">
            <v>0</v>
          </cell>
          <cell r="S78">
            <v>0</v>
          </cell>
          <cell r="T78">
            <v>0</v>
          </cell>
          <cell r="U78">
            <v>0.75</v>
          </cell>
          <cell r="V78" t="str">
            <v>BEV</v>
          </cell>
        </row>
        <row r="79">
          <cell r="B79" t="str">
            <v>Audi-A6 eA-Q</v>
          </cell>
          <cell r="E79">
            <v>0.23</v>
          </cell>
          <cell r="F79">
            <v>0</v>
          </cell>
          <cell r="G79">
            <v>0.23</v>
          </cell>
          <cell r="H79">
            <v>0</v>
          </cell>
          <cell r="I79">
            <v>0</v>
          </cell>
          <cell r="N79">
            <v>0</v>
          </cell>
          <cell r="S79">
            <v>0</v>
          </cell>
          <cell r="T79">
            <v>0</v>
          </cell>
          <cell r="U79">
            <v>0.75</v>
          </cell>
          <cell r="V79" t="str">
            <v>BEV</v>
          </cell>
        </row>
        <row r="80">
          <cell r="B80" t="str">
            <v>Audi-A8</v>
          </cell>
          <cell r="E80">
            <v>5.5E-2</v>
          </cell>
          <cell r="F80">
            <v>0</v>
          </cell>
          <cell r="G80">
            <v>5.5E-2</v>
          </cell>
          <cell r="H80">
            <v>0</v>
          </cell>
          <cell r="I80">
            <v>0</v>
          </cell>
          <cell r="N80">
            <v>0</v>
          </cell>
          <cell r="Q80">
            <v>15947</v>
          </cell>
          <cell r="S80">
            <v>3000</v>
          </cell>
          <cell r="T80">
            <v>0</v>
          </cell>
          <cell r="U80">
            <v>2.2000000000000002</v>
          </cell>
          <cell r="V80" t="str">
            <v>ICE</v>
          </cell>
        </row>
        <row r="81">
          <cell r="B81" t="str">
            <v>Audi-Q2</v>
          </cell>
          <cell r="E81">
            <v>0.32500000000000001</v>
          </cell>
          <cell r="F81">
            <v>0</v>
          </cell>
          <cell r="G81">
            <v>0.32500000000000001</v>
          </cell>
          <cell r="H81">
            <v>0</v>
          </cell>
          <cell r="I81">
            <v>0</v>
          </cell>
          <cell r="N81">
            <v>0</v>
          </cell>
          <cell r="Q81">
            <v>0</v>
          </cell>
          <cell r="S81">
            <v>1600</v>
          </cell>
          <cell r="T81">
            <v>0</v>
          </cell>
          <cell r="U81">
            <v>0.9</v>
          </cell>
          <cell r="V81" t="str">
            <v>ICE</v>
          </cell>
        </row>
        <row r="82">
          <cell r="B82" t="str">
            <v>Audi-Q3-A</v>
          </cell>
          <cell r="E82">
            <v>0.115</v>
          </cell>
          <cell r="F82">
            <v>0</v>
          </cell>
          <cell r="G82">
            <v>0.115</v>
          </cell>
          <cell r="H82">
            <v>0</v>
          </cell>
          <cell r="I82">
            <v>0</v>
          </cell>
          <cell r="N82">
            <v>0</v>
          </cell>
          <cell r="Q82">
            <v>5833</v>
          </cell>
          <cell r="S82">
            <v>1600</v>
          </cell>
          <cell r="T82">
            <v>0</v>
          </cell>
          <cell r="U82">
            <v>0.9</v>
          </cell>
          <cell r="V82" t="str">
            <v>ICE</v>
          </cell>
        </row>
        <row r="83">
          <cell r="B83" t="str">
            <v>Audi-Q3-SL</v>
          </cell>
          <cell r="E83">
            <v>0.11</v>
          </cell>
          <cell r="F83">
            <v>0</v>
          </cell>
          <cell r="G83">
            <v>0.11</v>
          </cell>
          <cell r="H83">
            <v>0</v>
          </cell>
          <cell r="I83">
            <v>0</v>
          </cell>
          <cell r="N83">
            <v>0</v>
          </cell>
          <cell r="Q83">
            <v>8464</v>
          </cell>
          <cell r="S83">
            <v>1600</v>
          </cell>
          <cell r="T83">
            <v>0</v>
          </cell>
          <cell r="U83">
            <v>1</v>
          </cell>
          <cell r="V83" t="str">
            <v>ICE</v>
          </cell>
        </row>
        <row r="84">
          <cell r="B84" t="str">
            <v>Audi-Q4 40e</v>
          </cell>
          <cell r="E84">
            <v>0.18</v>
          </cell>
          <cell r="F84">
            <v>0.03</v>
          </cell>
          <cell r="G84">
            <v>0.21</v>
          </cell>
          <cell r="H84">
            <v>0</v>
          </cell>
          <cell r="I84">
            <v>0</v>
          </cell>
          <cell r="N84">
            <v>120253.67</v>
          </cell>
          <cell r="S84">
            <v>0</v>
          </cell>
          <cell r="T84">
            <v>0</v>
          </cell>
          <cell r="U84">
            <v>0.55000000000000004</v>
          </cell>
          <cell r="V84" t="str">
            <v>BEV</v>
          </cell>
        </row>
        <row r="85">
          <cell r="B85" t="str">
            <v>Audi-Q4 40eSB</v>
          </cell>
          <cell r="E85">
            <v>0.18</v>
          </cell>
          <cell r="F85">
            <v>0.03</v>
          </cell>
          <cell r="G85">
            <v>0.21</v>
          </cell>
          <cell r="H85">
            <v>0</v>
          </cell>
          <cell r="I85">
            <v>0</v>
          </cell>
          <cell r="N85">
            <v>120253.67</v>
          </cell>
          <cell r="S85">
            <v>0</v>
          </cell>
          <cell r="T85">
            <v>0</v>
          </cell>
          <cell r="U85">
            <v>0.55000000000000004</v>
          </cell>
          <cell r="V85" t="str">
            <v>BEV</v>
          </cell>
        </row>
        <row r="86">
          <cell r="B86" t="str">
            <v>Audi-Q4 e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N86">
            <v>0</v>
          </cell>
          <cell r="Q86">
            <v>-4017</v>
          </cell>
          <cell r="S86">
            <v>0</v>
          </cell>
          <cell r="T86">
            <v>0</v>
          </cell>
          <cell r="U86">
            <v>0.75</v>
          </cell>
          <cell r="V86" t="str">
            <v>BEV</v>
          </cell>
        </row>
        <row r="87">
          <cell r="B87" t="str">
            <v>Audi-Q4 eSB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N87">
            <v>0</v>
          </cell>
          <cell r="Q87">
            <v>-4017</v>
          </cell>
          <cell r="S87">
            <v>0</v>
          </cell>
          <cell r="T87">
            <v>0</v>
          </cell>
          <cell r="U87">
            <v>0.75</v>
          </cell>
          <cell r="V87" t="str">
            <v>BEV</v>
          </cell>
        </row>
        <row r="88">
          <cell r="B88" t="str">
            <v>Audi-Q4 55e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N88">
            <v>0</v>
          </cell>
          <cell r="S88">
            <v>0</v>
          </cell>
          <cell r="T88">
            <v>0</v>
          </cell>
          <cell r="U88">
            <v>0.75</v>
          </cell>
          <cell r="V88" t="str">
            <v>BEV</v>
          </cell>
        </row>
        <row r="89">
          <cell r="B89" t="str">
            <v>Audi-Q5 TDI</v>
          </cell>
          <cell r="E89">
            <v>0.125</v>
          </cell>
          <cell r="F89">
            <v>0</v>
          </cell>
          <cell r="G89">
            <v>0.125</v>
          </cell>
          <cell r="H89">
            <v>0</v>
          </cell>
          <cell r="I89">
            <v>0</v>
          </cell>
          <cell r="N89">
            <v>0</v>
          </cell>
          <cell r="S89">
            <v>2000</v>
          </cell>
          <cell r="T89">
            <v>0</v>
          </cell>
          <cell r="U89">
            <v>1.7</v>
          </cell>
          <cell r="V89" t="str">
            <v>ICE</v>
          </cell>
        </row>
        <row r="90">
          <cell r="B90" t="str">
            <v>Audi-Q3-SB SL</v>
          </cell>
          <cell r="E90">
            <v>0.313</v>
          </cell>
          <cell r="F90">
            <v>0</v>
          </cell>
          <cell r="G90">
            <v>0.313</v>
          </cell>
          <cell r="H90">
            <v>0</v>
          </cell>
          <cell r="I90">
            <v>0</v>
          </cell>
          <cell r="N90">
            <v>0</v>
          </cell>
          <cell r="Q90">
            <v>3197</v>
          </cell>
          <cell r="S90">
            <v>1600</v>
          </cell>
          <cell r="T90">
            <v>0</v>
          </cell>
          <cell r="U90">
            <v>0.9</v>
          </cell>
          <cell r="V90" t="str">
            <v>ICE</v>
          </cell>
        </row>
        <row r="91">
          <cell r="B91" t="str">
            <v>Audi-Q6 e</v>
          </cell>
          <cell r="E91">
            <v>0.245</v>
          </cell>
          <cell r="F91">
            <v>0.02</v>
          </cell>
          <cell r="G91">
            <v>0.26500000000000001</v>
          </cell>
          <cell r="H91">
            <v>0</v>
          </cell>
          <cell r="I91">
            <v>0</v>
          </cell>
          <cell r="N91">
            <v>240507.33</v>
          </cell>
          <cell r="Q91">
            <v>0</v>
          </cell>
          <cell r="S91">
            <v>0</v>
          </cell>
          <cell r="T91">
            <v>0</v>
          </cell>
          <cell r="U91">
            <v>0.75</v>
          </cell>
          <cell r="V91" t="str">
            <v>BEV</v>
          </cell>
        </row>
        <row r="92">
          <cell r="B92" t="str">
            <v>Audi-Q6 eSB</v>
          </cell>
          <cell r="E92">
            <v>0.245</v>
          </cell>
          <cell r="F92">
            <v>0</v>
          </cell>
          <cell r="G92">
            <v>0.245</v>
          </cell>
          <cell r="H92">
            <v>0</v>
          </cell>
          <cell r="I92">
            <v>0</v>
          </cell>
          <cell r="N92">
            <v>0</v>
          </cell>
          <cell r="Q92">
            <v>0</v>
          </cell>
          <cell r="S92">
            <v>0</v>
          </cell>
          <cell r="T92">
            <v>0</v>
          </cell>
          <cell r="U92">
            <v>0.75</v>
          </cell>
          <cell r="V92" t="str">
            <v>BEV</v>
          </cell>
        </row>
        <row r="93">
          <cell r="B93" t="str">
            <v>Audi-Q7 SL</v>
          </cell>
          <cell r="E93">
            <v>0.28000000000000003</v>
          </cell>
          <cell r="F93">
            <v>0</v>
          </cell>
          <cell r="G93">
            <v>0.28000000000000003</v>
          </cell>
          <cell r="H93">
            <v>0</v>
          </cell>
          <cell r="I93">
            <v>0</v>
          </cell>
          <cell r="N93">
            <v>0</v>
          </cell>
          <cell r="Q93">
            <v>0</v>
          </cell>
          <cell r="S93">
            <v>2000</v>
          </cell>
          <cell r="T93">
            <v>0</v>
          </cell>
          <cell r="U93">
            <v>1.7</v>
          </cell>
          <cell r="V93" t="str">
            <v>ICE</v>
          </cell>
        </row>
        <row r="94">
          <cell r="B94" t="str">
            <v>Audi-Q8</v>
          </cell>
          <cell r="E94">
            <v>0.26</v>
          </cell>
          <cell r="F94">
            <v>0</v>
          </cell>
          <cell r="G94">
            <v>0.26</v>
          </cell>
          <cell r="H94">
            <v>0</v>
          </cell>
          <cell r="I94">
            <v>0</v>
          </cell>
          <cell r="N94">
            <v>0</v>
          </cell>
          <cell r="Q94">
            <v>0</v>
          </cell>
          <cell r="S94">
            <v>2000</v>
          </cell>
          <cell r="T94">
            <v>0</v>
          </cell>
          <cell r="U94">
            <v>1.7</v>
          </cell>
          <cell r="V94" t="str">
            <v>ICE</v>
          </cell>
        </row>
        <row r="96">
          <cell r="B96" t="str">
            <v>Model Kodu</v>
          </cell>
          <cell r="E96" t="str">
            <v>Default indirim oranı (ind oranı takas ve krediyle birlikte kullanılabiliyorsa buraya yaz, eğer takas veya kredi sunuluyorsa.  Takas veya kredi sunulmuyorsa sunulan indirimi buraya yazabilirsin)</v>
          </cell>
          <cell r="F96" t="str">
            <v>Nakit Alım İnd Oranı (CB)</v>
          </cell>
          <cell r="G96" t="str">
            <v>Takas veya Kredi sunulmadığında alınacak ind oranı</v>
          </cell>
          <cell r="H96" t="str">
            <v>Takas Destek VH</v>
          </cell>
          <cell r="I96" t="str">
            <v>Takas Destek</v>
          </cell>
          <cell r="N96" t="str">
            <v>Kredi Maliyeti</v>
          </cell>
          <cell r="Q96" t="str">
            <v>Spec Adj. (EUR)
(+/-) değer alabilir</v>
          </cell>
          <cell r="S96" t="str">
            <v>Motor Hacmi (cc)</v>
          </cell>
          <cell r="T96" t="str">
            <v>Tescil</v>
          </cell>
          <cell r="U96" t="str">
            <v>ÖTV oranı</v>
          </cell>
          <cell r="V96" t="str">
            <v>Yakıt Türü</v>
          </cell>
        </row>
        <row r="97">
          <cell r="B97" t="str">
            <v>Volvo-EX40</v>
          </cell>
          <cell r="E97">
            <v>0.19</v>
          </cell>
          <cell r="F97">
            <v>0</v>
          </cell>
          <cell r="G97">
            <v>0.19</v>
          </cell>
          <cell r="H97">
            <v>0</v>
          </cell>
          <cell r="I97">
            <v>0</v>
          </cell>
          <cell r="N97">
            <v>0</v>
          </cell>
          <cell r="S97">
            <v>0</v>
          </cell>
          <cell r="T97">
            <v>0</v>
          </cell>
          <cell r="U97">
            <v>0.55000000000000004</v>
          </cell>
          <cell r="V97" t="str">
            <v>BEV</v>
          </cell>
        </row>
        <row r="98">
          <cell r="B98" t="str">
            <v>Volvo-C40 R</v>
          </cell>
          <cell r="E98">
            <v>0.23</v>
          </cell>
          <cell r="F98">
            <v>0</v>
          </cell>
          <cell r="G98">
            <v>0.23</v>
          </cell>
          <cell r="H98">
            <v>0</v>
          </cell>
          <cell r="I98">
            <v>0</v>
          </cell>
          <cell r="N98">
            <v>0</v>
          </cell>
          <cell r="Q98">
            <v>-4004</v>
          </cell>
          <cell r="S98">
            <v>0</v>
          </cell>
          <cell r="T98">
            <v>0</v>
          </cell>
          <cell r="U98">
            <v>0.6</v>
          </cell>
          <cell r="V98" t="str">
            <v>BEV</v>
          </cell>
        </row>
        <row r="99">
          <cell r="B99" t="str">
            <v>Volvo-XC60</v>
          </cell>
          <cell r="E99">
            <v>0.2</v>
          </cell>
          <cell r="F99">
            <v>0</v>
          </cell>
          <cell r="G99">
            <v>0.2</v>
          </cell>
          <cell r="H99">
            <v>0</v>
          </cell>
          <cell r="I99">
            <v>0</v>
          </cell>
          <cell r="N99">
            <v>0</v>
          </cell>
          <cell r="Q99">
            <v>-6796.9833333333336</v>
          </cell>
          <cell r="S99">
            <v>2000</v>
          </cell>
          <cell r="T99">
            <v>0</v>
          </cell>
          <cell r="U99">
            <v>1.7</v>
          </cell>
          <cell r="V99" t="str">
            <v>ICE</v>
          </cell>
        </row>
        <row r="100">
          <cell r="B100" t="str">
            <v>Volvo-XC90</v>
          </cell>
          <cell r="E100">
            <v>0.25</v>
          </cell>
          <cell r="F100">
            <v>0</v>
          </cell>
          <cell r="G100">
            <v>0.25</v>
          </cell>
          <cell r="H100">
            <v>0</v>
          </cell>
          <cell r="I100">
            <v>0</v>
          </cell>
          <cell r="N100">
            <v>0</v>
          </cell>
          <cell r="Q100">
            <v>0</v>
          </cell>
          <cell r="S100">
            <v>2000</v>
          </cell>
          <cell r="T100">
            <v>0</v>
          </cell>
          <cell r="U100">
            <v>1.7</v>
          </cell>
          <cell r="V100" t="str">
            <v>ICE</v>
          </cell>
        </row>
      </sheetData>
      <sheetData sheetId="3"/>
      <sheetData sheetId="4">
        <row r="1">
          <cell r="A1" t="str">
            <v>Model kodu</v>
          </cell>
          <cell r="C1" t="str">
            <v>Kw</v>
          </cell>
        </row>
        <row r="2">
          <cell r="A2" t="str">
            <v>51CF</v>
          </cell>
          <cell r="C2">
            <v>400</v>
          </cell>
        </row>
        <row r="3">
          <cell r="A3" t="str">
            <v>51EJ</v>
          </cell>
          <cell r="C3">
            <v>400</v>
          </cell>
        </row>
        <row r="4">
          <cell r="A4" t="str">
            <v>31HD</v>
          </cell>
          <cell r="C4">
            <v>400</v>
          </cell>
        </row>
        <row r="5">
          <cell r="A5" t="str">
            <v>41FK</v>
          </cell>
          <cell r="C5">
            <v>441</v>
          </cell>
        </row>
        <row r="6">
          <cell r="A6" t="str">
            <v>61HG</v>
          </cell>
          <cell r="C6">
            <v>160</v>
          </cell>
        </row>
        <row r="7">
          <cell r="A7" t="str">
            <v>81EH</v>
          </cell>
          <cell r="C7">
            <v>468</v>
          </cell>
        </row>
        <row r="8">
          <cell r="A8" t="str">
            <v>71AW</v>
          </cell>
          <cell r="C8">
            <v>160</v>
          </cell>
        </row>
        <row r="9">
          <cell r="A9" t="str">
            <v>21HD</v>
          </cell>
          <cell r="C9">
            <v>160</v>
          </cell>
        </row>
        <row r="10">
          <cell r="A10" t="str">
            <v>71EG</v>
          </cell>
          <cell r="C10">
            <v>150</v>
          </cell>
        </row>
        <row r="11">
          <cell r="A11" t="str">
            <v>51GM</v>
          </cell>
          <cell r="C11">
            <v>150</v>
          </cell>
        </row>
        <row r="12">
          <cell r="A12" t="str">
            <v>CLAElectric-Edt</v>
          </cell>
          <cell r="C12">
            <v>260</v>
          </cell>
        </row>
        <row r="13">
          <cell r="A13" t="str">
            <v>EQE-A</v>
          </cell>
          <cell r="C13">
            <v>215</v>
          </cell>
        </row>
        <row r="14">
          <cell r="A14" t="str">
            <v>EQS-I</v>
          </cell>
          <cell r="C14">
            <v>265</v>
          </cell>
        </row>
        <row r="15">
          <cell r="A15" t="str">
            <v>EQS-H</v>
          </cell>
          <cell r="C15">
            <v>385</v>
          </cell>
        </row>
        <row r="16">
          <cell r="A16" t="str">
            <v>EQA-A</v>
          </cell>
          <cell r="C16">
            <v>140</v>
          </cell>
        </row>
        <row r="17">
          <cell r="A17" t="str">
            <v>EQA-NE</v>
          </cell>
          <cell r="C17">
            <v>140</v>
          </cell>
        </row>
        <row r="18">
          <cell r="A18" t="str">
            <v>EQB-A</v>
          </cell>
          <cell r="C18">
            <v>140</v>
          </cell>
        </row>
        <row r="19">
          <cell r="A19" t="str">
            <v>EQA-350-A</v>
          </cell>
          <cell r="C19">
            <v>215</v>
          </cell>
        </row>
        <row r="20">
          <cell r="A20" t="str">
            <v>EQB-350-A</v>
          </cell>
          <cell r="C20">
            <v>215</v>
          </cell>
        </row>
        <row r="21">
          <cell r="A21" t="str">
            <v>Audi-Q8 e-SL</v>
          </cell>
          <cell r="C21">
            <v>300</v>
          </cell>
        </row>
        <row r="22">
          <cell r="A22" t="str">
            <v>Volvo-XC40 R</v>
          </cell>
          <cell r="C22">
            <v>185</v>
          </cell>
        </row>
        <row r="23">
          <cell r="A23" t="str">
            <v>Volvo-C40 R</v>
          </cell>
          <cell r="C23">
            <v>185</v>
          </cell>
        </row>
        <row r="24">
          <cell r="A24" t="str">
            <v>EQE280-A</v>
          </cell>
          <cell r="C24">
            <v>160</v>
          </cell>
        </row>
        <row r="25">
          <cell r="A25" t="str">
            <v>Audi-Q8 e-AD</v>
          </cell>
          <cell r="C25">
            <v>300</v>
          </cell>
        </row>
        <row r="26">
          <cell r="A26" t="str">
            <v>Audi-Q4 e</v>
          </cell>
          <cell r="C26">
            <v>210</v>
          </cell>
        </row>
        <row r="27">
          <cell r="A27" t="str">
            <v>Audi-A6 eSB</v>
          </cell>
          <cell r="C27">
            <v>240</v>
          </cell>
        </row>
        <row r="28">
          <cell r="A28" t="str">
            <v>Audi-A6 eSB-Q</v>
          </cell>
          <cell r="C28">
            <v>240</v>
          </cell>
        </row>
        <row r="29">
          <cell r="A29" t="str">
            <v>Audi-Q6 e</v>
          </cell>
          <cell r="C29">
            <v>285</v>
          </cell>
        </row>
        <row r="30">
          <cell r="A30" t="str">
            <v>Audi-Q6 eSB</v>
          </cell>
          <cell r="C30">
            <v>285</v>
          </cell>
        </row>
        <row r="31">
          <cell r="A31" t="str">
            <v>Audi-Q4 Esb</v>
          </cell>
          <cell r="C31">
            <v>210</v>
          </cell>
        </row>
        <row r="32">
          <cell r="A32" t="str">
            <v>Volvo-EX40</v>
          </cell>
          <cell r="C32">
            <v>150</v>
          </cell>
        </row>
        <row r="33">
          <cell r="A33" t="str">
            <v>Volvo-EC40</v>
          </cell>
          <cell r="C33">
            <v>150</v>
          </cell>
        </row>
        <row r="34">
          <cell r="A34" t="str">
            <v>Audi-A6 eA</v>
          </cell>
          <cell r="C34">
            <v>240</v>
          </cell>
        </row>
        <row r="35">
          <cell r="A35" t="str">
            <v>Audi-A6 eA-Q</v>
          </cell>
          <cell r="C35">
            <v>240</v>
          </cell>
        </row>
        <row r="36">
          <cell r="A36" t="str">
            <v>Audi-Q4 40e</v>
          </cell>
          <cell r="C36">
            <v>160</v>
          </cell>
        </row>
        <row r="37">
          <cell r="A37" t="str">
            <v>Audi-Q4 40eSB</v>
          </cell>
          <cell r="C37">
            <v>160</v>
          </cell>
        </row>
        <row r="38">
          <cell r="A38" t="str">
            <v>Audi-Q4 55e</v>
          </cell>
          <cell r="C38">
            <v>249.99999999999997</v>
          </cell>
        </row>
      </sheetData>
      <sheetData sheetId="5"/>
      <sheetData sheetId="6"/>
      <sheetData sheetId="7"/>
      <sheetData sheetId="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eckin UYSAL" id="{6A88AB6E-9061-46F0-BF3D-E7B33666AEB5}" userId="S::seuysal@borusan.com::6695ce63-be59-439d-a9b8-88376efbdba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5-05-07T07:09:56.11" personId="{6A88AB6E-9061-46F0-BF3D-E7B33666AEB5}" id="{DBCF4576-A515-46E2-8EB0-4760588BA6A8}">
    <text>Premium Paket İçeriğinde bulunan Metalik Renk, Cam Tavan, Konfor Erişim Sistemi, Otomatik Bagaj Kapağı bulunmamaktadır.
ek olarak; sadece sürücü koltuğu elektriklidir.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BEC6B-C8AD-49E3-A65E-6B0EE67846D7}">
  <sheetPr>
    <pageSetUpPr fitToPage="1"/>
  </sheetPr>
  <dimension ref="A1:XEU152"/>
  <sheetViews>
    <sheetView showGridLines="0" tabSelected="1" zoomScale="78" zoomScaleNormal="70" zoomScaleSheetLayoutView="8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C54" sqref="C54"/>
    </sheetView>
  </sheetViews>
  <sheetFormatPr defaultColWidth="8.7109375" defaultRowHeight="15" x14ac:dyDescent="0.25"/>
  <cols>
    <col min="1" max="1" width="15.28515625" style="1" bestFit="1" customWidth="1"/>
    <col min="2" max="2" width="41" style="1" bestFit="1" customWidth="1"/>
    <col min="3" max="3" width="28.7109375" style="187" customWidth="1"/>
    <col min="4" max="4" width="6.140625" style="105" bestFit="1" customWidth="1"/>
    <col min="5" max="5" width="30.28515625" style="264" bestFit="1" customWidth="1"/>
    <col min="6" max="6" width="37.5703125" style="264" bestFit="1" customWidth="1"/>
    <col min="7" max="7" width="2" style="6" bestFit="1" customWidth="1"/>
    <col min="8" max="8" width="16.7109375" style="7" bestFit="1" customWidth="1"/>
    <col min="9" max="9" width="8.7109375" style="8" bestFit="1" customWidth="1"/>
    <col min="10" max="10" width="8" style="6" bestFit="1" customWidth="1"/>
    <col min="11" max="11" width="16.7109375" style="7" bestFit="1" customWidth="1"/>
    <col min="12" max="12" width="12" style="8" bestFit="1" customWidth="1"/>
    <col min="13" max="13" width="2" style="6" bestFit="1" customWidth="1"/>
    <col min="14" max="14" width="15.140625" style="7" bestFit="1" customWidth="1"/>
    <col min="15" max="15" width="14.28515625" style="7" bestFit="1" customWidth="1"/>
    <col min="16" max="16" width="8.85546875" style="8" bestFit="1" customWidth="1"/>
    <col min="17" max="17" width="9.7109375" style="8" bestFit="1" customWidth="1"/>
    <col min="18" max="18" width="11.140625" style="20" bestFit="1" customWidth="1"/>
    <col min="19" max="19" width="2" style="6" bestFit="1" customWidth="1"/>
    <col min="20" max="20" width="15.140625" style="7" hidden="1" customWidth="1"/>
    <col min="21" max="21" width="14.28515625" style="7" bestFit="1" customWidth="1"/>
    <col min="22" max="22" width="8.85546875" style="8" bestFit="1" customWidth="1"/>
    <col min="23" max="23" width="9.7109375" style="8" bestFit="1" customWidth="1"/>
    <col min="24" max="24" width="13.7109375" style="190" bestFit="1" customWidth="1"/>
    <col min="25" max="25" width="2" style="6" bestFit="1" customWidth="1"/>
    <col min="26" max="26" width="15.140625" style="7" hidden="1" customWidth="1"/>
    <col min="27" max="27" width="14.28515625" style="7" bestFit="1" customWidth="1"/>
    <col min="28" max="28" width="8.85546875" style="8" bestFit="1" customWidth="1"/>
    <col min="29" max="29" width="9.7109375" style="8" bestFit="1" customWidth="1"/>
    <col min="30" max="30" width="12.7109375" style="190" bestFit="1" customWidth="1"/>
    <col min="31" max="31" width="2" style="17" bestFit="1" customWidth="1"/>
    <col min="32" max="32" width="8.85546875" style="19" customWidth="1"/>
    <col min="33" max="33" width="15.85546875" style="19" hidden="1" customWidth="1"/>
    <col min="34" max="34" width="9.7109375" style="20" hidden="1" customWidth="1"/>
    <col min="35" max="35" width="2" style="17" hidden="1" customWidth="1"/>
    <col min="36" max="36" width="15.140625" style="20" hidden="1" customWidth="1"/>
    <col min="37" max="37" width="19.28515625" style="21" hidden="1" customWidth="1"/>
    <col min="38" max="38" width="10.7109375" style="20" hidden="1" customWidth="1"/>
    <col min="39" max="39" width="11" style="20" hidden="1" customWidth="1"/>
    <col min="40" max="40" width="19.28515625" style="20" hidden="1" customWidth="1"/>
    <col min="41" max="41" width="7.28515625" style="20" hidden="1" customWidth="1"/>
    <col min="42" max="42" width="7.7109375" style="23" hidden="1" customWidth="1"/>
    <col min="43" max="43" width="11.7109375" style="265" hidden="1" customWidth="1"/>
    <col min="44" max="44" width="2" style="17" bestFit="1" customWidth="1"/>
    <col min="45" max="45" width="11.5703125" style="20" hidden="1" customWidth="1"/>
    <col min="46" max="46" width="2" style="17" hidden="1" customWidth="1"/>
    <col min="47" max="47" width="4.7109375" style="17" hidden="1" customWidth="1"/>
    <col min="48" max="48" width="11.7109375" style="265" hidden="1" customWidth="1"/>
    <col min="49" max="49" width="23.7109375" style="265" hidden="1" customWidth="1"/>
    <col min="50" max="50" width="23.140625" style="265" hidden="1" customWidth="1"/>
    <col min="51" max="51" width="6.42578125" style="17" hidden="1" customWidth="1"/>
    <col min="52" max="52" width="9.140625" style="17" hidden="1" customWidth="1"/>
    <col min="53" max="53" width="12.28515625" style="17" hidden="1" customWidth="1"/>
    <col min="54" max="54" width="2" style="17" hidden="1" customWidth="1"/>
    <col min="55" max="56" width="8.140625" style="17" hidden="1" customWidth="1"/>
    <col min="57" max="57" width="2" style="17" hidden="1" customWidth="1"/>
    <col min="58" max="59" width="8.140625" style="17" hidden="1" customWidth="1"/>
    <col min="60" max="60" width="2" style="17" hidden="1" customWidth="1"/>
    <col min="61" max="61" width="13.85546875" style="17" hidden="1" customWidth="1"/>
    <col min="62" max="63" width="2" style="17" hidden="1" customWidth="1"/>
    <col min="64" max="64" width="8.140625" style="17" hidden="1" customWidth="1"/>
    <col min="65" max="65" width="2" style="17" hidden="1" customWidth="1"/>
    <col min="66" max="66" width="8.7109375" style="17" hidden="1" customWidth="1"/>
    <col min="67" max="69" width="2" style="17" hidden="1" customWidth="1"/>
    <col min="70" max="70" width="12.28515625" style="17" hidden="1" customWidth="1"/>
    <col min="71" max="84" width="2" style="17" hidden="1" customWidth="1"/>
    <col min="85" max="85" width="0.85546875" style="17" customWidth="1"/>
    <col min="86" max="16375" width="2" style="17" bestFit="1" customWidth="1"/>
    <col min="16376" max="16384" width="8.7109375" style="17"/>
  </cols>
  <sheetData>
    <row r="1" spans="1:72" ht="19.5" thickBot="1" x14ac:dyDescent="0.3">
      <c r="C1" s="2"/>
      <c r="D1" s="3"/>
      <c r="E1" s="4"/>
      <c r="F1" s="5"/>
      <c r="N1" s="9"/>
      <c r="O1" s="10" t="s">
        <v>0</v>
      </c>
      <c r="P1" s="11"/>
      <c r="Q1" s="11"/>
      <c r="R1" s="12"/>
      <c r="T1" s="13"/>
      <c r="U1" s="14" t="s">
        <v>1</v>
      </c>
      <c r="V1" s="15"/>
      <c r="W1" s="15"/>
      <c r="X1" s="16"/>
      <c r="Z1" s="13"/>
      <c r="AA1" s="10" t="s">
        <v>2</v>
      </c>
      <c r="AB1" s="11"/>
      <c r="AC1" s="11"/>
      <c r="AD1" s="12"/>
      <c r="AF1" s="18"/>
      <c r="AJ1" s="20" t="s">
        <v>3</v>
      </c>
      <c r="AK1" s="21" t="s">
        <v>4</v>
      </c>
      <c r="AL1" s="22"/>
      <c r="AQ1" s="20"/>
      <c r="AS1" s="24">
        <v>52.5</v>
      </c>
      <c r="AV1" s="20"/>
      <c r="AW1" s="20"/>
      <c r="AX1" s="20"/>
    </row>
    <row r="2" spans="1:72" s="42" customFormat="1" ht="65.45" customHeight="1" thickBot="1" x14ac:dyDescent="0.25">
      <c r="A2" s="25"/>
      <c r="B2" s="25"/>
      <c r="C2" s="26" t="s">
        <v>5</v>
      </c>
      <c r="D2" s="27"/>
      <c r="E2" s="27"/>
      <c r="F2" s="28"/>
      <c r="G2" s="29"/>
      <c r="H2" s="30" t="s">
        <v>6</v>
      </c>
      <c r="I2" s="31" t="s">
        <v>7</v>
      </c>
      <c r="J2" s="30" t="s">
        <v>8</v>
      </c>
      <c r="K2" s="30" t="s">
        <v>9</v>
      </c>
      <c r="L2" s="31" t="s">
        <v>7</v>
      </c>
      <c r="M2" s="29"/>
      <c r="N2" s="32" t="s">
        <v>10</v>
      </c>
      <c r="O2" s="33" t="s">
        <v>11</v>
      </c>
      <c r="P2" s="34" t="s">
        <v>12</v>
      </c>
      <c r="Q2" s="34" t="s">
        <v>13</v>
      </c>
      <c r="R2" s="35" t="s">
        <v>14</v>
      </c>
      <c r="S2" s="29"/>
      <c r="T2" s="32" t="s">
        <v>10</v>
      </c>
      <c r="U2" s="33" t="s">
        <v>11</v>
      </c>
      <c r="V2" s="34" t="s">
        <v>12</v>
      </c>
      <c r="W2" s="34" t="s">
        <v>13</v>
      </c>
      <c r="X2" s="36" t="s">
        <v>15</v>
      </c>
      <c r="Y2" s="29"/>
      <c r="Z2" s="32" t="s">
        <v>10</v>
      </c>
      <c r="AA2" s="33" t="s">
        <v>11</v>
      </c>
      <c r="AB2" s="34" t="s">
        <v>12</v>
      </c>
      <c r="AC2" s="34" t="s">
        <v>13</v>
      </c>
      <c r="AD2" s="37" t="s">
        <v>16</v>
      </c>
      <c r="AE2" s="38"/>
      <c r="AF2" s="39" t="s">
        <v>17</v>
      </c>
      <c r="AG2" s="40" t="s">
        <v>18</v>
      </c>
      <c r="AH2" s="41" t="s">
        <v>19</v>
      </c>
      <c r="AJ2" s="41" t="s">
        <v>20</v>
      </c>
      <c r="AK2" s="43" t="s">
        <v>21</v>
      </c>
      <c r="AL2" s="44" t="s">
        <v>22</v>
      </c>
      <c r="AM2" s="41" t="s">
        <v>23</v>
      </c>
      <c r="AN2" s="41" t="s">
        <v>24</v>
      </c>
      <c r="AO2" s="41" t="s">
        <v>25</v>
      </c>
      <c r="AP2" s="45" t="s">
        <v>26</v>
      </c>
      <c r="AQ2" s="44" t="s">
        <v>27</v>
      </c>
      <c r="AS2" s="44" t="s">
        <v>28</v>
      </c>
      <c r="AU2" s="42" t="s">
        <v>29</v>
      </c>
      <c r="AV2" s="44" t="s">
        <v>30</v>
      </c>
      <c r="AW2" s="44" t="s">
        <v>31</v>
      </c>
      <c r="AX2" s="44" t="s">
        <v>32</v>
      </c>
      <c r="AY2" s="44" t="s">
        <v>33</v>
      </c>
      <c r="AZ2" s="44" t="s">
        <v>34</v>
      </c>
      <c r="BA2" s="44" t="s">
        <v>35</v>
      </c>
    </row>
    <row r="3" spans="1:72" s="42" customFormat="1" ht="8.4499999999999993" customHeight="1" thickBot="1" x14ac:dyDescent="0.25">
      <c r="A3" s="25"/>
      <c r="B3" s="25"/>
      <c r="C3" s="46"/>
      <c r="D3" s="46"/>
      <c r="E3" s="46"/>
      <c r="F3" s="46"/>
      <c r="G3" s="29"/>
      <c r="H3" s="29"/>
      <c r="I3" s="29"/>
      <c r="J3" s="29"/>
      <c r="K3" s="29"/>
      <c r="L3" s="29"/>
      <c r="M3" s="29"/>
      <c r="N3" s="47"/>
      <c r="O3" s="48"/>
      <c r="P3" s="29"/>
      <c r="Q3" s="29"/>
      <c r="R3" s="49"/>
      <c r="S3" s="29"/>
      <c r="T3" s="29"/>
      <c r="U3" s="29"/>
      <c r="V3" s="29"/>
      <c r="W3" s="29"/>
      <c r="X3" s="47"/>
      <c r="Y3" s="29"/>
      <c r="Z3" s="29"/>
      <c r="AA3" s="29"/>
      <c r="AB3" s="29"/>
      <c r="AC3" s="29"/>
      <c r="AD3" s="47"/>
      <c r="AE3" s="50"/>
      <c r="AF3" s="51"/>
      <c r="AG3" s="52"/>
      <c r="AH3" s="53"/>
      <c r="AJ3" s="53"/>
      <c r="AK3" s="54"/>
      <c r="AL3" s="55"/>
      <c r="AM3" s="53"/>
      <c r="AN3" s="53"/>
      <c r="AO3" s="53"/>
      <c r="AP3" s="56"/>
      <c r="AQ3" s="55"/>
      <c r="AS3" s="55"/>
      <c r="AV3" s="55"/>
      <c r="AW3" s="55"/>
      <c r="AX3" s="55"/>
    </row>
    <row r="4" spans="1:72" s="74" customFormat="1" ht="15" customHeight="1" x14ac:dyDescent="0.25">
      <c r="A4" s="57" t="s">
        <v>36</v>
      </c>
      <c r="B4" s="57" t="str">
        <f>D4&amp;E4&amp;F4</f>
        <v>AudiA3 Sportback 35 TFSIAdvanced</v>
      </c>
      <c r="C4" s="58" t="s">
        <v>37</v>
      </c>
      <c r="D4" s="59" t="s">
        <v>38</v>
      </c>
      <c r="E4" s="60" t="s">
        <v>39</v>
      </c>
      <c r="F4" s="61" t="s">
        <v>40</v>
      </c>
      <c r="G4" s="62"/>
      <c r="H4" s="63">
        <v>3247837</v>
      </c>
      <c r="I4" s="64">
        <f>H4/$H$6*$I$6</f>
        <v>91.837400056779174</v>
      </c>
      <c r="J4" s="65">
        <v>0.16500000000000001</v>
      </c>
      <c r="K4" s="66">
        <f>(((H4-AO4)/(1+AQ4)/1.2/$AS$1)+AS4)*(1+AQ4)*(1.2)*$AS$1+AO4</f>
        <v>3566717.8000000003</v>
      </c>
      <c r="L4" s="64">
        <f>K4/$K$6*$L$6</f>
        <v>100.85422682487923</v>
      </c>
      <c r="M4" s="65"/>
      <c r="N4" s="66">
        <f>AN4*1.2*(1+AV4)+AO4</f>
        <v>2978209.3629999999</v>
      </c>
      <c r="O4" s="63">
        <f>AK4*1.2*(1+AV4)+AO4</f>
        <v>2711943.8949999996</v>
      </c>
      <c r="P4" s="64">
        <f>IF(ISNUMBER(O4),O4/$O$6*$P$6,"")</f>
        <v>86.162055109450108</v>
      </c>
      <c r="Q4" s="64">
        <f>IF(ISNUMBER(N4),N4/$N$6*$Q$6,"")</f>
        <v>94.621662245813653</v>
      </c>
      <c r="R4" s="67">
        <f>_xlfn.XLOOKUP(A4,'[1]My Input'!$B:$B,'[1]My Input'!$F:$F)</f>
        <v>0</v>
      </c>
      <c r="S4" s="65"/>
      <c r="T4" s="66">
        <f>IF(X4&lt;&gt;0,AM4*1.2*(1+AW4)+AO4-X4,AN4*1.2*(1+AV4)+AO4)</f>
        <v>2978209.3629999999</v>
      </c>
      <c r="U4" s="63">
        <f>IF(X4&lt;&gt;0,AJ4*1.2*(1+AW4)+AO4-X4,AK4*1.2*(1+AV4)+AO4)</f>
        <v>2711943.8949999996</v>
      </c>
      <c r="V4" s="64">
        <f>IF(ISNUMBER(U4),U4/$U$6*$V$6,"")</f>
        <v>89.490907997628668</v>
      </c>
      <c r="W4" s="64">
        <f>IF(ISNUMBER(T4),T4/$T$6*$W$6,"")</f>
        <v>98.277350277524576</v>
      </c>
      <c r="X4" s="68">
        <f>_xlfn.XLOOKUP(A4,'[1]My Input'!$B:$B,'[1]My Input'!$I:$I)</f>
        <v>0</v>
      </c>
      <c r="Y4" s="65"/>
      <c r="Z4" s="66">
        <f>IF(AD4&lt;&gt;0,AM4*1.2*(1+AQ4)+AO4-AD4,AL4*(1-AG4)*1.2*(1+AQ4)+AO4)</f>
        <v>2978209.3629999999</v>
      </c>
      <c r="AA4" s="63">
        <f>IF(AD4&lt;&gt;0,AJ4*1.2*(1+AX4)+AO4-AD4,AH4*(1-AG4)*1.2*(1+AV4)+AO4)</f>
        <v>2711943.8949999996</v>
      </c>
      <c r="AB4" s="64">
        <f>IF(ISNUMBER(AA4),AA4/$AA$6*$AB$6,"")</f>
        <v>83.636580910371478</v>
      </c>
      <c r="AC4" s="64">
        <f>IF(ISNUMBER(Z4),Z4/$Z$6*$AC$6,"")</f>
        <v>91.848230642166527</v>
      </c>
      <c r="AD4" s="69">
        <f>_xlfn.XLOOKUP(A4,'[1]My Input'!$B:$B,'[1]My Input'!$N:$N)</f>
        <v>0</v>
      </c>
      <c r="AE4" s="70"/>
      <c r="AF4" s="71">
        <v>0.16500000000000001</v>
      </c>
      <c r="AG4" s="72">
        <f>SUM(AF4,R4)</f>
        <v>0.16500000000000001</v>
      </c>
      <c r="AH4" s="73">
        <f>(H4-AO4)/1.2/(1+AQ4)</f>
        <v>1424489.9122807018</v>
      </c>
      <c r="AJ4" s="73">
        <f>AH4*(1-AF4)</f>
        <v>1189449.0767543858</v>
      </c>
      <c r="AK4" s="75">
        <f>AH4*(1-AF4-R4)</f>
        <v>1189449.0767543858</v>
      </c>
      <c r="AL4" s="76">
        <f>(K4-AO4)/1.2/(1+AQ4)</f>
        <v>1564349.9122807018</v>
      </c>
      <c r="AM4" s="76">
        <f>AL4*(1-AF4)</f>
        <v>1306232.1767543859</v>
      </c>
      <c r="AN4" s="76">
        <f>AL4*(1-AF4-R4)</f>
        <v>1306232.1767543859</v>
      </c>
      <c r="AO4" s="77">
        <f>_xlfn.XLOOKUP(A4,'[1]My Input'!$B:$B,'[1]My Input'!$T:$T)</f>
        <v>0</v>
      </c>
      <c r="AP4" s="78">
        <f>_xlfn.XLOOKUP(A4,'[1]My Input'!$B:$B,'[1]My Input'!$S:$S)</f>
        <v>1500</v>
      </c>
      <c r="AQ4" s="67">
        <v>0.9</v>
      </c>
      <c r="AS4" s="79">
        <v>2664</v>
      </c>
      <c r="AU4" s="74" t="s">
        <v>41</v>
      </c>
      <c r="AV4" s="67" cm="1">
        <f t="array" ref="AV4">_xlfn.IFS(
 AND(AY4="ICE",  AP4&lt;=1400,AND(AK4&gt;900000,  AK4&lt;=1100000)),                    80%,
 AND(AY4="ICE",  AP4&lt;=1400,AK4&gt;1100000),                                       90%,
 AND(AY4="ICE",  AND(AP4&gt;1400,AP4&lt;=1600),   AK4&lt;=850000),                      75%,
 AND(AY4="ICE",  AND(AP4&gt;1400,AP4&lt;=1600),   AND(AK4&gt;850000,AK4&lt;=1100000)),     80%,
 AND(AY4="ICE",  AND(AP4&gt;1400,AP4&lt;=1600),   AND(AK4&gt;1100000,AK4&lt;=1650000)),    90%,
 AND(AY4="ICE",  AND(AP4&gt;1400,AP4&lt;=1600),   AK4&gt;1650000),                      100%,
 AND(AY4="ICE",  AND(AP4&gt;1600,AP4&lt;=2000),   AK4&lt;=1650000),                     150%,
 AND(AY4="ICE",  AND(AP4&gt;1600,AP4&lt;=2000),   AK4&gt;1650000),                      170%,
 AND(AY4="ICE",  AP4&gt;2000),                                                    220%,
 AND(AY4="PHEV",  AP4&lt;=1600,                AK4&lt;=1350000),                     45%,
 AND(AY4="PHEV",  AP4&lt;=1600,                AK4&gt;1350000),                      75%,
 AND(AY4="PHEV",  AND(AP4&gt;1600,AP4&lt;=1800),  AK4&lt;=1350000),                     85%,
 AND(AY4="BEV",    AZ4&lt;=160,                 AK4&lt;=1650000),                     25%,
 AND(AY4="BEV",    AZ4&lt;=160,                 AK4&gt;1650000),                      55%,
 AND(AY4="BEV",    AZ4&gt; 160,                 AK4&lt;=1650000),                     65%,
 AND(AY4="BEV",    AZ4&gt; 160,                 AK4&gt;1650000),                      75%)</f>
        <v>0.9</v>
      </c>
      <c r="AW4" s="67" cm="1">
        <f t="array" ref="AW4">_xlfn.IFS(
 X4=0,AV4,
 AND(AY4="ICE",  AP4&lt;=1400,AND((AJ4-BA4)&gt;900000,  (AJ4-BA4)&lt;=1100000)),                    80%,
 AND(AY4="ICE",  AP4&lt;=1400,(AJ4-BA4)&gt;1100000),                                       90%,
 AND(AY4="ICE",  AND(AP4&gt;1400,AP4&lt;=1600),   (AJ4-BA4)&lt;=850000),                      75%,
 AND(AY4="ICE",  AND(AP4&gt;1400,AP4&lt;=1600),   AND((AJ4-BA4)&gt;850000,(AJ4-BA4)&lt;=1100000)),     80%,
 AND(AY4="ICE",  AND(AP4&gt;1400,AP4&lt;=1600),   AND((AJ4-BA4)&gt;1100000,(AJ4-BA4)&lt;=1650000)),    90%,
 AND(AY4="ICE",  AND(AP4&gt;1400,AP4&lt;=1600),   (AJ4-BA4)&gt;1650000),                      100%,
 AND(AY4="ICE",  AND(AP4&gt;1600,AP4&lt;=2000),   (AJ4-BA4)&lt;=1650000),                     150%,
 AND(AY4="ICE",  AND(AP4&gt;1600,AP4&lt;=2000),   (AJ4-BA4)&gt;1650000),                      170%,
 AND(AY4="ICE",  AP4&gt;2000),                                                    220%,
 AND(AY4="PHEV",  AP4&lt;=1600,                (AJ4-BA4)&lt;=1350000),                     45%,
 AND(AY4="PHEV",  AP4&lt;=1600,                (AJ4-BA4)&gt;1350000),                      75%,
 AND(AY4="PHEV",  AND(AP4&gt;1600,AP4&lt;=1800),  (AJ4-BA4)&lt;=1350000),                     85%,
 AND(AY4="BEV",    AZ4&lt;=160,                 (AJ4-BA4)&lt;=1650000),                     25%,
 AND(AY4="BEV",    AZ4&lt;=160,                 (AJ4-BA4)&gt;1650000),                      55%,
 AND(AY4="BEV",    AZ4&gt; 160,                 (AJ4-BA4)&lt;=1650000),                     65%,
 AND(AY4="BEV",    AZ4&gt; 160,                 (AJ4-BA4)&gt;1650000),                      75%)</f>
        <v>0.9</v>
      </c>
      <c r="AX4" s="67" cm="1">
        <f t="array" ref="AX4">_xlfn.IFS(
 AD4=0,AV4,
 AND(AY4="ICE",  AP4&lt;=1400,AND(AJ4&gt;900000,  AJ4&lt;=1100000)),                    80%,
 AND(AY4="ICE",  AP4&lt;=1400,AJ4&gt;1100000),                                       90%,
 AND(AY4="ICE",  AND(AP4&gt;1400,AP4&lt;=1600),   AJ4&lt;=850000),                      75%,
 AND(AY4="ICE",  AND(AP4&gt;1400,AP4&lt;=1600),   AND(AJ4&gt;850000,AJ4&lt;=1100000)),     80%,
 AND(AY4="ICE",  AND(AP4&gt;1400,AP4&lt;=1600),   AND(AJ4&gt;1100000,AJ4&lt;=1650000)),    90%,
 AND(AY4="ICE",  AND(AP4&gt;1400,AP4&lt;=1600),   AJ4&gt;1650000),                      100%,
 AND(AY4="ICE",  AND(AP4&gt;1600,AP4&lt;=2000),   AJ4&lt;=1650000),                     150%,
 AND(AY4="ICE",  AND(AP4&gt;1600,AP4&lt;=2000),   AJ4&gt;1650000),                      170%,
 AND(AY4="ICE",  AP4&gt;2000),                                                    220%,
 AND(AY4="PHEV",  AP4&lt;=1600,                AJ4&lt;=1350000),                     45%,
 AND(AY4="PHEV",  AP4&lt;=1600,                AJ4&gt;1350000),                      75%,
 AND(AY4="PHEV",  AND(AP4&gt;1600,AP4&lt;=1800),  AJ4&lt;=1350000),                     85%,
 AND(AY4="BEV",    AZ4&lt;=160,                 AJ4&lt;=1650000),                     25%,
 AND(AY4="BEV",    AZ4&lt;=160,                 AJ4&gt;1650000),                      55%,
 AND(AY4="BEV",    AZ4&gt; 160,                 AJ4&lt;=1650000),                     65%,
 AND(AY4="BEV",    AZ4&gt; 160,                 AJ4&gt;1650000),                      75%)</f>
        <v>0.9</v>
      </c>
      <c r="AY4" s="80" t="str">
        <f>_xlfn.XLOOKUP(A4,'[1]My Input'!$B:$B,'[1]My Input'!$V:$V)</f>
        <v>ICE</v>
      </c>
      <c r="AZ4" s="80" t="str">
        <f>_xlfn.IFNA(_xlfn.XLOOKUP(A4,'[1]kW Tescil'!$A:$A,'[1]kW Tescil'!$C:$C),"-")</f>
        <v>-</v>
      </c>
      <c r="BA4" s="81">
        <f>_xlfn.XLOOKUP(A4,'[1]My Input'!$B:$B,'[1]My Input'!$H:$H)</f>
        <v>0</v>
      </c>
      <c r="BC4" s="82">
        <v>8.3020617085785915</v>
      </c>
      <c r="BD4" s="82">
        <v>6.5557704289126519</v>
      </c>
      <c r="BF4" s="83">
        <v>10.425849213146734</v>
      </c>
      <c r="BG4" s="83">
        <v>8.9234982034632822</v>
      </c>
      <c r="BI4" s="84">
        <v>395561.75097177038</v>
      </c>
      <c r="BL4" s="83">
        <v>5.3241414129983013</v>
      </c>
    </row>
    <row r="5" spans="1:72" s="74" customFormat="1" ht="15" customHeight="1" x14ac:dyDescent="0.25">
      <c r="A5" s="57" t="s">
        <v>36</v>
      </c>
      <c r="B5" s="57" t="str">
        <f>D5&amp;E5&amp;F5</f>
        <v>AudiA3 Sportback 35 TFSIAdvanced</v>
      </c>
      <c r="C5" s="85" t="s">
        <v>42</v>
      </c>
      <c r="D5" s="86" t="s">
        <v>38</v>
      </c>
      <c r="E5" s="87" t="s">
        <v>39</v>
      </c>
      <c r="F5" s="88" t="s">
        <v>40</v>
      </c>
      <c r="G5" s="62"/>
      <c r="H5" s="89">
        <v>3347655</v>
      </c>
      <c r="I5" s="90">
        <f>H5/$H$6*$I$6</f>
        <v>94.659901801438025</v>
      </c>
      <c r="J5" s="65">
        <v>0.16500000000000001</v>
      </c>
      <c r="K5" s="91">
        <f>(((H5-AO5)/(1+AQ5)/1.2/$AS$1)+AS5)*(1+AQ5)*(1.2)*$AS$1+AO5</f>
        <v>3530676.3</v>
      </c>
      <c r="L5" s="90">
        <f>K5/$K$6*$L$6</f>
        <v>99.835100047843795</v>
      </c>
      <c r="M5" s="65"/>
      <c r="N5" s="91">
        <f>AN5*1.2*(1+AV5)+AO5</f>
        <v>2948114.7104999996</v>
      </c>
      <c r="O5" s="89">
        <f>AK5*1.2*(1+AV5)+AO5</f>
        <v>2795291.9249999998</v>
      </c>
      <c r="P5" s="90">
        <f>IF(ISNUMBER(O5),O5/$O$6*$P$6,"")</f>
        <v>88.810132588989603</v>
      </c>
      <c r="Q5" s="90">
        <f>IF(ISNUMBER(N5),N5/$N$6*$Q$6,"")</f>
        <v>93.665515213426474</v>
      </c>
      <c r="R5" s="67">
        <f>_xlfn.XLOOKUP(A5,'[1]My Input'!$B:$B,'[1]My Input'!$F:$F)</f>
        <v>0</v>
      </c>
      <c r="S5" s="65"/>
      <c r="T5" s="91">
        <f>IF(X5&lt;&gt;0,AM5*1.2*(1+AW5)+AO5-X5,AN5*1.2*(1+AV5)+AO5)</f>
        <v>2948114.7104999996</v>
      </c>
      <c r="U5" s="89">
        <f>IF(X5&lt;&gt;0,AJ5*1.2*(1+AW5)+AO5-X5,AK5*1.2*(1+AV5)+AO5)</f>
        <v>2795291.9249999998</v>
      </c>
      <c r="V5" s="90">
        <f>IF(ISNUMBER(U5),U5/$U$6*$V$6,"")</f>
        <v>92.241293393973166</v>
      </c>
      <c r="W5" s="90">
        <f>IF(ISNUMBER(T5),T5/$T$6*$W$6,"")</f>
        <v>97.284262705520021</v>
      </c>
      <c r="X5" s="92">
        <f>_xlfn.XLOOKUP(A5,'[1]My Input'!$B:$B,'[1]My Input'!$I:$I)</f>
        <v>0</v>
      </c>
      <c r="Y5" s="65"/>
      <c r="Z5" s="91">
        <f>IF(AD5&lt;&gt;0,AM5*1.2*(1+AQ5)+AO5-AD5,AL5*(1-AG5)*1.2*(1+AQ5)+AO5)</f>
        <v>2948114.7104999996</v>
      </c>
      <c r="AA5" s="89">
        <f>IF(AD5&lt;&gt;0,AJ5*1.2*(1+AX5)+AO5-AD5,AH5*(1-AG5)*1.2*(1+AV5)+AO5)</f>
        <v>2795291.9249999998</v>
      </c>
      <c r="AB5" s="90">
        <f>IF(ISNUMBER(AA5),AA5/$AA$6*$AB$6,"")</f>
        <v>86.207041260848271</v>
      </c>
      <c r="AC5" s="90">
        <f>IF(ISNUMBER(Z5),Z5/$Z$6*$AC$6,"")</f>
        <v>90.920108993548951</v>
      </c>
      <c r="AD5" s="93">
        <f>_xlfn.XLOOKUP(A5,'[1]My Input'!$B:$B,'[1]My Input'!$N:$N)</f>
        <v>0</v>
      </c>
      <c r="AE5" s="70"/>
      <c r="AF5" s="71">
        <f>_xlfn.XLOOKUP(A5,'[1]My Input'!$B:$B,'[1]My Input'!$E:$E)</f>
        <v>0.16500000000000001</v>
      </c>
      <c r="AG5" s="72">
        <f>_xlfn.XLOOKUP(A5,'[1]My Input'!$B:$B,'[1]My Input'!$G:$G)</f>
        <v>0.16500000000000001</v>
      </c>
      <c r="AH5" s="73">
        <f>(H5-AO5)/1.2/(1+AQ5)</f>
        <v>1468269.7368421054</v>
      </c>
      <c r="AJ5" s="73">
        <f>AH5*(1-AF5)</f>
        <v>1226005.230263158</v>
      </c>
      <c r="AK5" s="75">
        <f>AH5*(1-AF5-R5)</f>
        <v>1226005.230263158</v>
      </c>
      <c r="AL5" s="76">
        <f>(K5-AO5)/1.2/(1+AQ5)</f>
        <v>1548542.2368421054</v>
      </c>
      <c r="AM5" s="76">
        <f>AL5*(1-AF5)</f>
        <v>1293032.7677631578</v>
      </c>
      <c r="AN5" s="76">
        <f>AL5*(1-AF5-R5)</f>
        <v>1293032.7677631578</v>
      </c>
      <c r="AO5" s="77">
        <f>_xlfn.XLOOKUP(A5,'[1]My Input'!$B:$B,'[1]My Input'!$T:$T)</f>
        <v>0</v>
      </c>
      <c r="AP5" s="78">
        <f>_xlfn.XLOOKUP(A5,'[1]My Input'!$B:$B,'[1]My Input'!$S:$S)</f>
        <v>1500</v>
      </c>
      <c r="AQ5" s="67">
        <f>_xlfn.XLOOKUP(A5,'[1]My Input'!$B:$B,'[1]My Input'!$U:$U)</f>
        <v>0.9</v>
      </c>
      <c r="AS5" s="79">
        <v>1529</v>
      </c>
      <c r="AU5" s="74" t="s">
        <v>41</v>
      </c>
      <c r="AV5" s="67" cm="1">
        <f t="array" ref="AV5">_xlfn.IFS(
 AND(AY5="ICE",  AP5&lt;=1400,AND(AK5&gt;900000,  AK5&lt;=1100000)),                    80%,
 AND(AY5="ICE",  AP5&lt;=1400,AK5&gt;1100000),                                       90%,
 AND(AY5="ICE",  AND(AP5&gt;1400,AP5&lt;=1600),   AK5&lt;=850000),                      75%,
 AND(AY5="ICE",  AND(AP5&gt;1400,AP5&lt;=1600),   AND(AK5&gt;850000,AK5&lt;=1100000)),     80%,
 AND(AY5="ICE",  AND(AP5&gt;1400,AP5&lt;=1600),   AND(AK5&gt;1100000,AK5&lt;=1650000)),    90%,
 AND(AY5="ICE",  AND(AP5&gt;1400,AP5&lt;=1600),   AK5&gt;1650000),                      100%,
 AND(AY5="ICE",  AND(AP5&gt;1600,AP5&lt;=2000),   AK5&lt;=1650000),                     150%,
 AND(AY5="ICE",  AND(AP5&gt;1600,AP5&lt;=2000),   AK5&gt;1650000),                      170%,
 AND(AY5="ICE",  AP5&gt;2000),                                                    220%,
 AND(AY5="PHEV",  AP5&lt;=1600,                AK5&lt;=1350000),                     45%,
 AND(AY5="PHEV",  AP5&lt;=1600,                AK5&gt;1350000),                      75%,
 AND(AY5="PHEV",  AND(AP5&gt;1600,AP5&lt;=1800),  AK5&lt;=1350000),                     85%,
 AND(AY5="BEV",    AZ5&lt;=160,                 AK5&lt;=1650000),                     25%,
 AND(AY5="BEV",    AZ5&lt;=160,                 AK5&gt;1650000),                      55%,
 AND(AY5="BEV",    AZ5&gt; 160,                 AK5&lt;=1650000),                     65%,
 AND(AY5="BEV",    AZ5&gt; 160,                 AK5&gt;1650000),                      75%)</f>
        <v>0.9</v>
      </c>
      <c r="AW5" s="67" cm="1">
        <f t="array" ref="AW5">_xlfn.IFS(
 X5=0,AV5,
 AND(AY5="ICE",  AP5&lt;=1400,AND((AJ5-BA5)&gt;900000,  (AJ5-BA5)&lt;=1100000)),                    80%,
 AND(AY5="ICE",  AP5&lt;=1400,(AJ5-BA5)&gt;1100000),                                       90%,
 AND(AY5="ICE",  AND(AP5&gt;1400,AP5&lt;=1600),   (AJ5-BA5)&lt;=850000),                      75%,
 AND(AY5="ICE",  AND(AP5&gt;1400,AP5&lt;=1600),   AND((AJ5-BA5)&gt;850000,(AJ5-BA5)&lt;=1100000)),     80%,
 AND(AY5="ICE",  AND(AP5&gt;1400,AP5&lt;=1600),   AND((AJ5-BA5)&gt;1100000,(AJ5-BA5)&lt;=1650000)),    90%,
 AND(AY5="ICE",  AND(AP5&gt;1400,AP5&lt;=1600),   (AJ5-BA5)&gt;1650000),                      100%,
 AND(AY5="ICE",  AND(AP5&gt;1600,AP5&lt;=2000),   (AJ5-BA5)&lt;=1650000),                     150%,
 AND(AY5="ICE",  AND(AP5&gt;1600,AP5&lt;=2000),   (AJ5-BA5)&gt;1650000),                      170%,
 AND(AY5="ICE",  AP5&gt;2000),                                                    220%,
 AND(AY5="PHEV",  AP5&lt;=1600,                (AJ5-BA5)&lt;=1350000),                     45%,
 AND(AY5="PHEV",  AP5&lt;=1600,                (AJ5-BA5)&gt;1350000),                      75%,
 AND(AY5="PHEV",  AND(AP5&gt;1600,AP5&lt;=1800),  (AJ5-BA5)&lt;=1350000),                     85%,
 AND(AY5="BEV",    AZ5&lt;=160,                 (AJ5-BA5)&lt;=1650000),                     25%,
 AND(AY5="BEV",    AZ5&lt;=160,                 (AJ5-BA5)&gt;1650000),                      55%,
 AND(AY5="BEV",    AZ5&gt; 160,                 (AJ5-BA5)&lt;=1650000),                     65%,
 AND(AY5="BEV",    AZ5&gt; 160,                 (AJ5-BA5)&gt;1650000),                      75%)</f>
        <v>0.9</v>
      </c>
      <c r="AX5" s="67" cm="1">
        <f t="array" ref="AX5">_xlfn.IFS(
 AD5=0,AV5,
 AND(AY5="ICE",  AP5&lt;=1400,AND(AJ5&gt;900000,  AJ5&lt;=1100000)),                    80%,
 AND(AY5="ICE",  AP5&lt;=1400,AJ5&gt;1100000),                                       90%,
 AND(AY5="ICE",  AND(AP5&gt;1400,AP5&lt;=1600),   AJ5&lt;=850000),                      75%,
 AND(AY5="ICE",  AND(AP5&gt;1400,AP5&lt;=1600),   AND(AJ5&gt;850000,AJ5&lt;=1100000)),     80%,
 AND(AY5="ICE",  AND(AP5&gt;1400,AP5&lt;=1600),   AND(AJ5&gt;1100000,AJ5&lt;=1650000)),    90%,
 AND(AY5="ICE",  AND(AP5&gt;1400,AP5&lt;=1600),   AJ5&gt;1650000),                      100%,
 AND(AY5="ICE",  AND(AP5&gt;1600,AP5&lt;=2000),   AJ5&lt;=1650000),                     150%,
 AND(AY5="ICE",  AND(AP5&gt;1600,AP5&lt;=2000),   AJ5&gt;1650000),                      170%,
 AND(AY5="ICE",  AP5&gt;2000),                                                    220%,
 AND(AY5="PHEV",  AP5&lt;=1600,                AJ5&lt;=1350000),                     45%,
 AND(AY5="PHEV",  AP5&lt;=1600,                AJ5&gt;1350000),                      75%,
 AND(AY5="PHEV",  AND(AP5&gt;1600,AP5&lt;=1800),  AJ5&lt;=1350000),                     85%,
 AND(AY5="BEV",    AZ5&lt;=160,                 AJ5&lt;=1650000),                     25%,
 AND(AY5="BEV",    AZ5&lt;=160,                 AJ5&gt;1650000),                      55%,
 AND(AY5="BEV",    AZ5&gt; 160,                 AJ5&lt;=1650000),                     65%,
 AND(AY5="BEV",    AZ5&gt; 160,                 AJ5&gt;1650000),                      75%)</f>
        <v>0.9</v>
      </c>
      <c r="AY5" s="80" t="str">
        <f>_xlfn.XLOOKUP(A5,'[1]My Input'!$B:$B,'[1]My Input'!$V:$V)</f>
        <v>ICE</v>
      </c>
      <c r="AZ5" s="80" t="str">
        <f>_xlfn.IFNA(_xlfn.XLOOKUP(A5,'[1]kW Tescil'!$A:$A,'[1]kW Tescil'!$C:$C),"-")</f>
        <v>-</v>
      </c>
      <c r="BA5" s="81">
        <f>_xlfn.XLOOKUP(A5,'[1]My Input'!$B:$B,'[1]My Input'!$H:$H)</f>
        <v>0</v>
      </c>
      <c r="BC5" s="82">
        <v>9.6648341512570823</v>
      </c>
      <c r="BD5" s="82">
        <v>12.470828230249438</v>
      </c>
      <c r="BF5" s="83">
        <v>12.039341310030181</v>
      </c>
      <c r="BG5" s="83">
        <v>14.924495177817903</v>
      </c>
      <c r="BI5" s="84">
        <v>453981.39327033376</v>
      </c>
      <c r="BL5" s="83">
        <v>8.5351079029395578</v>
      </c>
    </row>
    <row r="6" spans="1:72" s="74" customFormat="1" ht="15" customHeight="1" thickBot="1" x14ac:dyDescent="0.3">
      <c r="A6" s="57" t="s">
        <v>43</v>
      </c>
      <c r="B6" s="57" t="str">
        <f>D6&amp;E6&amp;F6</f>
        <v>BMW120Sport Line</v>
      </c>
      <c r="C6" s="58" t="s">
        <v>37</v>
      </c>
      <c r="D6" s="94" t="s">
        <v>44</v>
      </c>
      <c r="E6" s="95">
        <v>120</v>
      </c>
      <c r="F6" s="96" t="s">
        <v>45</v>
      </c>
      <c r="G6" s="97"/>
      <c r="H6" s="98">
        <v>3536508</v>
      </c>
      <c r="I6" s="99">
        <v>100</v>
      </c>
      <c r="J6" s="65">
        <v>0.11</v>
      </c>
      <c r="K6" s="100">
        <f>(((H6-AO6)/(1+AQ6)/1.2/$AS$1)+AS6)*(1+AQ6)*(1.2)*$AS$1+AO6</f>
        <v>3536508</v>
      </c>
      <c r="L6" s="99">
        <v>100</v>
      </c>
      <c r="M6" s="101"/>
      <c r="N6" s="100">
        <f>AN6*1.2*(1+AV6)+AO6</f>
        <v>3147492.12</v>
      </c>
      <c r="O6" s="98">
        <f>AK6*1.2*(1+AV6)+AO6</f>
        <v>3147492.12</v>
      </c>
      <c r="P6" s="99">
        <v>100</v>
      </c>
      <c r="Q6" s="99">
        <v>100</v>
      </c>
      <c r="R6" s="67">
        <f>_xlfn.XLOOKUP(A6,'[1]My Input'!$B:$B,'[1]My Input'!$F:$F)</f>
        <v>0.08</v>
      </c>
      <c r="S6" s="101"/>
      <c r="T6" s="100">
        <f>IF(X6&lt;&gt;0,AM6*1.2*(1+AW6)+AO6-X6,AN6*1.2*(1+AV6)+AO6)</f>
        <v>3030412.76</v>
      </c>
      <c r="U6" s="98">
        <f>IF(X6&lt;&gt;0,AJ6*1.2*(1+AW6)+AO6-X6,AK6*1.2*(1+AV6)+AO6)</f>
        <v>3030412.76</v>
      </c>
      <c r="V6" s="99">
        <v>100</v>
      </c>
      <c r="W6" s="99">
        <v>100</v>
      </c>
      <c r="X6" s="102">
        <f>_xlfn.XLOOKUP(A6,'[1]My Input'!$B:$B,'[1]My Input'!$I:$I)</f>
        <v>400000</v>
      </c>
      <c r="Y6" s="101"/>
      <c r="Z6" s="100">
        <f>IF(AD6&lt;&gt;0,AM6*1.2*(1+AQ6)+AO6-AD6,AL6*(1-AG6)*1.2*(1+AQ6)+AO6)</f>
        <v>3242533.19</v>
      </c>
      <c r="AA6" s="98">
        <f>IF(AD6&lt;&gt;0,AJ6*1.2*(1+AX6)+AO6-AD6,AH6*(1-AG6)*1.2*(1+AV6)+AO6)</f>
        <v>3242533.19</v>
      </c>
      <c r="AB6" s="99">
        <v>100</v>
      </c>
      <c r="AC6" s="99">
        <v>100</v>
      </c>
      <c r="AD6" s="98">
        <f>_xlfn.XLOOKUP(A6,'[1]My Input'!$B:$B,'[1]My Input'!$N:$N)</f>
        <v>187879.57</v>
      </c>
      <c r="AE6" s="70"/>
      <c r="AF6" s="71">
        <f>_xlfn.XLOOKUP(A6,'[1]My Input'!$B:$B,'[1]My Input'!$E:$E)</f>
        <v>0.03</v>
      </c>
      <c r="AG6" s="72">
        <f>_xlfn.XLOOKUP(A6,'[1]My Input'!$B:$B,'[1]My Input'!$G:$G)</f>
        <v>0.11</v>
      </c>
      <c r="AH6" s="73">
        <f>(H6-AO6)/1.2/(1+AQ6)</f>
        <v>1551100</v>
      </c>
      <c r="AJ6" s="73">
        <f>AH6*(1-AF6)</f>
        <v>1504567</v>
      </c>
      <c r="AK6" s="75">
        <f>AH6*(1-AF6-R6)</f>
        <v>1380479</v>
      </c>
      <c r="AL6" s="76">
        <f>(K6-AO6)/1.2/(1+AQ6)</f>
        <v>1551100</v>
      </c>
      <c r="AM6" s="76">
        <f>AL6*(1-AF6)</f>
        <v>1504567</v>
      </c>
      <c r="AN6" s="76">
        <f>AL6*(1-AF6-R6)</f>
        <v>1380479</v>
      </c>
      <c r="AO6" s="77">
        <f>_xlfn.XLOOKUP(A6,'[1]My Input'!$B:$B,'[1]My Input'!$T:$T)</f>
        <v>0</v>
      </c>
      <c r="AP6" s="78">
        <f>_xlfn.XLOOKUP(A6,'[1]My Input'!$B:$B,'[1]My Input'!$S:$S)</f>
        <v>1600</v>
      </c>
      <c r="AQ6" s="67">
        <f>_xlfn.XLOOKUP(A6,'[1]My Input'!$B:$B,'[1]My Input'!$U:$U)</f>
        <v>0.9</v>
      </c>
      <c r="AS6" s="103">
        <f>_xlfn.XLOOKUP(A6,'[1]My Input'!$B:$B,'[1]My Input'!$Q:$Q)</f>
        <v>0</v>
      </c>
      <c r="AU6" s="74" t="s">
        <v>41</v>
      </c>
      <c r="AV6" s="67" cm="1">
        <f t="array" ref="AV6">_xlfn.IFS(
 AND(AY6="ICE",  AP6&lt;=1400,AND(AK6&gt;900000,  AK6&lt;=1100000)),                    80%,
 AND(AY6="ICE",  AP6&lt;=1400,AK6&gt;1100000),                                       90%,
 AND(AY6="ICE",  AND(AP6&gt;1400,AP6&lt;=1600),   AK6&lt;=850000),                      75%,
 AND(AY6="ICE",  AND(AP6&gt;1400,AP6&lt;=1600),   AND(AK6&gt;850000,AK6&lt;=1100000)),     80%,
 AND(AY6="ICE",  AND(AP6&gt;1400,AP6&lt;=1600),   AND(AK6&gt;1100000,AK6&lt;=1650000)),    90%,
 AND(AY6="ICE",  AND(AP6&gt;1400,AP6&lt;=1600),   AK6&gt;1650000),                      100%,
 AND(AY6="ICE",  AND(AP6&gt;1600,AP6&lt;=2000),   AK6&lt;=1650000),                     150%,
 AND(AY6="ICE",  AND(AP6&gt;1600,AP6&lt;=2000),   AK6&gt;1650000),                      170%,
 AND(AY6="ICE",  AP6&gt;2000),                                                    220%,
 AND(AY6="PHEV",  AP6&lt;=1600,                AK6&lt;=1350000),                     45%,
 AND(AY6="PHEV",  AP6&lt;=1600,                AK6&gt;1350000),                      75%,
 AND(AY6="PHEV",  AND(AP6&gt;1600,AP6&lt;=1800),  AK6&lt;=1350000),                     85%,
 AND(AY6="BEV",    AZ6&lt;=160,                 AK6&lt;=1650000),                     25%,
 AND(AY6="BEV",    AZ6&lt;=160,                 AK6&gt;1650000),                      55%,
 AND(AY6="BEV",    AZ6&gt; 160,                 AK6&lt;=1650000),                     65%,
 AND(AY6="BEV",    AZ6&gt; 160,                 AK6&gt;1650000),                      75%)</f>
        <v>0.9</v>
      </c>
      <c r="AW6" s="67" cm="1">
        <f t="array" ref="AW6">_xlfn.IFS(
 X6=0,AV6,
 AND(AY6="ICE",  AP6&lt;=1400,AND((AJ6-BA6)&gt;900000,  (AJ6-BA6)&lt;=1100000)),                    80%,
 AND(AY6="ICE",  AP6&lt;=1400,(AJ6-BA6)&gt;1100000),                                       90%,
 AND(AY6="ICE",  AND(AP6&gt;1400,AP6&lt;=1600),   (AJ6-BA6)&lt;=850000),                      75%,
 AND(AY6="ICE",  AND(AP6&gt;1400,AP6&lt;=1600),   AND((AJ6-BA6)&gt;850000,(AJ6-BA6)&lt;=1100000)),     80%,
 AND(AY6="ICE",  AND(AP6&gt;1400,AP6&lt;=1600),   AND((AJ6-BA6)&gt;1100000,(AJ6-BA6)&lt;=1650000)),    90%,
 AND(AY6="ICE",  AND(AP6&gt;1400,AP6&lt;=1600),   (AJ6-BA6)&gt;1650000),                      100%,
 AND(AY6="ICE",  AND(AP6&gt;1600,AP6&lt;=2000),   (AJ6-BA6)&lt;=1650000),                     150%,
 AND(AY6="ICE",  AND(AP6&gt;1600,AP6&lt;=2000),   (AJ6-BA6)&gt;1650000),                      170%,
 AND(AY6="ICE",  AP6&gt;2000),                                                    220%,
 AND(AY6="PHEV",  AP6&lt;=1600,                (AJ6-BA6)&lt;=1350000),                     45%,
 AND(AY6="PHEV",  AP6&lt;=1600,                (AJ6-BA6)&gt;1350000),                      75%,
 AND(AY6="PHEV",  AND(AP6&gt;1600,AP6&lt;=1800),  (AJ6-BA6)&lt;=1350000),                     85%,
 AND(AY6="BEV",    AZ6&lt;=160,                 (AJ6-BA6)&lt;=1650000),                     25%,
 AND(AY6="BEV",    AZ6&lt;=160,                 (AJ6-BA6)&gt;1650000),                      55%,
 AND(AY6="BEV",    AZ6&gt; 160,                 (AJ6-BA6)&lt;=1650000),                     65%,
 AND(AY6="BEV",    AZ6&gt; 160,                 (AJ6-BA6)&gt;1650000),                      75%)</f>
        <v>0.9</v>
      </c>
      <c r="AX6" s="67" cm="1">
        <f t="array" ref="AX6">_xlfn.IFS(
 AD6=0,AV6,
 AND(AY6="ICE",  AP6&lt;=1400,AND(AJ6&gt;900000,  AJ6&lt;=1100000)),                    80%,
 AND(AY6="ICE",  AP6&lt;=1400,AJ6&gt;1100000),                                       90%,
 AND(AY6="ICE",  AND(AP6&gt;1400,AP6&lt;=1600),   AJ6&lt;=850000),                      75%,
 AND(AY6="ICE",  AND(AP6&gt;1400,AP6&lt;=1600),   AND(AJ6&gt;850000,AJ6&lt;=1100000)),     80%,
 AND(AY6="ICE",  AND(AP6&gt;1400,AP6&lt;=1600),   AND(AJ6&gt;1100000,AJ6&lt;=1650000)),    90%,
 AND(AY6="ICE",  AND(AP6&gt;1400,AP6&lt;=1600),   AJ6&gt;1650000),                      100%,
 AND(AY6="ICE",  AND(AP6&gt;1600,AP6&lt;=2000),   AJ6&lt;=1650000),                     150%,
 AND(AY6="ICE",  AND(AP6&gt;1600,AP6&lt;=2000),   AJ6&gt;1650000),                      170%,
 AND(AY6="ICE",  AP6&gt;2000),                                                    220%,
 AND(AY6="PHEV",  AP6&lt;=1600,                AJ6&lt;=1350000),                     45%,
 AND(AY6="PHEV",  AP6&lt;=1600,                AJ6&gt;1350000),                      75%,
 AND(AY6="PHEV",  AND(AP6&gt;1600,AP6&lt;=1800),  AJ6&lt;=1350000),                     85%,
 AND(AY6="BEV",    AZ6&lt;=160,                 AJ6&lt;=1650000),                     25%,
 AND(AY6="BEV",    AZ6&lt;=160,                 AJ6&gt;1650000),                      55%,
 AND(AY6="BEV",    AZ6&gt; 160,                 AJ6&lt;=1650000),                     65%,
 AND(AY6="BEV",    AZ6&gt; 160,                 AJ6&gt;1650000),                      75%)</f>
        <v>0.9</v>
      </c>
      <c r="AY6" s="80" t="str">
        <f>_xlfn.XLOOKUP(A6,'[1]My Input'!$B:$B,'[1]My Input'!$V:$V)</f>
        <v>ICE</v>
      </c>
      <c r="AZ6" s="80" t="str">
        <f>_xlfn.IFNA(_xlfn.XLOOKUP(A6,'[1]kW Tescil'!$A:$A,'[1]kW Tescil'!$C:$C),"-")</f>
        <v>-</v>
      </c>
      <c r="BA6" s="81">
        <f>_xlfn.XLOOKUP(A6,'[1]My Input'!$B:$B,'[1]My Input'!$H:$H)</f>
        <v>175438.59649122809</v>
      </c>
      <c r="BC6" s="82">
        <v>0</v>
      </c>
      <c r="BD6" s="82">
        <v>0</v>
      </c>
      <c r="BF6" s="83">
        <v>0</v>
      </c>
      <c r="BG6" s="83">
        <v>0</v>
      </c>
      <c r="BI6" s="84">
        <v>80745.459999999497</v>
      </c>
      <c r="BL6" s="83">
        <v>0</v>
      </c>
      <c r="BT6" s="84"/>
    </row>
    <row r="7" spans="1:72" s="117" customFormat="1" ht="7.15" customHeight="1" thickBot="1" x14ac:dyDescent="0.3">
      <c r="A7" s="57"/>
      <c r="B7" s="57"/>
      <c r="C7" s="104"/>
      <c r="D7" s="105"/>
      <c r="E7" s="106"/>
      <c r="F7" s="106"/>
      <c r="G7" s="107"/>
      <c r="H7" s="108"/>
      <c r="I7" s="109"/>
      <c r="J7" s="65"/>
      <c r="K7" s="108"/>
      <c r="L7" s="109"/>
      <c r="M7" s="110"/>
      <c r="N7" s="108"/>
      <c r="O7" s="108"/>
      <c r="P7" s="109"/>
      <c r="Q7" s="109"/>
      <c r="R7" s="111"/>
      <c r="S7" s="110"/>
      <c r="T7" s="108"/>
      <c r="U7" s="108"/>
      <c r="V7" s="109"/>
      <c r="W7" s="109"/>
      <c r="X7" s="112"/>
      <c r="Y7" s="110"/>
      <c r="Z7" s="108"/>
      <c r="AA7" s="108"/>
      <c r="AB7" s="109"/>
      <c r="AC7" s="109"/>
      <c r="AD7" s="113"/>
      <c r="AE7" s="114"/>
      <c r="AF7" s="115"/>
      <c r="AG7" s="19"/>
      <c r="AH7" s="116"/>
      <c r="AJ7" s="116"/>
      <c r="AK7" s="21"/>
      <c r="AL7" s="20"/>
      <c r="AM7" s="76"/>
      <c r="AN7" s="20"/>
      <c r="AO7" s="116"/>
      <c r="AP7" s="78"/>
      <c r="AQ7" s="67"/>
      <c r="AS7" s="118"/>
      <c r="AU7" s="74"/>
      <c r="AV7" s="67"/>
      <c r="AW7" s="67"/>
      <c r="AX7" s="67"/>
      <c r="AY7" s="80"/>
      <c r="AZ7" s="80"/>
      <c r="BA7" s="81"/>
      <c r="BC7" s="119"/>
      <c r="BF7" s="83">
        <v>0</v>
      </c>
      <c r="BG7" s="83">
        <v>0</v>
      </c>
      <c r="BI7" s="84">
        <v>0</v>
      </c>
      <c r="BL7" s="83">
        <v>0</v>
      </c>
    </row>
    <row r="8" spans="1:72" s="74" customFormat="1" ht="15" hidden="1" customHeight="1" thickBot="1" x14ac:dyDescent="0.3">
      <c r="A8" s="57" t="s">
        <v>46</v>
      </c>
      <c r="B8" s="57" t="str">
        <f t="shared" ref="B8:B93" si="0">D8&amp;E8&amp;F8</f>
        <v>MBA 200AMG</v>
      </c>
      <c r="C8" s="58" t="s">
        <v>37</v>
      </c>
      <c r="D8" s="59" t="s">
        <v>47</v>
      </c>
      <c r="E8" s="60" t="s">
        <v>48</v>
      </c>
      <c r="F8" s="61" t="s">
        <v>49</v>
      </c>
      <c r="G8" s="62"/>
      <c r="H8" s="63">
        <v>3255957</v>
      </c>
      <c r="I8" s="64">
        <f>H8/$H$11*$I$11</f>
        <v>77.777005411975139</v>
      </c>
      <c r="J8" s="65"/>
      <c r="K8" s="66">
        <f>(((H8-AO8)/(1+AQ8)/1.2/$AS$1)+AS8)*(1+AQ8)*(1.2)*$AS$1+AO8</f>
        <v>3222800.1000000006</v>
      </c>
      <c r="L8" s="64">
        <f>K8/$K$11*$L$11</f>
        <v>76.984966576467087</v>
      </c>
      <c r="M8" s="65"/>
      <c r="N8" s="66">
        <f>AN8*1.2*(1+AV8)+AO8</f>
        <v>3190572.0990000004</v>
      </c>
      <c r="O8" s="63">
        <f>AK8*1.2*(1+AV8)+AO8</f>
        <v>3223397.4299999997</v>
      </c>
      <c r="P8" s="64">
        <f>IF(ISNUMBER(O8),O8/$O$11*$P$11,"")</f>
        <v>91.069468193797036</v>
      </c>
      <c r="Q8" s="64">
        <f>IF(ISNUMBER(N8),N8/$N$11*$Q$11,"")</f>
        <v>90.142066127383103</v>
      </c>
      <c r="R8" s="67">
        <f>_xlfn.XLOOKUP(A8,'[1]My Input'!$B:$B,'[1]My Input'!$F:$F)</f>
        <v>0</v>
      </c>
      <c r="S8" s="65"/>
      <c r="T8" s="66">
        <f>IF(X8&lt;&gt;0,AM8*1.2*(1+AW8)+AO8-X8,AN8*1.2*(1+AV8)+AO8)</f>
        <v>3190572.0990000004</v>
      </c>
      <c r="U8" s="63">
        <f>IF(X8&lt;&gt;0,AJ8*1.2*(1+AW8)+AO8-X8,AK8*1.2*(1+AV8)+AO8)</f>
        <v>3223397.4299999997</v>
      </c>
      <c r="V8" s="64">
        <f>IF(ISNUMBER(U8),U8/$U$11*$V$11,"")</f>
        <v>93.225102545149497</v>
      </c>
      <c r="W8" s="64">
        <f>IF(ISNUMBER(T8),T8/$T$11*$W$11,"")</f>
        <v>92.275748667755153</v>
      </c>
      <c r="X8" s="68">
        <f>_xlfn.XLOOKUP(A8,'[1]My Input'!$B:$B,'[1]My Input'!$I:$I)</f>
        <v>0</v>
      </c>
      <c r="Y8" s="65"/>
      <c r="Z8" s="66">
        <f t="shared" ref="Z8:Z93" si="1">IF(AD8&lt;&gt;0,AM8*1.2*(1+AQ8)+AO8-AD8,AL8*(1-AG8)*1.2*(1+AQ8)+AO8)</f>
        <v>3109755.2690000003</v>
      </c>
      <c r="AA8" s="63">
        <f>IF(AD8&lt;&gt;0,AJ8*1.2*(1+AX8)+AO8-AD8,AH8*(1-AG8)*1.2*(1+AV8)+AO8)</f>
        <v>3142580.5999999996</v>
      </c>
      <c r="AB8" s="64">
        <f>IF(ISNUMBER(AA8),AA8/$AA$11*$AB$11,"")</f>
        <v>81.144834102344149</v>
      </c>
      <c r="AC8" s="64">
        <f>IF(ISNUMBER(Z8),Z8/$Z$11*$AC$11,"")</f>
        <v>80.297248510315242</v>
      </c>
      <c r="AD8" s="69">
        <f>_xlfn.XLOOKUP(A8,'[1]My Input'!$B:$B,'[1]My Input'!$N:$N)</f>
        <v>80816.83</v>
      </c>
      <c r="AE8" s="70"/>
      <c r="AF8" s="71">
        <f>_xlfn.XLOOKUP(A8,'[1]My Input'!$B:$B,'[1]My Input'!$E:$E)</f>
        <v>0.01</v>
      </c>
      <c r="AG8" s="72">
        <f>_xlfn.XLOOKUP(A8,'[1]My Input'!$B:$B,'[1]My Input'!$G:$G)</f>
        <v>0.01</v>
      </c>
      <c r="AH8" s="73">
        <f>(H8-AO8)/1.2/(1+AQ8)</f>
        <v>1428051.3157894737</v>
      </c>
      <c r="AJ8" s="73">
        <f>AH8*(1-AF8)</f>
        <v>1413770.8026315789</v>
      </c>
      <c r="AK8" s="75">
        <f>AH8*(1-AF8-R8)</f>
        <v>1413770.8026315789</v>
      </c>
      <c r="AL8" s="76">
        <f>(K8-AO8)/1.2/(1+AQ8)</f>
        <v>1413508.8157894739</v>
      </c>
      <c r="AM8" s="76">
        <f>AL8*(1-AF8)</f>
        <v>1399373.7276315792</v>
      </c>
      <c r="AN8" s="76">
        <f>AL8*(1-AF8-R8)</f>
        <v>1399373.7276315792</v>
      </c>
      <c r="AO8" s="77">
        <f>_xlfn.XLOOKUP(A8,'[1]My Input'!$B:$B,'[1]My Input'!$T:$T)</f>
        <v>0</v>
      </c>
      <c r="AP8" s="78">
        <f>_xlfn.XLOOKUP(A8,'[1]My Input'!$B:$B,'[1]My Input'!$S:$S)</f>
        <v>1300</v>
      </c>
      <c r="AQ8" s="67">
        <f>_xlfn.XLOOKUP(A8,'[1]My Input'!$B:$B,'[1]My Input'!$U:$U)</f>
        <v>0.9</v>
      </c>
      <c r="AS8" s="79">
        <v>-277</v>
      </c>
      <c r="AU8" s="74" t="s">
        <v>41</v>
      </c>
      <c r="AV8" s="67" cm="1">
        <f t="array" ref="AV8">_xlfn.IFS(
 AND(AY8="ICE",  AP8&lt;=1400,AND(AK8&gt;900000,  AK8&lt;=1100000)),                    80%,
 AND(AY8="ICE",  AP8&lt;=1400,AK8&gt;1100000),                                       90%,
 AND(AY8="ICE",  AND(AP8&gt;1400,AP8&lt;=1600),   AK8&lt;=850000),                      75%,
 AND(AY8="ICE",  AND(AP8&gt;1400,AP8&lt;=1600),   AND(AK8&gt;850000,AK8&lt;=1100000)),     80%,
 AND(AY8="ICE",  AND(AP8&gt;1400,AP8&lt;=1600),   AND(AK8&gt;1100000,AK8&lt;=1650000)),    90%,
 AND(AY8="ICE",  AND(AP8&gt;1400,AP8&lt;=1600),   AK8&gt;1650000),                      100%,
 AND(AY8="ICE",  AND(AP8&gt;1600,AP8&lt;=2000),   AK8&lt;=1650000),                     150%,
 AND(AY8="ICE",  AND(AP8&gt;1600,AP8&lt;=2000),   AK8&gt;1650000),                      170%,
 AND(AY8="ICE",  AP8&gt;2000),                                                    220%,
 AND(AY8="PHEV",  AP8&lt;=1600,                AK8&lt;=1350000),                     45%,
 AND(AY8="PHEV",  AP8&lt;=1600,                AK8&gt;1350000),                      75%,
 AND(AY8="PHEV",  AND(AP8&gt;1600,AP8&lt;=1800),  AK8&lt;=1350000),                     85%,
 AND(AY8="BEV",    AZ8&lt;=160,                 AK8&lt;=1650000),                     25%,
 AND(AY8="BEV",    AZ8&lt;=160,                 AK8&gt;1650000),                      55%,
 AND(AY8="BEV",    AZ8&gt; 160,                 AK8&lt;=1650000),                     65%,
 AND(AY8="BEV",    AZ8&gt; 160,                 AK8&gt;1650000),                      75%)</f>
        <v>0.9</v>
      </c>
      <c r="AW8" s="67" cm="1">
        <f t="array" ref="AW8">_xlfn.IFS(
 X8=0,AV8,
 AND(AY8="ICE",  AP8&lt;=1400,AND((AJ8-BA8)&gt;900000,  (AJ8-BA8)&lt;=1100000)),                    80%,
 AND(AY8="ICE",  AP8&lt;=1400,(AJ8-BA8)&gt;1100000),                                       90%,
 AND(AY8="ICE",  AND(AP8&gt;1400,AP8&lt;=1600),   (AJ8-BA8)&lt;=850000),                      75%,
 AND(AY8="ICE",  AND(AP8&gt;1400,AP8&lt;=1600),   AND((AJ8-BA8)&gt;850000,(AJ8-BA8)&lt;=1100000)),     80%,
 AND(AY8="ICE",  AND(AP8&gt;1400,AP8&lt;=1600),   AND((AJ8-BA8)&gt;1100000,(AJ8-BA8)&lt;=1650000)),    90%,
 AND(AY8="ICE",  AND(AP8&gt;1400,AP8&lt;=1600),   (AJ8-BA8)&gt;1650000),                      100%,
 AND(AY8="ICE",  AND(AP8&gt;1600,AP8&lt;=2000),   (AJ8-BA8)&lt;=1650000),                     150%,
 AND(AY8="ICE",  AND(AP8&gt;1600,AP8&lt;=2000),   (AJ8-BA8)&gt;1650000),                      170%,
 AND(AY8="ICE",  AP8&gt;2000),                                                    220%,
 AND(AY8="PHEV",  AP8&lt;=1600,                (AJ8-BA8)&lt;=1350000),                     45%,
 AND(AY8="PHEV",  AP8&lt;=1600,                (AJ8-BA8)&gt;1350000),                      75%,
 AND(AY8="PHEV",  AND(AP8&gt;1600,AP8&lt;=1800),  (AJ8-BA8)&lt;=1350000),                     85%,
 AND(AY8="BEV",    AZ8&lt;=160,                 (AJ8-BA8)&lt;=1650000),                     25%,
 AND(AY8="BEV",    AZ8&lt;=160,                 (AJ8-BA8)&gt;1650000),                      55%,
 AND(AY8="BEV",    AZ8&gt; 160,                 (AJ8-BA8)&lt;=1650000),                     65%,
 AND(AY8="BEV",    AZ8&gt; 160,                 (AJ8-BA8)&gt;1650000),                      75%)</f>
        <v>0.9</v>
      </c>
      <c r="AX8" s="67" cm="1">
        <f t="array" ref="AX8">_xlfn.IFS(
 AD8=0,AV8,
 AND(AY8="ICE",  AP8&lt;=1400,AND(AJ8&gt;900000,  AJ8&lt;=1100000)),                    80%,
 AND(AY8="ICE",  AP8&lt;=1400,AJ8&gt;1100000),                                       90%,
 AND(AY8="ICE",  AND(AP8&gt;1400,AP8&lt;=1600),   AJ8&lt;=850000),                      75%,
 AND(AY8="ICE",  AND(AP8&gt;1400,AP8&lt;=1600),   AND(AJ8&gt;850000,AJ8&lt;=1100000)),     80%,
 AND(AY8="ICE",  AND(AP8&gt;1400,AP8&lt;=1600),   AND(AJ8&gt;1100000,AJ8&lt;=1650000)),    90%,
 AND(AY8="ICE",  AND(AP8&gt;1400,AP8&lt;=1600),   AJ8&gt;1650000),                      100%,
 AND(AY8="ICE",  AND(AP8&gt;1600,AP8&lt;=2000),   AJ8&lt;=1650000),                     150%,
 AND(AY8="ICE",  AND(AP8&gt;1600,AP8&lt;=2000),   AJ8&gt;1650000),                      170%,
 AND(AY8="ICE",  AP8&gt;2000),                                                    220%,
 AND(AY8="PHEV",  AP8&lt;=1600,                AJ8&lt;=1350000),                     45%,
 AND(AY8="PHEV",  AP8&lt;=1600,                AJ8&gt;1350000),                      75%,
 AND(AY8="PHEV",  AND(AP8&gt;1600,AP8&lt;=1800),  AJ8&lt;=1350000),                     85%,
 AND(AY8="BEV",    AZ8&lt;=160,                 AJ8&lt;=1650000),                     25%,
 AND(AY8="BEV",    AZ8&lt;=160,                 AJ8&gt;1650000),                      55%,
 AND(AY8="BEV",    AZ8&gt; 160,                 AJ8&lt;=1650000),                     65%,
 AND(AY8="BEV",    AZ8&gt; 160,                 AJ8&gt;1650000),                      75%)</f>
        <v>0.9</v>
      </c>
      <c r="AY8" s="80" t="str">
        <f>_xlfn.XLOOKUP(A8,'[1]My Input'!$B:$B,'[1]My Input'!$V:$V)</f>
        <v>ICE</v>
      </c>
      <c r="AZ8" s="80" t="str">
        <f>_xlfn.IFNA(_xlfn.XLOOKUP(A8,'[1]kW Tescil'!$A:$A,'[1]kW Tescil'!$C:$C),"-")</f>
        <v>-</v>
      </c>
      <c r="BA8" s="81">
        <f>_xlfn.XLOOKUP(A8,'[1]My Input'!$B:$B,'[1]My Input'!$H:$H)</f>
        <v>0</v>
      </c>
      <c r="BC8" s="82">
        <v>-3.7679938740186287</v>
      </c>
      <c r="BD8" s="82">
        <v>-3.1919769739065629</v>
      </c>
      <c r="BF8" s="83">
        <v>-1.6698013765170003</v>
      </c>
      <c r="BG8" s="83">
        <v>-1.1253026064644587</v>
      </c>
      <c r="BI8" s="84">
        <v>122410.89060000051</v>
      </c>
      <c r="BL8" s="83">
        <v>-5.7655151164529315</v>
      </c>
    </row>
    <row r="9" spans="1:72" ht="15" customHeight="1" x14ac:dyDescent="0.25">
      <c r="A9" s="1" t="s">
        <v>46</v>
      </c>
      <c r="B9" s="1" t="str">
        <f t="shared" si="0"/>
        <v>MBA 200AMG</v>
      </c>
      <c r="C9" s="85" t="s">
        <v>42</v>
      </c>
      <c r="D9" s="120" t="s">
        <v>47</v>
      </c>
      <c r="E9" s="121" t="s">
        <v>48</v>
      </c>
      <c r="F9" s="122" t="s">
        <v>49</v>
      </c>
      <c r="G9" s="107"/>
      <c r="H9" s="123">
        <v>3317931</v>
      </c>
      <c r="I9" s="124">
        <f>H9/$H$11*$I$11</f>
        <v>79.257415667209401</v>
      </c>
      <c r="J9" s="65">
        <v>0.01</v>
      </c>
      <c r="K9" s="91">
        <f>(((H9-AO9)/(1+AQ9)/1.2/$AS$1)+AS9)*(1+AQ9)*(1.2)*$AS$1+AO9</f>
        <v>3284774.1</v>
      </c>
      <c r="L9" s="125">
        <f>K9/$K$11*$L$11</f>
        <v>78.465376831701334</v>
      </c>
      <c r="M9" s="110"/>
      <c r="N9" s="91">
        <f>AN9*1.2*(1+AV9)+AO9</f>
        <v>3251926.3589999997</v>
      </c>
      <c r="O9" s="123">
        <f>AK9*1.2*(1+AV9)+AO9</f>
        <v>3284751.69</v>
      </c>
      <c r="P9" s="124">
        <f>IF(ISNUMBER(O9),O9/$O$11*$P$11,"")</f>
        <v>92.802887652912261</v>
      </c>
      <c r="Q9" s="124">
        <f>IF(ISNUMBER(N9),N9/$N$11*$Q$11,"")</f>
        <v>91.8754855864983</v>
      </c>
      <c r="R9" s="126">
        <f>_xlfn.XLOOKUP(A9,'[1]My Input'!$B:$B,'[1]My Input'!$F:$F)</f>
        <v>0</v>
      </c>
      <c r="S9" s="110"/>
      <c r="T9" s="91">
        <f>IF(X9&lt;&gt;0,AM9*1.2*(1+AW9)+AO9-X9,AN9*1.2*(1+AV9)+AO9)</f>
        <v>3251926.3589999997</v>
      </c>
      <c r="U9" s="123">
        <f>IF(X9&lt;&gt;0,AJ9*1.2*(1+AW9)+AO9-X9,AK9*1.2*(1+AV9)+AO9)</f>
        <v>3284751.69</v>
      </c>
      <c r="V9" s="124">
        <f>IF(ISNUMBER(U9),U9/$U$11*$V$11,"")</f>
        <v>94.999552424288908</v>
      </c>
      <c r="W9" s="124">
        <f>IF(ISNUMBER(T9),T9/$T$11*$W$11,"")</f>
        <v>94.050198546894535</v>
      </c>
      <c r="X9" s="127">
        <f>_xlfn.XLOOKUP(A9,'[1]My Input'!$B:$B,'[1]My Input'!$I:$I)</f>
        <v>0</v>
      </c>
      <c r="Y9" s="110"/>
      <c r="Z9" s="91">
        <f t="shared" si="1"/>
        <v>3171109.5289999996</v>
      </c>
      <c r="AA9" s="123">
        <f>IF(AD9&lt;&gt;0,AJ9*1.2*(1+AX9)+AO9-AD9,AH9*(1-AG9)*1.2*(1+AV9)+AO9)</f>
        <v>3203934.86</v>
      </c>
      <c r="AB9" s="124">
        <f>IF(ISNUMBER(AA9),AA9/$AA$11*$AB$11,"")</f>
        <v>82.729067534311511</v>
      </c>
      <c r="AC9" s="124">
        <f>IF(ISNUMBER(Z9),Z9/$Z$11*$AC$11,"")</f>
        <v>81.881481942282605</v>
      </c>
      <c r="AD9" s="128">
        <f>_xlfn.XLOOKUP(A9,'[1]My Input'!$B:$B,'[1]My Input'!$N:$N)</f>
        <v>80816.83</v>
      </c>
      <c r="AE9" s="129"/>
      <c r="AF9" s="130">
        <f>_xlfn.XLOOKUP(A9,'[1]My Input'!$B:$B,'[1]My Input'!$E:$E)</f>
        <v>0.01</v>
      </c>
      <c r="AG9" s="131">
        <f>_xlfn.XLOOKUP(A9,'[1]My Input'!$B:$B,'[1]My Input'!$G:$G)</f>
        <v>0.01</v>
      </c>
      <c r="AH9" s="132">
        <f>(H9-AO9)/1.2/(1+AQ9)</f>
        <v>1455232.8947368423</v>
      </c>
      <c r="AJ9" s="132">
        <f>AH9*(1-AF9)</f>
        <v>1440680.5657894737</v>
      </c>
      <c r="AK9" s="133">
        <f>AH9*(1-AF9-R9)</f>
        <v>1440680.5657894737</v>
      </c>
      <c r="AL9" s="134">
        <f>(K9-AO9)/1.2/(1+AQ9)</f>
        <v>1440690.3947368423</v>
      </c>
      <c r="AM9" s="134">
        <f>AL9*(1-AF9)</f>
        <v>1426283.4907894738</v>
      </c>
      <c r="AN9" s="134">
        <f>AL9*(1-AF9-R9)</f>
        <v>1426283.4907894738</v>
      </c>
      <c r="AO9" s="135">
        <f>_xlfn.XLOOKUP(A9,'[1]My Input'!$B:$B,'[1]My Input'!$T:$T)</f>
        <v>0</v>
      </c>
      <c r="AP9" s="136">
        <f>_xlfn.XLOOKUP(A9,'[1]My Input'!$B:$B,'[1]My Input'!$S:$S)</f>
        <v>1300</v>
      </c>
      <c r="AQ9" s="137">
        <f>_xlfn.XLOOKUP(A9,'[1]My Input'!$B:$B,'[1]My Input'!$U:$U)</f>
        <v>0.9</v>
      </c>
      <c r="AS9" s="138">
        <v>-277</v>
      </c>
      <c r="AU9" s="17" t="s">
        <v>41</v>
      </c>
      <c r="AV9" s="137" cm="1">
        <f t="array" ref="AV9">_xlfn.IFS(
 AND(AY9="ICE",  AP9&lt;=1400,AND(AK9&gt;900000,  AK9&lt;=1100000)),                    80%,
 AND(AY9="ICE",  AP9&lt;=1400,AK9&gt;1100000),                                       90%,
 AND(AY9="ICE",  AND(AP9&gt;1400,AP9&lt;=1600),   AK9&lt;=850000),                      75%,
 AND(AY9="ICE",  AND(AP9&gt;1400,AP9&lt;=1600),   AND(AK9&gt;850000,AK9&lt;=1100000)),     80%,
 AND(AY9="ICE",  AND(AP9&gt;1400,AP9&lt;=1600),   AND(AK9&gt;1100000,AK9&lt;=1650000)),    90%,
 AND(AY9="ICE",  AND(AP9&gt;1400,AP9&lt;=1600),   AK9&gt;1650000),                      100%,
 AND(AY9="ICE",  AND(AP9&gt;1600,AP9&lt;=2000),   AK9&lt;=1650000),                     150%,
 AND(AY9="ICE",  AND(AP9&gt;1600,AP9&lt;=2000),   AK9&gt;1650000),                      170%,
 AND(AY9="ICE",  AP9&gt;2000),                                                    220%,
 AND(AY9="PHEV",  AP9&lt;=1600,                AK9&lt;=1350000),                     45%,
 AND(AY9="PHEV",  AP9&lt;=1600,                AK9&gt;1350000),                      75%,
 AND(AY9="PHEV",  AND(AP9&gt;1600,AP9&lt;=1800),  AK9&lt;=1350000),                     85%,
 AND(AY9="BEV",    AZ9&lt;=160,                 AK9&lt;=1650000),                     25%,
 AND(AY9="BEV",    AZ9&lt;=160,                 AK9&gt;1650000),                      55%,
 AND(AY9="BEV",    AZ9&gt; 160,                 AK9&lt;=1650000),                     65%,
 AND(AY9="BEV",    AZ9&gt; 160,                 AK9&gt;1650000),                      75%)</f>
        <v>0.9</v>
      </c>
      <c r="AW9" s="137" cm="1">
        <f t="array" ref="AW9">_xlfn.IFS(
 X9=0,AV9,
 AND(AY9="ICE",  AP9&lt;=1400,AND((AJ9-BA9)&gt;900000,  (AJ9-BA9)&lt;=1100000)),                    80%,
 AND(AY9="ICE",  AP9&lt;=1400,(AJ9-BA9)&gt;1100000),                                       90%,
 AND(AY9="ICE",  AND(AP9&gt;1400,AP9&lt;=1600),   (AJ9-BA9)&lt;=850000),                      75%,
 AND(AY9="ICE",  AND(AP9&gt;1400,AP9&lt;=1600),   AND((AJ9-BA9)&gt;850000,(AJ9-BA9)&lt;=1100000)),     80%,
 AND(AY9="ICE",  AND(AP9&gt;1400,AP9&lt;=1600),   AND((AJ9-BA9)&gt;1100000,(AJ9-BA9)&lt;=1650000)),    90%,
 AND(AY9="ICE",  AND(AP9&gt;1400,AP9&lt;=1600),   (AJ9-BA9)&gt;1650000),                      100%,
 AND(AY9="ICE",  AND(AP9&gt;1600,AP9&lt;=2000),   (AJ9-BA9)&lt;=1650000),                     150%,
 AND(AY9="ICE",  AND(AP9&gt;1600,AP9&lt;=2000),   (AJ9-BA9)&gt;1650000),                      170%,
 AND(AY9="ICE",  AP9&gt;2000),                                                    220%,
 AND(AY9="PHEV",  AP9&lt;=1600,                (AJ9-BA9)&lt;=1350000),                     45%,
 AND(AY9="PHEV",  AP9&lt;=1600,                (AJ9-BA9)&gt;1350000),                      75%,
 AND(AY9="PHEV",  AND(AP9&gt;1600,AP9&lt;=1800),  (AJ9-BA9)&lt;=1350000),                     85%,
 AND(AY9="BEV",    AZ9&lt;=160,                 (AJ9-BA9)&lt;=1650000),                     25%,
 AND(AY9="BEV",    AZ9&lt;=160,                 (AJ9-BA9)&gt;1650000),                      55%,
 AND(AY9="BEV",    AZ9&gt; 160,                 (AJ9-BA9)&lt;=1650000),                     65%,
 AND(AY9="BEV",    AZ9&gt; 160,                 (AJ9-BA9)&gt;1650000),                      75%)</f>
        <v>0.9</v>
      </c>
      <c r="AX9" s="137" cm="1">
        <f t="array" ref="AX9">_xlfn.IFS(
 AD9=0,AV9,
 AND(AY9="ICE",  AP9&lt;=1400,AND(AJ9&gt;900000,  AJ9&lt;=1100000)),                    80%,
 AND(AY9="ICE",  AP9&lt;=1400,AJ9&gt;1100000),                                       90%,
 AND(AY9="ICE",  AND(AP9&gt;1400,AP9&lt;=1600),   AJ9&lt;=850000),                      75%,
 AND(AY9="ICE",  AND(AP9&gt;1400,AP9&lt;=1600),   AND(AJ9&gt;850000,AJ9&lt;=1100000)),     80%,
 AND(AY9="ICE",  AND(AP9&gt;1400,AP9&lt;=1600),   AND(AJ9&gt;1100000,AJ9&lt;=1650000)),    90%,
 AND(AY9="ICE",  AND(AP9&gt;1400,AP9&lt;=1600),   AJ9&gt;1650000),                      100%,
 AND(AY9="ICE",  AND(AP9&gt;1600,AP9&lt;=2000),   AJ9&lt;=1650000),                     150%,
 AND(AY9="ICE",  AND(AP9&gt;1600,AP9&lt;=2000),   AJ9&gt;1650000),                      170%,
 AND(AY9="ICE",  AP9&gt;2000),                                                    220%,
 AND(AY9="PHEV",  AP9&lt;=1600,                AJ9&lt;=1350000),                     45%,
 AND(AY9="PHEV",  AP9&lt;=1600,                AJ9&gt;1350000),                      75%,
 AND(AY9="PHEV",  AND(AP9&gt;1600,AP9&lt;=1800),  AJ9&lt;=1350000),                     85%,
 AND(AY9="BEV",    AZ9&lt;=160,                 AJ9&lt;=1650000),                     25%,
 AND(AY9="BEV",    AZ9&lt;=160,                 AJ9&gt;1650000),                      55%,
 AND(AY9="BEV",    AZ9&gt; 160,                 AJ9&lt;=1650000),                     65%,
 AND(AY9="BEV",    AZ9&gt; 160,                 AJ9&gt;1650000),                      75%)</f>
        <v>0.9</v>
      </c>
      <c r="AY9" s="139" t="str">
        <f>_xlfn.XLOOKUP(A9,'[1]My Input'!$B:$B,'[1]My Input'!$V:$V)</f>
        <v>ICE</v>
      </c>
      <c r="AZ9" s="139" t="str">
        <f>_xlfn.IFNA(_xlfn.XLOOKUP(A9,'[1]kW Tescil'!$A:$A,'[1]kW Tescil'!$C:$C),"-")</f>
        <v>-</v>
      </c>
      <c r="BA9" s="140">
        <f>_xlfn.XLOOKUP(A9,'[1]My Input'!$B:$B,'[1]My Input'!$H:$H)</f>
        <v>0</v>
      </c>
      <c r="BC9" s="141">
        <v>12.04002940716876</v>
      </c>
      <c r="BD9" s="141">
        <v>16.702110922621856</v>
      </c>
      <c r="BF9" s="142">
        <v>14.243530305747555</v>
      </c>
      <c r="BG9" s="142">
        <v>18.940432147064001</v>
      </c>
      <c r="BI9" s="143">
        <v>686324.10107832914</v>
      </c>
      <c r="BL9" s="142">
        <v>11.808548141621671</v>
      </c>
    </row>
    <row r="10" spans="1:72" ht="15" customHeight="1" x14ac:dyDescent="0.25">
      <c r="A10" s="1" t="s">
        <v>50</v>
      </c>
      <c r="B10" s="1" t="str">
        <f t="shared" si="0"/>
        <v>AudiA3 Sportback 35 TFSIS Line</v>
      </c>
      <c r="C10" s="85" t="s">
        <v>42</v>
      </c>
      <c r="D10" s="144" t="s">
        <v>38</v>
      </c>
      <c r="E10" s="145" t="s">
        <v>39</v>
      </c>
      <c r="F10" s="146" t="s">
        <v>51</v>
      </c>
      <c r="G10" s="107"/>
      <c r="H10" s="147">
        <v>4385424</v>
      </c>
      <c r="I10" s="148">
        <f>H10/$H$11*$I$11</f>
        <v>104.75726374205976</v>
      </c>
      <c r="J10" s="65">
        <v>0.16</v>
      </c>
      <c r="K10" s="91">
        <f>(((H10-AO10)/(1+AQ10)/1.2/$AS$1)+AS10)*(1+AQ10)*(1.2)*$AS$1+AO10</f>
        <v>4622908.8000000007</v>
      </c>
      <c r="L10" s="125">
        <f>K10/$K$11*$L$11</f>
        <v>110.43020615956154</v>
      </c>
      <c r="M10" s="110"/>
      <c r="N10" s="91">
        <f>AN10*1.2*(1+AV10)+AO10</f>
        <v>3883243.3920000005</v>
      </c>
      <c r="O10" s="147">
        <f>AK10*1.2*(1+AV10)+AO10</f>
        <v>3683756.1599999997</v>
      </c>
      <c r="P10" s="148">
        <f>IF(ISNUMBER(O10),O10/$O$11*$P$11,"")</f>
        <v>104.07581495367265</v>
      </c>
      <c r="Q10" s="148">
        <f>IF(ISNUMBER(N10),N10/$N$11*$Q$11,"")</f>
        <v>109.7118547297832</v>
      </c>
      <c r="R10" s="126">
        <f>_xlfn.XLOOKUP(A10,'[1]My Input'!$B:$B,'[1]My Input'!$F:$F)</f>
        <v>0</v>
      </c>
      <c r="S10" s="110"/>
      <c r="T10" s="91">
        <f>IF(X10&lt;&gt;0,AM10*1.2*(1+AW10)+AO10-X10,AN10*1.2*(1+AV10)+AO10)</f>
        <v>3883243.3920000005</v>
      </c>
      <c r="U10" s="147">
        <f>IF(X10&lt;&gt;0,AJ10*1.2*(1+AW10)+AO10-X10,AK10*1.2*(1+AV10)+AO10)</f>
        <v>3683756.1599999997</v>
      </c>
      <c r="V10" s="148">
        <f>IF(ISNUMBER(U10),U10/$U$11*$V$11,"")</f>
        <v>106.5393123947878</v>
      </c>
      <c r="W10" s="148">
        <f>IF(ISNUMBER(T10),T10/$T$11*$W$11,"")</f>
        <v>112.3087584725704</v>
      </c>
      <c r="X10" s="149">
        <f>_xlfn.XLOOKUP(A10,'[1]My Input'!$B:$B,'[1]My Input'!$I:$I)</f>
        <v>0</v>
      </c>
      <c r="Y10" s="110"/>
      <c r="Z10" s="91">
        <f t="shared" si="1"/>
        <v>3883243.3920000005</v>
      </c>
      <c r="AA10" s="147">
        <f>IF(AD10&lt;&gt;0,AJ10*1.2*(1+AX10)+AO10-AD10,AH10*(1-AG10)*1.2*(1+AV10)+AO10)</f>
        <v>3683756.1599999997</v>
      </c>
      <c r="AB10" s="148">
        <f>IF(ISNUMBER(AA10),AA10/$AA$11*$AB$11,"")</f>
        <v>95.118573085027094</v>
      </c>
      <c r="AC10" s="148">
        <f>IF(ISNUMBER(Z10),Z10/$Z$11*$AC$11,"")</f>
        <v>100.26954943426564</v>
      </c>
      <c r="AD10" s="150">
        <f>_xlfn.XLOOKUP(A10,'[1]My Input'!$B:$B,'[1]My Input'!$N:$N)</f>
        <v>0</v>
      </c>
      <c r="AE10" s="129"/>
      <c r="AF10" s="130">
        <f>_xlfn.XLOOKUP(A10,'[1]My Input'!$B:$B,'[1]My Input'!$E:$E)</f>
        <v>0.16</v>
      </c>
      <c r="AG10" s="131">
        <f>_xlfn.XLOOKUP(A10,'[1]My Input'!$B:$B,'[1]My Input'!$G:$G)</f>
        <v>0.16</v>
      </c>
      <c r="AH10" s="132">
        <f>(H10-AO10)/1.2/(1+AQ10)</f>
        <v>1923431.5789473685</v>
      </c>
      <c r="AJ10" s="132">
        <f>AH10*(1-AF10)</f>
        <v>1615682.5263157894</v>
      </c>
      <c r="AK10" s="133">
        <f>AH10*(1-AF10-R10)</f>
        <v>1615682.5263157894</v>
      </c>
      <c r="AL10" s="134">
        <f>(K10-AO10)/1.2/(1+AQ10)</f>
        <v>2027591.578947369</v>
      </c>
      <c r="AM10" s="134">
        <f>AL10*(1-AF10)</f>
        <v>1703176.9263157898</v>
      </c>
      <c r="AN10" s="134">
        <f>AL10*(1-AF10-R10)</f>
        <v>1703176.9263157898</v>
      </c>
      <c r="AO10" s="135">
        <f>_xlfn.XLOOKUP(A10,'[1]My Input'!$B:$B,'[1]My Input'!$T:$T)</f>
        <v>0</v>
      </c>
      <c r="AP10" s="136">
        <f>_xlfn.XLOOKUP(A10,'[1]My Input'!$B:$B,'[1]My Input'!$S:$S)</f>
        <v>1500</v>
      </c>
      <c r="AQ10" s="137">
        <f>_xlfn.XLOOKUP(A10,'[1]My Input'!$B:$B,'[1]My Input'!$U:$U)</f>
        <v>0.9</v>
      </c>
      <c r="AS10" s="138">
        <v>1984</v>
      </c>
      <c r="AU10" s="17" t="s">
        <v>41</v>
      </c>
      <c r="AV10" s="137" cm="1">
        <f t="array" ref="AV10">_xlfn.IFS(
 AND(AY10="ICE",  AP10&lt;=1400,AND(AK10&gt;900000,  AK10&lt;=1100000)),                    80%,
 AND(AY10="ICE",  AP10&lt;=1400,AK10&gt;1100000),                                       90%,
 AND(AY10="ICE",  AND(AP10&gt;1400,AP10&lt;=1600),   AK10&lt;=850000),                      75%,
 AND(AY10="ICE",  AND(AP10&gt;1400,AP10&lt;=1600),   AND(AK10&gt;850000,AK10&lt;=1100000)),     80%,
 AND(AY10="ICE",  AND(AP10&gt;1400,AP10&lt;=1600),   AND(AK10&gt;1100000,AK10&lt;=1650000)),    90%,
 AND(AY10="ICE",  AND(AP10&gt;1400,AP10&lt;=1600),   AK10&gt;1650000),                      100%,
 AND(AY10="ICE",  AND(AP10&gt;1600,AP10&lt;=2000),   AK10&lt;=1650000),                     150%,
 AND(AY10="ICE",  AND(AP10&gt;1600,AP10&lt;=2000),   AK10&gt;1650000),                      170%,
 AND(AY10="ICE",  AP10&gt;2000),                                                    220%,
 AND(AY10="PHEV",  AP10&lt;=1600,                AK10&lt;=1350000),                     45%,
 AND(AY10="PHEV",  AP10&lt;=1600,                AK10&gt;1350000),                      75%,
 AND(AY10="PHEV",  AND(AP10&gt;1600,AP10&lt;=1800),  AK10&lt;=1350000),                     85%,
 AND(AY10="BEV",    AZ10&lt;=160,                 AK10&lt;=1650000),                     25%,
 AND(AY10="BEV",    AZ10&lt;=160,                 AK10&gt;1650000),                      55%,
 AND(AY10="BEV",    AZ10&gt; 160,                 AK10&lt;=1650000),                     65%,
 AND(AY10="BEV",    AZ10&gt; 160,                 AK10&gt;1650000),                      75%)</f>
        <v>0.9</v>
      </c>
      <c r="AW10" s="137" cm="1">
        <f t="array" ref="AW10">_xlfn.IFS(
 X10=0,AV10,
 AND(AY10="ICE",  AP10&lt;=1400,AND((AJ10-BA10)&gt;900000,  (AJ10-BA10)&lt;=1100000)),                    80%,
 AND(AY10="ICE",  AP10&lt;=1400,(AJ10-BA10)&gt;1100000),                                       90%,
 AND(AY10="ICE",  AND(AP10&gt;1400,AP10&lt;=1600),   (AJ10-BA10)&lt;=850000),                      75%,
 AND(AY10="ICE",  AND(AP10&gt;1400,AP10&lt;=1600),   AND((AJ10-BA10)&gt;850000,(AJ10-BA10)&lt;=1100000)),     80%,
 AND(AY10="ICE",  AND(AP10&gt;1400,AP10&lt;=1600),   AND((AJ10-BA10)&gt;1100000,(AJ10-BA10)&lt;=1650000)),    90%,
 AND(AY10="ICE",  AND(AP10&gt;1400,AP10&lt;=1600),   (AJ10-BA10)&gt;1650000),                      100%,
 AND(AY10="ICE",  AND(AP10&gt;1600,AP10&lt;=2000),   (AJ10-BA10)&lt;=1650000),                     150%,
 AND(AY10="ICE",  AND(AP10&gt;1600,AP10&lt;=2000),   (AJ10-BA10)&gt;1650000),                      170%,
 AND(AY10="ICE",  AP10&gt;2000),                                                    220%,
 AND(AY10="PHEV",  AP10&lt;=1600,                (AJ10-BA10)&lt;=1350000),                     45%,
 AND(AY10="PHEV",  AP10&lt;=1600,                (AJ10-BA10)&gt;1350000),                      75%,
 AND(AY10="PHEV",  AND(AP10&gt;1600,AP10&lt;=1800),  (AJ10-BA10)&lt;=1350000),                     85%,
 AND(AY10="BEV",    AZ10&lt;=160,                 (AJ10-BA10)&lt;=1650000),                     25%,
 AND(AY10="BEV",    AZ10&lt;=160,                 (AJ10-BA10)&gt;1650000),                      55%,
 AND(AY10="BEV",    AZ10&gt; 160,                 (AJ10-BA10)&lt;=1650000),                     65%,
 AND(AY10="BEV",    AZ10&gt; 160,                 (AJ10-BA10)&gt;1650000),                      75%)</f>
        <v>0.9</v>
      </c>
      <c r="AX10" s="137" cm="1">
        <f t="array" ref="AX10">_xlfn.IFS(
 AD10=0,AV10,
 AND(AY10="ICE",  AP10&lt;=1400,AND(AJ10&gt;900000,  AJ10&lt;=1100000)),                    80%,
 AND(AY10="ICE",  AP10&lt;=1400,AJ10&gt;1100000),                                       90%,
 AND(AY10="ICE",  AND(AP10&gt;1400,AP10&lt;=1600),   AJ10&lt;=850000),                      75%,
 AND(AY10="ICE",  AND(AP10&gt;1400,AP10&lt;=1600),   AND(AJ10&gt;850000,AJ10&lt;=1100000)),     80%,
 AND(AY10="ICE",  AND(AP10&gt;1400,AP10&lt;=1600),   AND(AJ10&gt;1100000,AJ10&lt;=1650000)),    90%,
 AND(AY10="ICE",  AND(AP10&gt;1400,AP10&lt;=1600),   AJ10&gt;1650000),                      100%,
 AND(AY10="ICE",  AND(AP10&gt;1600,AP10&lt;=2000),   AJ10&lt;=1650000),                     150%,
 AND(AY10="ICE",  AND(AP10&gt;1600,AP10&lt;=2000),   AJ10&gt;1650000),                      170%,
 AND(AY10="ICE",  AP10&gt;2000),                                                    220%,
 AND(AY10="PHEV",  AP10&lt;=1600,                AJ10&lt;=1350000),                     45%,
 AND(AY10="PHEV",  AP10&lt;=1600,                AJ10&gt;1350000),                      75%,
 AND(AY10="PHEV",  AND(AP10&gt;1600,AP10&lt;=1800),  AJ10&lt;=1350000),                     85%,
 AND(AY10="BEV",    AZ10&lt;=160,                 AJ10&lt;=1650000),                     25%,
 AND(AY10="BEV",    AZ10&lt;=160,                 AJ10&gt;1650000),                      55%,
 AND(AY10="BEV",    AZ10&gt; 160,                 AJ10&lt;=1650000),                     65%,
 AND(AY10="BEV",    AZ10&gt; 160,                 AJ10&gt;1650000),                      75%)</f>
        <v>0.9</v>
      </c>
      <c r="AY10" s="139" t="str">
        <f>_xlfn.XLOOKUP(A10,'[1]My Input'!$B:$B,'[1]My Input'!$V:$V)</f>
        <v>ICE</v>
      </c>
      <c r="AZ10" s="139" t="str">
        <f>_xlfn.IFNA(_xlfn.XLOOKUP(A10,'[1]kW Tescil'!$A:$A,'[1]kW Tescil'!$C:$C),"-")</f>
        <v>-</v>
      </c>
      <c r="BA10" s="140">
        <f>_xlfn.XLOOKUP(A10,'[1]My Input'!$B:$B,'[1]My Input'!$H:$H)</f>
        <v>0</v>
      </c>
      <c r="BC10" s="141">
        <v>12.04002940716876</v>
      </c>
      <c r="BD10" s="141">
        <v>16.702110922621856</v>
      </c>
      <c r="BF10" s="142">
        <v>14.243530305747555</v>
      </c>
      <c r="BG10" s="142">
        <v>18.940432147064001</v>
      </c>
      <c r="BI10" s="143">
        <v>686324.10107832914</v>
      </c>
      <c r="BL10" s="142">
        <v>11.808548141621671</v>
      </c>
    </row>
    <row r="11" spans="1:72" s="74" customFormat="1" ht="15" customHeight="1" thickBot="1" x14ac:dyDescent="0.3">
      <c r="A11" s="57" t="s">
        <v>52</v>
      </c>
      <c r="B11" s="57" t="str">
        <f t="shared" si="0"/>
        <v>BMW120M Sport</v>
      </c>
      <c r="C11" s="58" t="s">
        <v>37</v>
      </c>
      <c r="D11" s="94" t="s">
        <v>44</v>
      </c>
      <c r="E11" s="95">
        <v>120</v>
      </c>
      <c r="F11" s="96" t="s">
        <v>53</v>
      </c>
      <c r="G11" s="97"/>
      <c r="H11" s="98">
        <v>4186272</v>
      </c>
      <c r="I11" s="99">
        <v>100</v>
      </c>
      <c r="J11" s="65">
        <v>0.11</v>
      </c>
      <c r="K11" s="100">
        <f>(((H11-AO11)/(1+AQ11)/1.2/$AS$1)+AS11)*(1+AQ11)*(1.2)*$AS$1+AO11</f>
        <v>4186272.0000000005</v>
      </c>
      <c r="L11" s="99">
        <v>100</v>
      </c>
      <c r="M11" s="101"/>
      <c r="N11" s="100">
        <f>AN11*1.2*(1+AV11)+AO11</f>
        <v>3539492.9760000003</v>
      </c>
      <c r="O11" s="98">
        <f>AK11*1.2*(1+AV11)+AO11</f>
        <v>3539492.9759999993</v>
      </c>
      <c r="P11" s="99">
        <v>100</v>
      </c>
      <c r="Q11" s="99">
        <v>100</v>
      </c>
      <c r="R11" s="67">
        <f>_xlfn.XLOOKUP(A11,'[1]My Input'!$B:$B,'[1]My Input'!$F:$F)</f>
        <v>0.08</v>
      </c>
      <c r="S11" s="101"/>
      <c r="T11" s="100">
        <f>IF(X11&lt;&gt;0,AM11*1.2*(1+AW11)+AO11-X11,AN11*1.2*(1+AV11)+AO11)</f>
        <v>3457649.6479999996</v>
      </c>
      <c r="U11" s="98">
        <f>IF(X11&lt;&gt;0,AJ11*1.2*(1+AW11)+AO11-X11,AK11*1.2*(1+AV11)+AO11)</f>
        <v>3457649.6479999991</v>
      </c>
      <c r="V11" s="99">
        <v>100</v>
      </c>
      <c r="W11" s="99">
        <v>100</v>
      </c>
      <c r="X11" s="102">
        <f>_xlfn.XLOOKUP(A11,'[1]My Input'!$B:$B,'[1]My Input'!$I:$I)</f>
        <v>400000</v>
      </c>
      <c r="Y11" s="101"/>
      <c r="Z11" s="100">
        <f t="shared" si="1"/>
        <v>3872804.27</v>
      </c>
      <c r="AA11" s="98">
        <f>IF(AD11&lt;&gt;0,AJ11*1.2*(1+AX11)+AO11-AD11,AH11*(1-AG11)*1.2*(1+AV11)+AO11)</f>
        <v>3872804.2699999996</v>
      </c>
      <c r="AB11" s="99">
        <v>100</v>
      </c>
      <c r="AC11" s="99">
        <v>100</v>
      </c>
      <c r="AD11" s="98">
        <f>_xlfn.XLOOKUP(A11,'[1]My Input'!$B:$B,'[1]My Input'!$N:$N)</f>
        <v>187879.57</v>
      </c>
      <c r="AE11" s="70"/>
      <c r="AF11" s="71">
        <f>_xlfn.XLOOKUP(A11,'[1]My Input'!$B:$B,'[1]My Input'!$E:$E)</f>
        <v>0.03</v>
      </c>
      <c r="AG11" s="72">
        <f>_xlfn.XLOOKUP(A11,'[1]My Input'!$B:$B,'[1]My Input'!$G:$G)</f>
        <v>0.11</v>
      </c>
      <c r="AH11" s="73">
        <f>(H11-AO11)/1.2/(1+AQ11)</f>
        <v>1744280</v>
      </c>
      <c r="AJ11" s="73">
        <f>AH11*(1-AF11)</f>
        <v>1691951.5999999999</v>
      </c>
      <c r="AK11" s="75">
        <f>AH11*(1-AF11-R11)</f>
        <v>1552409.2</v>
      </c>
      <c r="AL11" s="76">
        <f>(K11-AO11)/1.2/(1+AQ11)</f>
        <v>1744280.0000000002</v>
      </c>
      <c r="AM11" s="76">
        <f>AL11*(1-AF11)</f>
        <v>1691951.6</v>
      </c>
      <c r="AN11" s="76">
        <f>AL11*(1-AF11-R11)</f>
        <v>1552409.2000000002</v>
      </c>
      <c r="AO11" s="77">
        <f>_xlfn.XLOOKUP(A11,'[1]My Input'!$B:$B,'[1]My Input'!$T:$T)</f>
        <v>0</v>
      </c>
      <c r="AP11" s="78">
        <f>_xlfn.XLOOKUP(A11,'[1]My Input'!$B:$B,'[1]My Input'!$S:$S)</f>
        <v>1600</v>
      </c>
      <c r="AQ11" s="67">
        <v>1</v>
      </c>
      <c r="AS11" s="103">
        <f>_xlfn.XLOOKUP(A11,'[1]My Input'!$B:$B,'[1]My Input'!$Q:$Q)</f>
        <v>0</v>
      </c>
      <c r="AU11" s="74" t="s">
        <v>41</v>
      </c>
      <c r="AV11" s="67" cm="1">
        <f t="array" ref="AV11">_xlfn.IFS(
 AND(AY11="ICE",  AP11&lt;=1400,AND(AK11&gt;900000,  AK11&lt;=1100000)),                    80%,
 AND(AY11="ICE",  AP11&lt;=1400,AK11&gt;1100000),                                       90%,
 AND(AY11="ICE",  AND(AP11&gt;1400,AP11&lt;=1600),   AK11&lt;=850000),                      75%,
 AND(AY11="ICE",  AND(AP11&gt;1400,AP11&lt;=1600),   AND(AK11&gt;850000,AK11&lt;=1100000)),     80%,
 AND(AY11="ICE",  AND(AP11&gt;1400,AP11&lt;=1600),   AND(AK11&gt;1100000,AK11&lt;=1650000)),    90%,
 AND(AY11="ICE",  AND(AP11&gt;1400,AP11&lt;=1600),   AK11&gt;1650000),                      100%,
 AND(AY11="ICE",  AND(AP11&gt;1600,AP11&lt;=2000),   AK11&lt;=1650000),                     150%,
 AND(AY11="ICE",  AND(AP11&gt;1600,AP11&lt;=2000),   AK11&gt;1650000),                      170%,
 AND(AY11="ICE",  AP11&gt;2000),                                                    220%,
 AND(AY11="PHEV",  AP11&lt;=1600,                AK11&lt;=1350000),                     45%,
 AND(AY11="PHEV",  AP11&lt;=1600,                AK11&gt;1350000),                      75%,
 AND(AY11="PHEV",  AND(AP11&gt;1600,AP11&lt;=1800),  AK11&lt;=1350000),                     85%,
 AND(AY11="BEV",    AZ11&lt;=160,                 AK11&lt;=1650000),                     25%,
 AND(AY11="BEV",    AZ11&lt;=160,                 AK11&gt;1650000),                      55%,
 AND(AY11="BEV",    AZ11&gt; 160,                 AK11&lt;=1650000),                     65%,
 AND(AY11="BEV",    AZ11&gt; 160,                 AK11&gt;1650000),                      75%)</f>
        <v>0.9</v>
      </c>
      <c r="AW11" s="67" cm="1">
        <f t="array" ref="AW11">_xlfn.IFS(
 X11=0,AV11,
 AND(AY11="ICE",  AP11&lt;=1400,AND((AJ11-BA11)&gt;900000,  (AJ11-BA11)&lt;=1100000)),                    80%,
 AND(AY11="ICE",  AP11&lt;=1400,(AJ11-BA11)&gt;1100000),                                       90%,
 AND(AY11="ICE",  AND(AP11&gt;1400,AP11&lt;=1600),   (AJ11-BA11)&lt;=850000),                      75%,
 AND(AY11="ICE",  AND(AP11&gt;1400,AP11&lt;=1600),   AND((AJ11-BA11)&gt;850000,(AJ11-BA11)&lt;=1100000)),     80%,
 AND(AY11="ICE",  AND(AP11&gt;1400,AP11&lt;=1600),   AND((AJ11-BA11)&gt;1100000,(AJ11-BA11)&lt;=1650000)),    90%,
 AND(AY11="ICE",  AND(AP11&gt;1400,AP11&lt;=1600),   (AJ11-BA11)&gt;1650000),                      100%,
 AND(AY11="ICE",  AND(AP11&gt;1600,AP11&lt;=2000),   (AJ11-BA11)&lt;=1650000),                     150%,
 AND(AY11="ICE",  AND(AP11&gt;1600,AP11&lt;=2000),   (AJ11-BA11)&gt;1650000),                      170%,
 AND(AY11="ICE",  AP11&gt;2000),                                                    220%,
 AND(AY11="PHEV",  AP11&lt;=1600,                (AJ11-BA11)&lt;=1350000),                     45%,
 AND(AY11="PHEV",  AP11&lt;=1600,                (AJ11-BA11)&gt;1350000),                      75%,
 AND(AY11="PHEV",  AND(AP11&gt;1600,AP11&lt;=1800),  (AJ11-BA11)&lt;=1350000),                     85%,
 AND(AY11="BEV",    AZ11&lt;=160,                 (AJ11-BA11)&lt;=1650000),                     25%,
 AND(AY11="BEV",    AZ11&lt;=160,                 (AJ11-BA11)&gt;1650000),                      55%,
 AND(AY11="BEV",    AZ11&gt; 160,                 (AJ11-BA11)&lt;=1650000),                     65%,
 AND(AY11="BEV",    AZ11&gt; 160,                 (AJ11-BA11)&gt;1650000),                      75%)</f>
        <v>0.9</v>
      </c>
      <c r="AX11" s="67" cm="1">
        <f t="array" ref="AX11">_xlfn.IFS(
 AD11=0,AV11,
 AND(AY11="ICE",  AP11&lt;=1400,AND(AJ11&gt;900000,  AJ11&lt;=1100000)),                    80%,
 AND(AY11="ICE",  AP11&lt;=1400,AJ11&gt;1100000),                                       90%,
 AND(AY11="ICE",  AND(AP11&gt;1400,AP11&lt;=1600),   AJ11&lt;=850000),                      75%,
 AND(AY11="ICE",  AND(AP11&gt;1400,AP11&lt;=1600),   AND(AJ11&gt;850000,AJ11&lt;=1100000)),     80%,
 AND(AY11="ICE",  AND(AP11&gt;1400,AP11&lt;=1600),   AND(AJ11&gt;1100000,AJ11&lt;=1650000)),    90%,
 AND(AY11="ICE",  AND(AP11&gt;1400,AP11&lt;=1600),   AJ11&gt;1650000),                      100%,
 AND(AY11="ICE",  AND(AP11&gt;1600,AP11&lt;=2000),   AJ11&lt;=1650000),                     150%,
 AND(AY11="ICE",  AND(AP11&gt;1600,AP11&lt;=2000),   AJ11&gt;1650000),                      170%,
 AND(AY11="ICE",  AP11&gt;2000),                                                    220%,
 AND(AY11="PHEV",  AP11&lt;=1600,                AJ11&lt;=1350000),                     45%,
 AND(AY11="PHEV",  AP11&lt;=1600,                AJ11&gt;1350000),                      75%,
 AND(AY11="PHEV",  AND(AP11&gt;1600,AP11&lt;=1800),  AJ11&lt;=1350000),                     85%,
 AND(AY11="BEV",    AZ11&lt;=160,                 AJ11&lt;=1650000),                     25%,
 AND(AY11="BEV",    AZ11&lt;=160,                 AJ11&gt;1650000),                      55%,
 AND(AY11="BEV",    AZ11&gt; 160,                 AJ11&lt;=1650000),                     65%,
 AND(AY11="BEV",    AZ11&gt; 160,                 AJ11&gt;1650000),                      75%)</f>
        <v>1</v>
      </c>
      <c r="AY11" s="80" t="str">
        <f>_xlfn.XLOOKUP(A11,'[1]My Input'!$B:$B,'[1]My Input'!$V:$V)</f>
        <v>ICE</v>
      </c>
      <c r="AZ11" s="80" t="str">
        <f>_xlfn.IFNA(_xlfn.XLOOKUP(A11,'[1]kW Tescil'!$A:$A,'[1]kW Tescil'!$C:$C),"-")</f>
        <v>-</v>
      </c>
      <c r="BA11" s="81">
        <f>_xlfn.XLOOKUP(A11,'[1]My Input'!$B:$B,'[1]My Input'!$H:$H)</f>
        <v>175438.59649122809</v>
      </c>
      <c r="BC11" s="82">
        <v>0</v>
      </c>
      <c r="BD11" s="82">
        <v>0</v>
      </c>
      <c r="BF11" s="83">
        <v>0</v>
      </c>
      <c r="BG11" s="83">
        <v>0</v>
      </c>
      <c r="BI11" s="84">
        <v>194645.82140999986</v>
      </c>
      <c r="BL11" s="83">
        <v>0</v>
      </c>
      <c r="BT11" s="84"/>
    </row>
    <row r="12" spans="1:72" s="117" customFormat="1" ht="7.15" customHeight="1" thickBot="1" x14ac:dyDescent="0.3">
      <c r="A12" s="57"/>
      <c r="B12" s="57"/>
      <c r="C12" s="104"/>
      <c r="D12" s="105"/>
      <c r="E12" s="106"/>
      <c r="F12" s="106"/>
      <c r="G12" s="107"/>
      <c r="H12" s="108"/>
      <c r="I12" s="109"/>
      <c r="J12" s="65"/>
      <c r="K12" s="108"/>
      <c r="L12" s="109"/>
      <c r="M12" s="110"/>
      <c r="N12" s="108"/>
      <c r="O12" s="108"/>
      <c r="P12" s="109"/>
      <c r="Q12" s="109"/>
      <c r="R12" s="111"/>
      <c r="S12" s="110"/>
      <c r="T12" s="108"/>
      <c r="U12" s="108"/>
      <c r="V12" s="109"/>
      <c r="W12" s="109"/>
      <c r="X12" s="112"/>
      <c r="Y12" s="110"/>
      <c r="Z12" s="108"/>
      <c r="AA12" s="108"/>
      <c r="AB12" s="109"/>
      <c r="AC12" s="109"/>
      <c r="AD12" s="113"/>
      <c r="AE12" s="114"/>
      <c r="AF12" s="115"/>
      <c r="AG12" s="19"/>
      <c r="AH12" s="116"/>
      <c r="AJ12" s="116"/>
      <c r="AK12" s="21"/>
      <c r="AL12" s="20"/>
      <c r="AM12" s="76"/>
      <c r="AN12" s="20"/>
      <c r="AO12" s="116"/>
      <c r="AP12" s="78"/>
      <c r="AQ12" s="67"/>
      <c r="AS12" s="118"/>
      <c r="AU12" s="74" t="s">
        <v>41</v>
      </c>
      <c r="AV12" s="67"/>
      <c r="AW12" s="67"/>
      <c r="AX12" s="67"/>
      <c r="AY12" s="80"/>
      <c r="AZ12" s="80"/>
      <c r="BA12" s="81"/>
      <c r="BC12" s="119"/>
      <c r="BF12" s="83">
        <v>0</v>
      </c>
      <c r="BG12" s="83">
        <v>0</v>
      </c>
      <c r="BI12" s="84">
        <v>0</v>
      </c>
      <c r="BL12" s="83">
        <v>0</v>
      </c>
    </row>
    <row r="13" spans="1:72" s="74" customFormat="1" ht="15" customHeight="1" x14ac:dyDescent="0.25">
      <c r="A13" s="57" t="s">
        <v>54</v>
      </c>
      <c r="B13" s="57" t="str">
        <f t="shared" ref="B13:B98" si="2">D13&amp;E13&amp;F13</f>
        <v>AudiA3 Sedan 35 TFSIAdvanced+Premium</v>
      </c>
      <c r="C13" s="58" t="s">
        <v>42</v>
      </c>
      <c r="D13" s="59" t="s">
        <v>38</v>
      </c>
      <c r="E13" s="60" t="s">
        <v>55</v>
      </c>
      <c r="F13" s="61" t="s">
        <v>56</v>
      </c>
      <c r="G13" s="62"/>
      <c r="H13" s="63">
        <v>4018320</v>
      </c>
      <c r="I13" s="64">
        <f>H13/$H$14*$I$14</f>
        <v>97.300030219205468</v>
      </c>
      <c r="J13" s="65">
        <v>0.16500000000000001</v>
      </c>
      <c r="K13" s="66">
        <f>(((H13-AO13)/(1+AQ13)/1.2/$AS$1)+AS13)*(1+AQ13)*(1.2)*$AS$1+AO13</f>
        <v>4239645.3</v>
      </c>
      <c r="L13" s="64">
        <f>K13/$K$14*$L$14</f>
        <v>102.65922470303821</v>
      </c>
      <c r="M13" s="65"/>
      <c r="N13" s="66">
        <f>AN13*1.2*(1+AV13)+AO13</f>
        <v>3540103.8254999998</v>
      </c>
      <c r="O13" s="63">
        <f>AK13*1.2*(1+AV13)+AO13</f>
        <v>3355297.2</v>
      </c>
      <c r="P13" s="64">
        <f>IF(ISNUMBER(O13),O13/$O$14*$P$14,"")</f>
        <v>92.958266857021258</v>
      </c>
      <c r="Q13" s="64">
        <f>IF(ISNUMBER(N13),N13/$N$14*$Q$14,"")</f>
        <v>98.078321083566252</v>
      </c>
      <c r="R13" s="67">
        <f>_xlfn.XLOOKUP(A13,'[1]My Input'!$B:$B,'[1]My Input'!$F:$F)</f>
        <v>0</v>
      </c>
      <c r="S13" s="65"/>
      <c r="T13" s="66">
        <f>IF(X13&lt;&gt;0,AM13*1.2*(1+AW13)+AO13-X13,AN13*1.2*(1+AV13)+AO13)</f>
        <v>3540103.8254999998</v>
      </c>
      <c r="U13" s="63">
        <f>IF(X13&lt;&gt;0,AJ13*1.2*(1+AW13)+AO13-X13,AK13*1.2*(1+AV13)+AO13)</f>
        <v>3355297.2</v>
      </c>
      <c r="V13" s="64">
        <f>IF(ISNUMBER(U13),U13/$U$14*$V$14,"")</f>
        <v>94.365683230886248</v>
      </c>
      <c r="W13" s="64">
        <f>IF(ISNUMBER(T13),T13/$T$14*$W$14,"")</f>
        <v>99.563256632402513</v>
      </c>
      <c r="X13" s="68">
        <f>_xlfn.XLOOKUP(A13,'[1]My Input'!$B:$B,'[1]My Input'!$I:$I)</f>
        <v>0</v>
      </c>
      <c r="Y13" s="65"/>
      <c r="Z13" s="66">
        <f t="shared" ref="Z13:Z98" si="3">IF(AD13&lt;&gt;0,AM13*1.2*(1+AQ13)+AO13-AD13,AL13*(1-AG13)*1.2*(1+AQ13)+AO13)</f>
        <v>3540103.8254999998</v>
      </c>
      <c r="AA13" s="63">
        <f>IF(AD13&lt;&gt;0,AJ13*1.2*(1+AX13)+AO13-AD13,AH13*(1-AG13)*1.2*(1+AV13)+AO13)</f>
        <v>3355297.2</v>
      </c>
      <c r="AB13" s="64">
        <f>IF(ISNUMBER(AA13),AA13/$AA$14*$AB$14,"")</f>
        <v>86.461662671452345</v>
      </c>
      <c r="AC13" s="64">
        <f>IF(ISNUMBER(Z13),Z13/$Z$14*$AC$14,"")</f>
        <v>91.223890027476244</v>
      </c>
      <c r="AD13" s="69">
        <f>_xlfn.XLOOKUP(A13,'[1]My Input'!$B:$B,'[1]My Input'!$N:$N)</f>
        <v>0</v>
      </c>
      <c r="AE13" s="70"/>
      <c r="AF13" s="71">
        <f>_xlfn.XLOOKUP(A13,'[1]My Input'!$B:$B,'[1]My Input'!$E:$E)</f>
        <v>0.16500000000000001</v>
      </c>
      <c r="AG13" s="72">
        <f>_xlfn.XLOOKUP(A13,'[1]My Input'!$B:$B,'[1]My Input'!$G:$G)</f>
        <v>0.16500000000000001</v>
      </c>
      <c r="AH13" s="73">
        <f>(H13-AO13)/1.2/(1+AQ13)</f>
        <v>1762421.0526315791</v>
      </c>
      <c r="AJ13" s="73">
        <f>AH13*(1-AF13)</f>
        <v>1471621.5789473685</v>
      </c>
      <c r="AK13" s="75">
        <f>AH13*(1-AF13-R13)</f>
        <v>1471621.5789473685</v>
      </c>
      <c r="AL13" s="76">
        <f>(K13-AO13)/1.2/(1+AQ13)</f>
        <v>1859493.5526315791</v>
      </c>
      <c r="AM13" s="76">
        <f>AL13*(1-AF13)</f>
        <v>1552677.1164473684</v>
      </c>
      <c r="AN13" s="76">
        <f>AL13*(1-AF13-R13)</f>
        <v>1552677.1164473684</v>
      </c>
      <c r="AO13" s="77">
        <f>_xlfn.XLOOKUP(A13,'[1]My Input'!$B:$B,'[1]My Input'!$T:$T)</f>
        <v>0</v>
      </c>
      <c r="AP13" s="78">
        <f>_xlfn.XLOOKUP(A13,'[1]My Input'!$B:$B,'[1]My Input'!$S:$S)</f>
        <v>1500</v>
      </c>
      <c r="AQ13" s="67">
        <f>_xlfn.XLOOKUP(A13,'[1]My Input'!$B:$B,'[1]My Input'!$U:$U)</f>
        <v>0.9</v>
      </c>
      <c r="AS13" s="151">
        <v>1849</v>
      </c>
      <c r="AU13" s="74" t="s">
        <v>41</v>
      </c>
      <c r="AV13" s="67" cm="1">
        <f t="array" ref="AV13">_xlfn.IFS(
 AND(AY13="ICE",  AP13&lt;=1400,AND(AK13&gt;900000,  AK13&lt;=1100000)),                    80%,
 AND(AY13="ICE",  AP13&lt;=1400,AK13&gt;1100000),                                       90%,
 AND(AY13="ICE",  AND(AP13&gt;1400,AP13&lt;=1600),   AK13&lt;=850000),                      75%,
 AND(AY13="ICE",  AND(AP13&gt;1400,AP13&lt;=1600),   AND(AK13&gt;850000,AK13&lt;=1100000)),     80%,
 AND(AY13="ICE",  AND(AP13&gt;1400,AP13&lt;=1600),   AND(AK13&gt;1100000,AK13&lt;=1650000)),    90%,
 AND(AY13="ICE",  AND(AP13&gt;1400,AP13&lt;=1600),   AK13&gt;1650000),                      100%,
 AND(AY13="ICE",  AND(AP13&gt;1600,AP13&lt;=2000),   AK13&lt;=1650000),                     150%,
 AND(AY13="ICE",  AND(AP13&gt;1600,AP13&lt;=2000),   AK13&gt;1650000),                      170%,
 AND(AY13="ICE",  AP13&gt;2000),                                                    220%,
 AND(AY13="PHEV",  AP13&lt;=1600,                AK13&lt;=1350000),                     45%,
 AND(AY13="PHEV",  AP13&lt;=1600,                AK13&gt;1350000),                      75%,
 AND(AY13="PHEV",  AND(AP13&gt;1600,AP13&lt;=1800),  AK13&lt;=1350000),                     85%,
 AND(AY13="BEV",    AZ13&lt;=160,                 AK13&lt;=1650000),                     25%,
 AND(AY13="BEV",    AZ13&lt;=160,                 AK13&gt;1650000),                      55%,
 AND(AY13="BEV",    AZ13&gt; 160,                 AK13&lt;=1650000),                     65%,
 AND(AY13="BEV",    AZ13&gt; 160,                 AK13&gt;1650000),                      75%)</f>
        <v>0.9</v>
      </c>
      <c r="AW13" s="67" cm="1">
        <f t="array" ref="AW13">_xlfn.IFS(
 X13=0,AV13,
 AND(AY13="ICE",  AP13&lt;=1400,AND((AJ13-BA13)&gt;900000,  (AJ13-BA13)&lt;=1100000)),                    80%,
 AND(AY13="ICE",  AP13&lt;=1400,(AJ13-BA13)&gt;1100000),                                       90%,
 AND(AY13="ICE",  AND(AP13&gt;1400,AP13&lt;=1600),   (AJ13-BA13)&lt;=850000),                      75%,
 AND(AY13="ICE",  AND(AP13&gt;1400,AP13&lt;=1600),   AND((AJ13-BA13)&gt;850000,(AJ13-BA13)&lt;=1100000)),     80%,
 AND(AY13="ICE",  AND(AP13&gt;1400,AP13&lt;=1600),   AND((AJ13-BA13)&gt;1100000,(AJ13-BA13)&lt;=1650000)),    90%,
 AND(AY13="ICE",  AND(AP13&gt;1400,AP13&lt;=1600),   (AJ13-BA13)&gt;1650000),                      100%,
 AND(AY13="ICE",  AND(AP13&gt;1600,AP13&lt;=2000),   (AJ13-BA13)&lt;=1650000),                     150%,
 AND(AY13="ICE",  AND(AP13&gt;1600,AP13&lt;=2000),   (AJ13-BA13)&gt;1650000),                      170%,
 AND(AY13="ICE",  AP13&gt;2000),                                                    220%,
 AND(AY13="PHEV",  AP13&lt;=1600,                (AJ13-BA13)&lt;=1350000),                     45%,
 AND(AY13="PHEV",  AP13&lt;=1600,                (AJ13-BA13)&gt;1350000),                      75%,
 AND(AY13="PHEV",  AND(AP13&gt;1600,AP13&lt;=1800),  (AJ13-BA13)&lt;=1350000),                     85%,
 AND(AY13="BEV",    AZ13&lt;=160,                 (AJ13-BA13)&lt;=1650000),                     25%,
 AND(AY13="BEV",    AZ13&lt;=160,                 (AJ13-BA13)&gt;1650000),                      55%,
 AND(AY13="BEV",    AZ13&gt; 160,                 (AJ13-BA13)&lt;=1650000),                     65%,
 AND(AY13="BEV",    AZ13&gt; 160,                 (AJ13-BA13)&gt;1650000),                      75%)</f>
        <v>0.9</v>
      </c>
      <c r="AX13" s="67" cm="1">
        <f t="array" ref="AX13">_xlfn.IFS(
 AD13=0,AV13,
 AND(AY13="ICE",  AP13&lt;=1400,AND(AJ13&gt;900000,  AJ13&lt;=1100000)),                    80%,
 AND(AY13="ICE",  AP13&lt;=1400,AJ13&gt;1100000),                                       90%,
 AND(AY13="ICE",  AND(AP13&gt;1400,AP13&lt;=1600),   AJ13&lt;=850000),                      75%,
 AND(AY13="ICE",  AND(AP13&gt;1400,AP13&lt;=1600),   AND(AJ13&gt;850000,AJ13&lt;=1100000)),     80%,
 AND(AY13="ICE",  AND(AP13&gt;1400,AP13&lt;=1600),   AND(AJ13&gt;1100000,AJ13&lt;=1650000)),    90%,
 AND(AY13="ICE",  AND(AP13&gt;1400,AP13&lt;=1600),   AJ13&gt;1650000),                      100%,
 AND(AY13="ICE",  AND(AP13&gt;1600,AP13&lt;=2000),   AJ13&lt;=1650000),                     150%,
 AND(AY13="ICE",  AND(AP13&gt;1600,AP13&lt;=2000),   AJ13&gt;1650000),                      170%,
 AND(AY13="ICE",  AP13&gt;2000),                                                    220%,
 AND(AY13="PHEV",  AP13&lt;=1600,                AJ13&lt;=1350000),                     45%,
 AND(AY13="PHEV",  AP13&lt;=1600,                AJ13&gt;1350000),                      75%,
 AND(AY13="PHEV",  AND(AP13&gt;1600,AP13&lt;=1800),  AJ13&lt;=1350000),                     85%,
 AND(AY13="BEV",    AZ13&lt;=160,                 AJ13&lt;=1650000),                     25%,
 AND(AY13="BEV",    AZ13&lt;=160,                 AJ13&gt;1650000),                      55%,
 AND(AY13="BEV",    AZ13&gt; 160,                 AJ13&lt;=1650000),                     65%,
 AND(AY13="BEV",    AZ13&gt; 160,                 AJ13&gt;1650000),                      75%)</f>
        <v>0.9</v>
      </c>
      <c r="AY13" s="80" t="str">
        <f>_xlfn.XLOOKUP(A13,'[1]My Input'!$B:$B,'[1]My Input'!$V:$V)</f>
        <v>ICE</v>
      </c>
      <c r="AZ13" s="80" t="str">
        <f>_xlfn.IFNA(_xlfn.XLOOKUP(A13,'[1]kW Tescil'!$A:$A,'[1]kW Tescil'!$C:$C),"-")</f>
        <v>-</v>
      </c>
      <c r="BA13" s="81">
        <f>_xlfn.XLOOKUP(A13,'[1]My Input'!$B:$B,'[1]My Input'!$H:$H)</f>
        <v>0</v>
      </c>
      <c r="BC13" s="82">
        <v>-0.46964564606298609</v>
      </c>
      <c r="BD13" s="82">
        <v>1.8224712883365441</v>
      </c>
      <c r="BF13" s="83">
        <v>2.1236334982032901</v>
      </c>
      <c r="BG13" s="83">
        <v>4.4664428343960054</v>
      </c>
      <c r="BI13" s="84">
        <v>368674.5279188049</v>
      </c>
      <c r="BL13" s="83">
        <v>-1.3958095085901192</v>
      </c>
    </row>
    <row r="14" spans="1:72" s="74" customFormat="1" ht="15" customHeight="1" thickBot="1" x14ac:dyDescent="0.3">
      <c r="A14" s="57" t="s">
        <v>57</v>
      </c>
      <c r="B14" s="57" t="str">
        <f t="shared" si="2"/>
        <v>BMW220 Gran CoupéSport Line</v>
      </c>
      <c r="C14" s="58" t="s">
        <v>37</v>
      </c>
      <c r="D14" s="94" t="s">
        <v>44</v>
      </c>
      <c r="E14" s="95" t="s">
        <v>58</v>
      </c>
      <c r="F14" s="152" t="s">
        <v>45</v>
      </c>
      <c r="G14" s="62"/>
      <c r="H14" s="98">
        <v>4129824</v>
      </c>
      <c r="I14" s="99">
        <v>100</v>
      </c>
      <c r="J14" s="65">
        <v>0.08</v>
      </c>
      <c r="K14" s="100">
        <f>(((H14-AO14)/(1+AQ14)/1.2/$AS$1)+AS14)*(1+AQ14)*(1.2)*$AS$1+AO14</f>
        <v>4129823.9999999995</v>
      </c>
      <c r="L14" s="99">
        <v>100</v>
      </c>
      <c r="M14" s="65"/>
      <c r="N14" s="100">
        <f>AN14*1.2*(1+AV14)+AO14</f>
        <v>3609466.175999999</v>
      </c>
      <c r="O14" s="98">
        <f>AK14*1.2*(1+AV14)+AO14</f>
        <v>3609466.1759999995</v>
      </c>
      <c r="P14" s="99">
        <v>100</v>
      </c>
      <c r="Q14" s="99">
        <v>100</v>
      </c>
      <c r="R14" s="67">
        <f>_xlfn.XLOOKUP(A14,'[1]My Input'!$B:$B,'[1]My Input'!$F:$F)</f>
        <v>0.05</v>
      </c>
      <c r="S14" s="65"/>
      <c r="T14" s="100">
        <f>IF(X14&lt;&gt;0,AM14*1.2*(1+AW14)+AO14-X14,AN14*1.2*(1+AV14)+AO14)</f>
        <v>3555632.8159999992</v>
      </c>
      <c r="U14" s="98">
        <f>IF(X14&lt;&gt;0,AJ14*1.2*(1+AW14)+AO14-X14,AK14*1.2*(1+AV14)+AO14)</f>
        <v>3555632.8159999996</v>
      </c>
      <c r="V14" s="99">
        <v>100</v>
      </c>
      <c r="W14" s="99">
        <v>100</v>
      </c>
      <c r="X14" s="102">
        <f>_xlfn.XLOOKUP(A14,'[1]My Input'!$B:$B,'[1]My Input'!$I:$I)</f>
        <v>250000</v>
      </c>
      <c r="Y14" s="65"/>
      <c r="Z14" s="100">
        <f t="shared" si="3"/>
        <v>3880676.2399999993</v>
      </c>
      <c r="AA14" s="98">
        <f>IF(AD14&lt;&gt;0,AJ14*1.2*(1+AX14)+AO14-AD14,AH14*(1-AG14)*1.2*(1+AV14)+AO14)</f>
        <v>3880676.2399999998</v>
      </c>
      <c r="AB14" s="99">
        <v>100</v>
      </c>
      <c r="AC14" s="99">
        <v>100</v>
      </c>
      <c r="AD14" s="98">
        <f>_xlfn.XLOOKUP(A14,'[1]My Input'!$B:$B,'[1]My Input'!$N:$N)</f>
        <v>125253.04</v>
      </c>
      <c r="AE14" s="70"/>
      <c r="AF14" s="71">
        <f>_xlfn.XLOOKUP(A14,'[1]My Input'!$B:$B,'[1]My Input'!$E:$E)</f>
        <v>0.03</v>
      </c>
      <c r="AG14" s="72">
        <f>_xlfn.XLOOKUP(A14,'[1]My Input'!$B:$B,'[1]My Input'!$G:$G)</f>
        <v>0.08</v>
      </c>
      <c r="AH14" s="73">
        <f>(H14-AO14)/1.2/(1+AQ14)</f>
        <v>1720760</v>
      </c>
      <c r="AJ14" s="73">
        <f>AH14*(1-AF14)</f>
        <v>1669137.2</v>
      </c>
      <c r="AK14" s="75">
        <f>AH14*(1-AF14-R14)</f>
        <v>1583099.2</v>
      </c>
      <c r="AL14" s="76">
        <f>(K14-AO14)/1.2/(1+AQ14)</f>
        <v>1720759.9999999998</v>
      </c>
      <c r="AM14" s="76">
        <f>AL14*(1-AF14)</f>
        <v>1669137.1999999997</v>
      </c>
      <c r="AN14" s="76">
        <f>AL14*(1-AF14-R14)</f>
        <v>1583099.1999999997</v>
      </c>
      <c r="AO14" s="77">
        <f>_xlfn.XLOOKUP(A14,'[1]My Input'!$B:$B,'[1]My Input'!$T:$T)</f>
        <v>0</v>
      </c>
      <c r="AP14" s="78">
        <f>_xlfn.XLOOKUP(A14,'[1]My Input'!$B:$B,'[1]My Input'!$S:$S)</f>
        <v>1600</v>
      </c>
      <c r="AQ14" s="67">
        <v>1</v>
      </c>
      <c r="AS14" s="103">
        <f>_xlfn.XLOOKUP(A14,'[1]My Input'!$B:$B,'[1]My Input'!$Q:$Q)</f>
        <v>0</v>
      </c>
      <c r="AU14" s="74" t="s">
        <v>41</v>
      </c>
      <c r="AV14" s="67" cm="1">
        <f t="array" ref="AV14">_xlfn.IFS(
 AND(AY14="ICE",  AP14&lt;=1400,AND(AK14&gt;900000,  AK14&lt;=1100000)),                    80%,
 AND(AY14="ICE",  AP14&lt;=1400,AK14&gt;1100000),                                       90%,
 AND(AY14="ICE",  AND(AP14&gt;1400,AP14&lt;=1600),   AK14&lt;=850000),                      75%,
 AND(AY14="ICE",  AND(AP14&gt;1400,AP14&lt;=1600),   AND(AK14&gt;850000,AK14&lt;=1100000)),     80%,
 AND(AY14="ICE",  AND(AP14&gt;1400,AP14&lt;=1600),   AND(AK14&gt;1100000,AK14&lt;=1650000)),    90%,
 AND(AY14="ICE",  AND(AP14&gt;1400,AP14&lt;=1600),   AK14&gt;1650000),                      100%,
 AND(AY14="ICE",  AND(AP14&gt;1600,AP14&lt;=2000),   AK14&lt;=1650000),                     150%,
 AND(AY14="ICE",  AND(AP14&gt;1600,AP14&lt;=2000),   AK14&gt;1650000),                      170%,
 AND(AY14="ICE",  AP14&gt;2000),                                                    220%,
 AND(AY14="PHEV",  AP14&lt;=1600,                AK14&lt;=1350000),                     45%,
 AND(AY14="PHEV",  AP14&lt;=1600,                AK14&gt;1350000),                      75%,
 AND(AY14="PHEV",  AND(AP14&gt;1600,AP14&lt;=1800),  AK14&lt;=1350000),                     85%,
 AND(AY14="BEV",    AZ14&lt;=160,                 AK14&lt;=1650000),                     25%,
 AND(AY14="BEV",    AZ14&lt;=160,                 AK14&gt;1650000),                      55%,
 AND(AY14="BEV",    AZ14&gt; 160,                 AK14&lt;=1650000),                     65%,
 AND(AY14="BEV",    AZ14&gt; 160,                 AK14&gt;1650000),                      75%)</f>
        <v>0.9</v>
      </c>
      <c r="AW14" s="67" cm="1">
        <f t="array" ref="AW14">_xlfn.IFS(
 X14=0,AV14,
 AND(AY14="ICE",  AP14&lt;=1400,AND((AJ14-BA14)&gt;900000,  (AJ14-BA14)&lt;=1100000)),                    80%,
 AND(AY14="ICE",  AP14&lt;=1400,(AJ14-BA14)&gt;1100000),                                       90%,
 AND(AY14="ICE",  AND(AP14&gt;1400,AP14&lt;=1600),   (AJ14-BA14)&lt;=850000),                      75%,
 AND(AY14="ICE",  AND(AP14&gt;1400,AP14&lt;=1600),   AND((AJ14-BA14)&gt;850000,(AJ14-BA14)&lt;=1100000)),     80%,
 AND(AY14="ICE",  AND(AP14&gt;1400,AP14&lt;=1600),   AND((AJ14-BA14)&gt;1100000,(AJ14-BA14)&lt;=1650000)),    90%,
 AND(AY14="ICE",  AND(AP14&gt;1400,AP14&lt;=1600),   (AJ14-BA14)&gt;1650000),                      100%,
 AND(AY14="ICE",  AND(AP14&gt;1600,AP14&lt;=2000),   (AJ14-BA14)&lt;=1650000),                     150%,
 AND(AY14="ICE",  AND(AP14&gt;1600,AP14&lt;=2000),   (AJ14-BA14)&gt;1650000),                      170%,
 AND(AY14="ICE",  AP14&gt;2000),                                                    220%,
 AND(AY14="PHEV",  AP14&lt;=1600,                (AJ14-BA14)&lt;=1350000),                     45%,
 AND(AY14="PHEV",  AP14&lt;=1600,                (AJ14-BA14)&gt;1350000),                      75%,
 AND(AY14="PHEV",  AND(AP14&gt;1600,AP14&lt;=1800),  (AJ14-BA14)&lt;=1350000),                     85%,
 AND(AY14="BEV",    AZ14&lt;=160,                 (AJ14-BA14)&lt;=1650000),                     25%,
 AND(AY14="BEV",    AZ14&lt;=160,                 (AJ14-BA14)&gt;1650000),                      55%,
 AND(AY14="BEV",    AZ14&gt; 160,                 (AJ14-BA14)&lt;=1650000),                     65%,
 AND(AY14="BEV",    AZ14&gt; 160,                 (AJ14-BA14)&gt;1650000),                      75%)</f>
        <v>0.9</v>
      </c>
      <c r="AX14" s="67" cm="1">
        <f t="array" ref="AX14">_xlfn.IFS(
 AD14=0,AV14,
 AND(AY14="ICE",  AP14&lt;=1400,AND(AJ14&gt;900000,  AJ14&lt;=1100000)),                    80%,
 AND(AY14="ICE",  AP14&lt;=1400,AJ14&gt;1100000),                                       90%,
 AND(AY14="ICE",  AND(AP14&gt;1400,AP14&lt;=1600),   AJ14&lt;=850000),                      75%,
 AND(AY14="ICE",  AND(AP14&gt;1400,AP14&lt;=1600),   AND(AJ14&gt;850000,AJ14&lt;=1100000)),     80%,
 AND(AY14="ICE",  AND(AP14&gt;1400,AP14&lt;=1600),   AND(AJ14&gt;1100000,AJ14&lt;=1650000)),    90%,
 AND(AY14="ICE",  AND(AP14&gt;1400,AP14&lt;=1600),   AJ14&gt;1650000),                      100%,
 AND(AY14="ICE",  AND(AP14&gt;1600,AP14&lt;=2000),   AJ14&lt;=1650000),                     150%,
 AND(AY14="ICE",  AND(AP14&gt;1600,AP14&lt;=2000),   AJ14&gt;1650000),                      170%,
 AND(AY14="ICE",  AP14&gt;2000),                                                    220%,
 AND(AY14="PHEV",  AP14&lt;=1600,                AJ14&lt;=1350000),                     45%,
 AND(AY14="PHEV",  AP14&lt;=1600,                AJ14&gt;1350000),                      75%,
 AND(AY14="PHEV",  AND(AP14&gt;1600,AP14&lt;=1800),  AJ14&lt;=1350000),                     85%,
 AND(AY14="BEV",    AZ14&lt;=160,                 AJ14&lt;=1650000),                     25%,
 AND(AY14="BEV",    AZ14&lt;=160,                 AJ14&gt;1650000),                      55%,
 AND(AY14="BEV",    AZ14&gt; 160,                 AJ14&lt;=1650000),                     65%,
 AND(AY14="BEV",    AZ14&gt; 160,                 AJ14&gt;1650000),                      75%)</f>
        <v>1</v>
      </c>
      <c r="AY14" s="80" t="str">
        <f>_xlfn.XLOOKUP(A14,'[1]My Input'!$B:$B,'[1]My Input'!$V:$V)</f>
        <v>ICE</v>
      </c>
      <c r="AZ14" s="80" t="str">
        <f>_xlfn.IFNA(_xlfn.XLOOKUP(A14,'[1]kW Tescil'!$A:$A,'[1]kW Tescil'!$C:$C),"-")</f>
        <v>-</v>
      </c>
      <c r="BA14" s="81">
        <f>_xlfn.XLOOKUP(A14,'[1]My Input'!$B:$B,'[1]My Input'!$H:$H)</f>
        <v>109649.12280701756</v>
      </c>
      <c r="BC14" s="82">
        <v>0</v>
      </c>
      <c r="BD14" s="82">
        <v>0</v>
      </c>
      <c r="BF14" s="83">
        <v>0</v>
      </c>
      <c r="BG14" s="83">
        <v>0</v>
      </c>
      <c r="BI14" s="84">
        <v>301121.01810999867</v>
      </c>
      <c r="BL14" s="83">
        <v>0</v>
      </c>
    </row>
    <row r="15" spans="1:72" s="117" customFormat="1" ht="7.15" customHeight="1" thickBot="1" x14ac:dyDescent="0.3">
      <c r="A15" s="57"/>
      <c r="B15" s="57"/>
      <c r="C15" s="104"/>
      <c r="D15" s="105"/>
      <c r="E15" s="106"/>
      <c r="F15" s="106"/>
      <c r="G15" s="107"/>
      <c r="H15" s="108"/>
      <c r="I15" s="109"/>
      <c r="J15" s="65"/>
      <c r="K15" s="108"/>
      <c r="L15" s="109"/>
      <c r="M15" s="110"/>
      <c r="N15" s="108"/>
      <c r="O15" s="108"/>
      <c r="P15" s="109"/>
      <c r="Q15" s="109"/>
      <c r="R15" s="111"/>
      <c r="S15" s="110"/>
      <c r="T15" s="108"/>
      <c r="U15" s="108"/>
      <c r="V15" s="109"/>
      <c r="W15" s="109"/>
      <c r="X15" s="112"/>
      <c r="Y15" s="110"/>
      <c r="Z15" s="108"/>
      <c r="AA15" s="108"/>
      <c r="AB15" s="109"/>
      <c r="AC15" s="109"/>
      <c r="AD15" s="113"/>
      <c r="AE15" s="114"/>
      <c r="AF15" s="115"/>
      <c r="AG15" s="19"/>
      <c r="AH15" s="116"/>
      <c r="AJ15" s="116"/>
      <c r="AK15" s="21"/>
      <c r="AL15" s="20"/>
      <c r="AM15" s="76"/>
      <c r="AN15" s="20"/>
      <c r="AO15" s="116"/>
      <c r="AP15" s="78"/>
      <c r="AQ15" s="67"/>
      <c r="AS15" s="118"/>
      <c r="AU15" s="74" t="s">
        <v>41</v>
      </c>
      <c r="AV15" s="67"/>
      <c r="AW15" s="67"/>
      <c r="AX15" s="67"/>
      <c r="AY15" s="80"/>
      <c r="AZ15" s="80"/>
      <c r="BA15" s="81"/>
      <c r="BC15" s="82">
        <v>0</v>
      </c>
      <c r="BD15" s="82">
        <v>0</v>
      </c>
      <c r="BF15" s="83">
        <v>0</v>
      </c>
      <c r="BG15" s="83">
        <v>0</v>
      </c>
      <c r="BI15" s="84">
        <v>0</v>
      </c>
      <c r="BL15" s="83">
        <v>0</v>
      </c>
    </row>
    <row r="16" spans="1:72" s="74" customFormat="1" ht="15" hidden="1" customHeight="1" thickBot="1" x14ac:dyDescent="0.3">
      <c r="A16" s="57" t="s">
        <v>59</v>
      </c>
      <c r="B16" s="57" t="str">
        <f t="shared" ref="B16:B101" si="4">D16&amp;E16&amp;F16</f>
        <v>MBA 200 SedanAMG</v>
      </c>
      <c r="C16" s="58" t="s">
        <v>37</v>
      </c>
      <c r="D16" s="59" t="s">
        <v>47</v>
      </c>
      <c r="E16" s="60" t="s">
        <v>60</v>
      </c>
      <c r="F16" s="61" t="s">
        <v>49</v>
      </c>
      <c r="G16" s="62"/>
      <c r="H16" s="63">
        <f>3369379*1.06</f>
        <v>3571541.74</v>
      </c>
      <c r="I16" s="64">
        <f>H16/$H$21*$I$21</f>
        <v>81.792131100387309</v>
      </c>
      <c r="J16" s="65"/>
      <c r="K16" s="66">
        <f t="shared" ref="K16:K21" si="5">(((H16-AO16)/(1+AQ16)/1.2/$AS$1)+AS16)*(1+AQ16)*(1.2)*$AS$1+AO16</f>
        <v>3664069.8400000003</v>
      </c>
      <c r="L16" s="64">
        <f>K16/$K$21*$L$21</f>
        <v>83.911123691432806</v>
      </c>
      <c r="M16" s="65"/>
      <c r="N16" s="66">
        <f t="shared" ref="N16:N21" si="6">AN16*1.2*(1+AV16)+AO16</f>
        <v>3445047.2452000002</v>
      </c>
      <c r="O16" s="63">
        <f t="shared" ref="O16:O21" si="7">AK16*1.2*(1+AV16)+AO16</f>
        <v>3358070.8312000004</v>
      </c>
      <c r="P16" s="64">
        <f>IF(ISNUMBER(O16),O16/$O$21*$P$21,"")</f>
        <v>89.422579829725109</v>
      </c>
      <c r="Q16" s="64">
        <f>IF(ISNUMBER(N16),N16/$N$21*$Q$21,"")</f>
        <v>91.7386880106353</v>
      </c>
      <c r="R16" s="67">
        <f>_xlfn.XLOOKUP(A16,'[1]My Input'!$B:$B,'[1]My Input'!$F:$F)</f>
        <v>0</v>
      </c>
      <c r="S16" s="65"/>
      <c r="T16" s="66">
        <f t="shared" ref="T16:T21" si="8">IF(X16&lt;&gt;0,AM16*1.2*(1+AW16)+AO16-X16,AN16*1.2*(1+AV16)+AO16)</f>
        <v>3445047.2452000002</v>
      </c>
      <c r="U16" s="63">
        <f t="shared" ref="U16:U21" si="9">IF(X16&lt;&gt;0,AJ16*1.2*(1+AW16)+AO16-X16,AK16*1.2*(1+AV16)+AO16)</f>
        <v>3358070.8312000004</v>
      </c>
      <c r="V16" s="64">
        <f>IF(ISNUMBER(U16),U16/$U$21*$V$21,"")</f>
        <v>79.791888695922154</v>
      </c>
      <c r="W16" s="64">
        <f>IF(ISNUMBER(T16),T16/$T$21*$W$21,"")</f>
        <v>81.858555152322793</v>
      </c>
      <c r="X16" s="68">
        <f>_xlfn.XLOOKUP(A16,'[1]My Input'!$B:$B,'[1]My Input'!$I:$I)</f>
        <v>0</v>
      </c>
      <c r="Y16" s="65"/>
      <c r="Z16" s="66">
        <f t="shared" ref="Z16:Z101" si="10">IF(AD16&lt;&gt;0,AM16*1.2*(1+AQ16)+AO16-AD16,AL16*(1-AG16)*1.2*(1+AQ16)+AO16)</f>
        <v>3364230.4152000002</v>
      </c>
      <c r="AA16" s="63">
        <f t="shared" ref="AA16:AA21" si="11">IF(AD16&lt;&gt;0,AJ16*1.2*(1+AX16)+AO16-AD16,AH16*(1-AG16)*1.2*(1+AV16)+AO16)</f>
        <v>3277254.0012000003</v>
      </c>
      <c r="AB16" s="64">
        <f>IF(ISNUMBER(AA16),AA16/$AA$21*$AB$21,"")</f>
        <v>75.629807368549692</v>
      </c>
      <c r="AC16" s="64">
        <f>IF(ISNUMBER(Z16),Z16/$Z$21*$AC$21,"")</f>
        <v>81.847650809246559</v>
      </c>
      <c r="AD16" s="69">
        <f>_xlfn.XLOOKUP(A16,'[1]My Input'!$B:$B,'[1]My Input'!$N:$N)</f>
        <v>80816.83</v>
      </c>
      <c r="AE16" s="70"/>
      <c r="AF16" s="71">
        <f>_xlfn.XLOOKUP(A16,'[1]My Input'!$B:$B,'[1]My Input'!$E:$E)</f>
        <v>0.06</v>
      </c>
      <c r="AG16" s="72">
        <f>_xlfn.XLOOKUP(A16,'[1]My Input'!$B:$B,'[1]My Input'!$G:$G)</f>
        <v>0.06</v>
      </c>
      <c r="AH16" s="73">
        <f t="shared" ref="AH16:AH21" si="12">(H16-AO16)/1.2/(1+AQ16)</f>
        <v>1560459.8596491232</v>
      </c>
      <c r="AJ16" s="73">
        <f t="shared" ref="AJ16:AJ21" si="13">AH16*(1-AF16)</f>
        <v>1466832.2680701758</v>
      </c>
      <c r="AK16" s="75">
        <f t="shared" ref="AK16:AK21" si="14">AH16*(1-AF16-R16)</f>
        <v>1466832.2680701758</v>
      </c>
      <c r="AL16" s="76">
        <f t="shared" ref="AL16:AL21" si="15">(K16-AO16)/1.2/(1+AQ16)</f>
        <v>1601042.3596491232</v>
      </c>
      <c r="AM16" s="76">
        <f t="shared" ref="AM16:AM21" si="16">AL16*(1-AF16)</f>
        <v>1504979.8180701756</v>
      </c>
      <c r="AN16" s="76">
        <f t="shared" ref="AN16:AN21" si="17">AL16*(1-AF16-R16)</f>
        <v>1504979.8180701756</v>
      </c>
      <c r="AO16" s="77">
        <f>_xlfn.XLOOKUP(A16,'[1]My Input'!$B:$B,'[1]My Input'!$T:$T)</f>
        <v>13693.26</v>
      </c>
      <c r="AP16" s="78">
        <f>_xlfn.XLOOKUP(A16,'[1]My Input'!$B:$B,'[1]My Input'!$S:$S)</f>
        <v>1300</v>
      </c>
      <c r="AQ16" s="67">
        <f>_xlfn.XLOOKUP(A16,'[1]My Input'!$B:$B,'[1]My Input'!$U:$U)</f>
        <v>0.9</v>
      </c>
      <c r="AS16" s="153">
        <v>773</v>
      </c>
      <c r="AU16" s="74" t="s">
        <v>41</v>
      </c>
      <c r="AV16" s="67" cm="1">
        <f t="array" ref="AV16">_xlfn.IFS(
 AND(AY16="ICE",  AP16&lt;=1400,AND(AK16&gt;900000,  AK16&lt;=1100000)),                    80%,
 AND(AY16="ICE",  AP16&lt;=1400,AK16&gt;1100000),                                       90%,
 AND(AY16="ICE",  AND(AP16&gt;1400,AP16&lt;=1600),   AK16&lt;=850000),                      75%,
 AND(AY16="ICE",  AND(AP16&gt;1400,AP16&lt;=1600),   AND(AK16&gt;850000,AK16&lt;=1100000)),     80%,
 AND(AY16="ICE",  AND(AP16&gt;1400,AP16&lt;=1600),   AND(AK16&gt;1100000,AK16&lt;=1650000)),    90%,
 AND(AY16="ICE",  AND(AP16&gt;1400,AP16&lt;=1600),   AK16&gt;1650000),                      100%,
 AND(AY16="ICE",  AND(AP16&gt;1600,AP16&lt;=2000),   AK16&lt;=1650000),                     150%,
 AND(AY16="ICE",  AND(AP16&gt;1600,AP16&lt;=2000),   AK16&gt;1650000),                      170%,
 AND(AY16="ICE",  AP16&gt;2000),                                                    220%,
 AND(AY16="PHEV",  AP16&lt;=1600,                AK16&lt;=1350000),                     45%,
 AND(AY16="PHEV",  AP16&lt;=1600,                AK16&gt;1350000),                      75%,
 AND(AY16="PHEV",  AND(AP16&gt;1600,AP16&lt;=1800),  AK16&lt;=1350000),                     85%,
 AND(AY16="BEV",    AZ16&lt;=160,                 AK16&lt;=1650000),                     25%,
 AND(AY16="BEV",    AZ16&lt;=160,                 AK16&gt;1650000),                      55%,
 AND(AY16="BEV",    AZ16&gt; 160,                 AK16&lt;=1650000),                     65%,
 AND(AY16="BEV",    AZ16&gt; 160,                 AK16&gt;1650000),                      75%)</f>
        <v>0.9</v>
      </c>
      <c r="AW16" s="67" cm="1">
        <f t="array" ref="AW16">_xlfn.IFS(
 X16=0,AV16,
 AND(AY16="ICE",  AP16&lt;=1400,AND((AJ16-BA16)&gt;900000,  (AJ16-BA16)&lt;=1100000)),                    80%,
 AND(AY16="ICE",  AP16&lt;=1400,(AJ16-BA16)&gt;1100000),                                       90%,
 AND(AY16="ICE",  AND(AP16&gt;1400,AP16&lt;=1600),   (AJ16-BA16)&lt;=850000),                      75%,
 AND(AY16="ICE",  AND(AP16&gt;1400,AP16&lt;=1600),   AND((AJ16-BA16)&gt;850000,(AJ16-BA16)&lt;=1100000)),     80%,
 AND(AY16="ICE",  AND(AP16&gt;1400,AP16&lt;=1600),   AND((AJ16-BA16)&gt;1100000,(AJ16-BA16)&lt;=1650000)),    90%,
 AND(AY16="ICE",  AND(AP16&gt;1400,AP16&lt;=1600),   (AJ16-BA16)&gt;1650000),                      100%,
 AND(AY16="ICE",  AND(AP16&gt;1600,AP16&lt;=2000),   (AJ16-BA16)&lt;=1650000),                     150%,
 AND(AY16="ICE",  AND(AP16&gt;1600,AP16&lt;=2000),   (AJ16-BA16)&gt;1650000),                      170%,
 AND(AY16="ICE",  AP16&gt;2000),                                                    220%,
 AND(AY16="PHEV",  AP16&lt;=1600,                (AJ16-BA16)&lt;=1350000),                     45%,
 AND(AY16="PHEV",  AP16&lt;=1600,                (AJ16-BA16)&gt;1350000),                      75%,
 AND(AY16="PHEV",  AND(AP16&gt;1600,AP16&lt;=1800),  (AJ16-BA16)&lt;=1350000),                     85%,
 AND(AY16="BEV",    AZ16&lt;=160,                 (AJ16-BA16)&lt;=1650000),                     25%,
 AND(AY16="BEV",    AZ16&lt;=160,                 (AJ16-BA16)&gt;1650000),                      55%,
 AND(AY16="BEV",    AZ16&gt; 160,                 (AJ16-BA16)&lt;=1650000),                     65%,
 AND(AY16="BEV",    AZ16&gt; 160,                 (AJ16-BA16)&gt;1650000),                      75%)</f>
        <v>0.9</v>
      </c>
      <c r="AX16" s="67" cm="1">
        <f t="array" ref="AX16">_xlfn.IFS(
 AD16=0,AV16,
 AND(AY16="ICE",  AP16&lt;=1400,AND(AJ16&gt;900000,  AJ16&lt;=1100000)),                    80%,
 AND(AY16="ICE",  AP16&lt;=1400,AJ16&gt;1100000),                                       90%,
 AND(AY16="ICE",  AND(AP16&gt;1400,AP16&lt;=1600),   AJ16&lt;=850000),                      75%,
 AND(AY16="ICE",  AND(AP16&gt;1400,AP16&lt;=1600),   AND(AJ16&gt;850000,AJ16&lt;=1100000)),     80%,
 AND(AY16="ICE",  AND(AP16&gt;1400,AP16&lt;=1600),   AND(AJ16&gt;1100000,AJ16&lt;=1650000)),    90%,
 AND(AY16="ICE",  AND(AP16&gt;1400,AP16&lt;=1600),   AJ16&gt;1650000),                      100%,
 AND(AY16="ICE",  AND(AP16&gt;1600,AP16&lt;=2000),   AJ16&lt;=1650000),                     150%,
 AND(AY16="ICE",  AND(AP16&gt;1600,AP16&lt;=2000),   AJ16&gt;1650000),                      170%,
 AND(AY16="ICE",  AP16&gt;2000),                                                    220%,
 AND(AY16="PHEV",  AP16&lt;=1600,                AJ16&lt;=1350000),                     45%,
 AND(AY16="PHEV",  AP16&lt;=1600,                AJ16&gt;1350000),                      75%,
 AND(AY16="PHEV",  AND(AP16&gt;1600,AP16&lt;=1800),  AJ16&lt;=1350000),                     85%,
 AND(AY16="BEV",    AZ16&lt;=160,                 AJ16&lt;=1650000),                     25%,
 AND(AY16="BEV",    AZ16&lt;=160,                 AJ16&gt;1650000),                      55%,
 AND(AY16="BEV",    AZ16&gt; 160,                 AJ16&lt;=1650000),                     65%,
 AND(AY16="BEV",    AZ16&gt; 160,                 AJ16&gt;1650000),                      75%)</f>
        <v>0.9</v>
      </c>
      <c r="AY16" s="80" t="str">
        <f>_xlfn.XLOOKUP(A16,'[1]My Input'!$B:$B,'[1]My Input'!$V:$V)</f>
        <v>ICE</v>
      </c>
      <c r="AZ16" s="80" t="str">
        <f>_xlfn.IFNA(_xlfn.XLOOKUP(A16,'[1]kW Tescil'!$A:$A,'[1]kW Tescil'!$C:$C),"-")</f>
        <v>-</v>
      </c>
      <c r="BA16" s="81">
        <f>_xlfn.XLOOKUP(A16,'[1]My Input'!$B:$B,'[1]My Input'!$H:$H)</f>
        <v>0</v>
      </c>
      <c r="BC16" s="82">
        <v>4.9449568571650246</v>
      </c>
      <c r="BD16" s="82">
        <v>5.8685095638429488</v>
      </c>
      <c r="BF16" s="83">
        <v>7.7645263612884179</v>
      </c>
      <c r="BG16" s="83">
        <v>8.7388448175738489</v>
      </c>
      <c r="BI16" s="84">
        <v>433005.59120000061</v>
      </c>
      <c r="BL16" s="83">
        <v>-4.3620210090535778</v>
      </c>
    </row>
    <row r="17" spans="1:70" s="74" customFormat="1" ht="15" hidden="1" customHeight="1" thickBot="1" x14ac:dyDescent="0.3">
      <c r="A17" s="57" t="s">
        <v>61</v>
      </c>
      <c r="B17" s="57" t="str">
        <f t="shared" si="4"/>
        <v>MBCLA 200AMG</v>
      </c>
      <c r="C17" s="58" t="s">
        <v>37</v>
      </c>
      <c r="D17" s="59" t="s">
        <v>47</v>
      </c>
      <c r="E17" s="60" t="s">
        <v>62</v>
      </c>
      <c r="F17" s="61" t="s">
        <v>49</v>
      </c>
      <c r="G17" s="62"/>
      <c r="H17" s="63">
        <f>4021444*(1+3%)</f>
        <v>4142087.3200000003</v>
      </c>
      <c r="I17" s="64">
        <f>H17/$H$21*$I$21</f>
        <v>94.858235957979289</v>
      </c>
      <c r="J17" s="65"/>
      <c r="K17" s="91">
        <f t="shared" si="5"/>
        <v>4209478.4200000009</v>
      </c>
      <c r="L17" s="90">
        <f>K17/$K$21*$L$21</f>
        <v>96.401564326360429</v>
      </c>
      <c r="M17" s="65"/>
      <c r="N17" s="91">
        <f t="shared" si="6"/>
        <v>3831857.7556000012</v>
      </c>
      <c r="O17" s="63">
        <f t="shared" si="7"/>
        <v>3770531.8546000007</v>
      </c>
      <c r="P17" s="64">
        <f>IF(ISNUMBER(O17),O17/$O$21*$P$21,"")</f>
        <v>100.40606726809355</v>
      </c>
      <c r="Q17" s="64">
        <f>IF(ISNUMBER(N17),N17/$N$21*$Q$21,"")</f>
        <v>102.03912402998523</v>
      </c>
      <c r="R17" s="67">
        <f>_xlfn.XLOOKUP(A17,'[1]My Input'!$B:$B,'[1]My Input'!$F:$F)</f>
        <v>0</v>
      </c>
      <c r="S17" s="65"/>
      <c r="T17" s="91">
        <f t="shared" si="8"/>
        <v>3831857.7556000012</v>
      </c>
      <c r="U17" s="89">
        <f t="shared" si="9"/>
        <v>3770531.8546000007</v>
      </c>
      <c r="V17" s="90">
        <f>IF(ISNUMBER(U17),U17/$U$21*$V$21,"")</f>
        <v>89.592469364072699</v>
      </c>
      <c r="W17" s="90">
        <f>IF(ISNUMBER(T17),T17/$T$21*$W$21,"")</f>
        <v>91.049648117214304</v>
      </c>
      <c r="X17" s="92">
        <f>_xlfn.XLOOKUP(A17,'[1]My Input'!$B:$B,'[1]My Input'!$I:$I)</f>
        <v>0</v>
      </c>
      <c r="Y17" s="65"/>
      <c r="Z17" s="91">
        <f t="shared" si="10"/>
        <v>3751040.9256000011</v>
      </c>
      <c r="AA17" s="89">
        <f t="shared" si="11"/>
        <v>3689715.0246000006</v>
      </c>
      <c r="AB17" s="90">
        <f>IF(ISNUMBER(AA17),AA17/$AA$21*$AB$21,"")</f>
        <v>85.148248031176024</v>
      </c>
      <c r="AC17" s="90">
        <f>IF(ISNUMBER(Z17),Z17/$Z$21*$AC$21,"")</f>
        <v>91.258281972178835</v>
      </c>
      <c r="AD17" s="93">
        <f>_xlfn.XLOOKUP(A17,'[1]My Input'!$B:$B,'[1]My Input'!$N:$N)</f>
        <v>80816.83</v>
      </c>
      <c r="AE17" s="70"/>
      <c r="AF17" s="71">
        <f>_xlfn.XLOOKUP(A17,'[1]My Input'!$B:$B,'[1]My Input'!$E:$E)</f>
        <v>0.09</v>
      </c>
      <c r="AG17" s="72">
        <f>_xlfn.XLOOKUP(A17,'[1]My Input'!$B:$B,'[1]My Input'!$G:$G)</f>
        <v>0.09</v>
      </c>
      <c r="AH17" s="73">
        <f t="shared" si="12"/>
        <v>1810699.1491228074</v>
      </c>
      <c r="AJ17" s="73">
        <f t="shared" si="13"/>
        <v>1647736.2257017549</v>
      </c>
      <c r="AK17" s="75">
        <f t="shared" si="14"/>
        <v>1647736.2257017549</v>
      </c>
      <c r="AL17" s="76">
        <f t="shared" si="15"/>
        <v>1840256.6491228077</v>
      </c>
      <c r="AM17" s="76">
        <f t="shared" si="16"/>
        <v>1674633.5507017551</v>
      </c>
      <c r="AN17" s="76">
        <f t="shared" si="17"/>
        <v>1674633.5507017551</v>
      </c>
      <c r="AO17" s="77">
        <f>_xlfn.XLOOKUP(A17,'[1]My Input'!$B:$B,'[1]My Input'!$T:$T)</f>
        <v>13693.26</v>
      </c>
      <c r="AP17" s="78">
        <f>_xlfn.XLOOKUP(A17,'[1]My Input'!$B:$B,'[1]My Input'!$S:$S)</f>
        <v>1300</v>
      </c>
      <c r="AQ17" s="67">
        <f>_xlfn.XLOOKUP(A17,'[1]My Input'!$B:$B,'[1]My Input'!$U:$U)</f>
        <v>0.9</v>
      </c>
      <c r="AS17" s="153">
        <v>563</v>
      </c>
      <c r="AU17" s="74" t="s">
        <v>41</v>
      </c>
      <c r="AV17" s="67" cm="1">
        <f t="array" ref="AV17">_xlfn.IFS(
 AND(AY17="ICE",  AP17&lt;=1400,AND(AK17&gt;900000,  AK17&lt;=1100000)),                    80%,
 AND(AY17="ICE",  AP17&lt;=1400,AK17&gt;1100000),                                       90%,
 AND(AY17="ICE",  AND(AP17&gt;1400,AP17&lt;=1600),   AK17&lt;=850000),                      75%,
 AND(AY17="ICE",  AND(AP17&gt;1400,AP17&lt;=1600),   AND(AK17&gt;850000,AK17&lt;=1100000)),     80%,
 AND(AY17="ICE",  AND(AP17&gt;1400,AP17&lt;=1600),   AND(AK17&gt;1100000,AK17&lt;=1650000)),    90%,
 AND(AY17="ICE",  AND(AP17&gt;1400,AP17&lt;=1600),   AK17&gt;1650000),                      100%,
 AND(AY17="ICE",  AND(AP17&gt;1600,AP17&lt;=2000),   AK17&lt;=1650000),                     150%,
 AND(AY17="ICE",  AND(AP17&gt;1600,AP17&lt;=2000),   AK17&gt;1650000),                      170%,
 AND(AY17="ICE",  AP17&gt;2000),                                                    220%,
 AND(AY17="PHEV",  AP17&lt;=1600,                AK17&lt;=1350000),                     45%,
 AND(AY17="PHEV",  AP17&lt;=1600,                AK17&gt;1350000),                      75%,
 AND(AY17="PHEV",  AND(AP17&gt;1600,AP17&lt;=1800),  AK17&lt;=1350000),                     85%,
 AND(AY17="BEV",    AZ17&lt;=160,                 AK17&lt;=1650000),                     25%,
 AND(AY17="BEV",    AZ17&lt;=160,                 AK17&gt;1650000),                      55%,
 AND(AY17="BEV",    AZ17&gt; 160,                 AK17&lt;=1650000),                     65%,
 AND(AY17="BEV",    AZ17&gt; 160,                 AK17&gt;1650000),                      75%)</f>
        <v>0.9</v>
      </c>
      <c r="AW17" s="67" cm="1">
        <f t="array" ref="AW17">_xlfn.IFS(
 X17=0,AV17,
 AND(AY17="ICE",  AP17&lt;=1400,AND((AJ17-BA17)&gt;900000,  (AJ17-BA17)&lt;=1100000)),                    80%,
 AND(AY17="ICE",  AP17&lt;=1400,(AJ17-BA17)&gt;1100000),                                       90%,
 AND(AY17="ICE",  AND(AP17&gt;1400,AP17&lt;=1600),   (AJ17-BA17)&lt;=850000),                      75%,
 AND(AY17="ICE",  AND(AP17&gt;1400,AP17&lt;=1600),   AND((AJ17-BA17)&gt;850000,(AJ17-BA17)&lt;=1100000)),     80%,
 AND(AY17="ICE",  AND(AP17&gt;1400,AP17&lt;=1600),   AND((AJ17-BA17)&gt;1100000,(AJ17-BA17)&lt;=1650000)),    90%,
 AND(AY17="ICE",  AND(AP17&gt;1400,AP17&lt;=1600),   (AJ17-BA17)&gt;1650000),                      100%,
 AND(AY17="ICE",  AND(AP17&gt;1600,AP17&lt;=2000),   (AJ17-BA17)&lt;=1650000),                     150%,
 AND(AY17="ICE",  AND(AP17&gt;1600,AP17&lt;=2000),   (AJ17-BA17)&gt;1650000),                      170%,
 AND(AY17="ICE",  AP17&gt;2000),                                                    220%,
 AND(AY17="PHEV",  AP17&lt;=1600,                (AJ17-BA17)&lt;=1350000),                     45%,
 AND(AY17="PHEV",  AP17&lt;=1600,                (AJ17-BA17)&gt;1350000),                      75%,
 AND(AY17="PHEV",  AND(AP17&gt;1600,AP17&lt;=1800),  (AJ17-BA17)&lt;=1350000),                     85%,
 AND(AY17="BEV",    AZ17&lt;=160,                 (AJ17-BA17)&lt;=1650000),                     25%,
 AND(AY17="BEV",    AZ17&lt;=160,                 (AJ17-BA17)&gt;1650000),                      55%,
 AND(AY17="BEV",    AZ17&gt; 160,                 (AJ17-BA17)&lt;=1650000),                     65%,
 AND(AY17="BEV",    AZ17&gt; 160,                 (AJ17-BA17)&gt;1650000),                      75%)</f>
        <v>0.9</v>
      </c>
      <c r="AX17" s="67" cm="1">
        <f t="array" ref="AX17">_xlfn.IFS(
 AD17=0,AV17,
 AND(AY17="ICE",  AP17&lt;=1400,AND(AJ17&gt;900000,  AJ17&lt;=1100000)),                    80%,
 AND(AY17="ICE",  AP17&lt;=1400,AJ17&gt;1100000),                                       90%,
 AND(AY17="ICE",  AND(AP17&gt;1400,AP17&lt;=1600),   AJ17&lt;=850000),                      75%,
 AND(AY17="ICE",  AND(AP17&gt;1400,AP17&lt;=1600),   AND(AJ17&gt;850000,AJ17&lt;=1100000)),     80%,
 AND(AY17="ICE",  AND(AP17&gt;1400,AP17&lt;=1600),   AND(AJ17&gt;1100000,AJ17&lt;=1650000)),    90%,
 AND(AY17="ICE",  AND(AP17&gt;1400,AP17&lt;=1600),   AJ17&gt;1650000),                      100%,
 AND(AY17="ICE",  AND(AP17&gt;1600,AP17&lt;=2000),   AJ17&lt;=1650000),                     150%,
 AND(AY17="ICE",  AND(AP17&gt;1600,AP17&lt;=2000),   AJ17&gt;1650000),                      170%,
 AND(AY17="ICE",  AP17&gt;2000),                                                    220%,
 AND(AY17="PHEV",  AP17&lt;=1600,                AJ17&lt;=1350000),                     45%,
 AND(AY17="PHEV",  AP17&lt;=1600,                AJ17&gt;1350000),                      75%,
 AND(AY17="PHEV",  AND(AP17&gt;1600,AP17&lt;=1800),  AJ17&lt;=1350000),                     85%,
 AND(AY17="BEV",    AZ17&lt;=160,                 AJ17&lt;=1650000),                     25%,
 AND(AY17="BEV",    AZ17&lt;=160,                 AJ17&gt;1650000),                      55%,
 AND(AY17="BEV",    AZ17&gt; 160,                 AJ17&lt;=1650000),                     65%,
 AND(AY17="BEV",    AZ17&gt; 160,                 AJ17&gt;1650000),                      75%)</f>
        <v>0.9</v>
      </c>
      <c r="AY17" s="80" t="str">
        <f>_xlfn.XLOOKUP(A17,'[1]My Input'!$B:$B,'[1]My Input'!$V:$V)</f>
        <v>ICE</v>
      </c>
      <c r="AZ17" s="80" t="str">
        <f>_xlfn.IFNA(_xlfn.XLOOKUP(A17,'[1]kW Tescil'!$A:$A,'[1]kW Tescil'!$C:$C),"-")</f>
        <v>-</v>
      </c>
      <c r="BA17" s="81">
        <f>_xlfn.XLOOKUP(A17,'[1]My Input'!$B:$B,'[1]My Input'!$H:$H)</f>
        <v>0</v>
      </c>
      <c r="BC17" s="82">
        <v>-0.58725952982767637</v>
      </c>
      <c r="BD17" s="82">
        <v>2.5509744066141877</v>
      </c>
      <c r="BF17" s="83">
        <v>2.7252900989527689</v>
      </c>
      <c r="BG17" s="83">
        <v>5.8399080660460925</v>
      </c>
      <c r="BI17" s="84">
        <v>189228.8638000004</v>
      </c>
      <c r="BL17" s="83">
        <v>-2.2219771436627838</v>
      </c>
    </row>
    <row r="18" spans="1:70" s="74" customFormat="1" ht="15" hidden="1" customHeight="1" x14ac:dyDescent="0.25">
      <c r="A18" s="57" t="s">
        <v>63</v>
      </c>
      <c r="B18" s="57" t="str">
        <f t="shared" si="4"/>
        <v>AudiA3 Sedan 35 TFSIS Line</v>
      </c>
      <c r="C18" s="58" t="s">
        <v>37</v>
      </c>
      <c r="D18" s="59" t="s">
        <v>38</v>
      </c>
      <c r="E18" s="60" t="s">
        <v>55</v>
      </c>
      <c r="F18" s="61" t="s">
        <v>51</v>
      </c>
      <c r="G18" s="62"/>
      <c r="H18" s="63">
        <v>4388520</v>
      </c>
      <c r="I18" s="64">
        <f>H18/$H$21*$I$21</f>
        <v>100.50180826856912</v>
      </c>
      <c r="J18" s="65"/>
      <c r="K18" s="91">
        <f t="shared" si="5"/>
        <v>4620857.6999999993</v>
      </c>
      <c r="L18" s="90">
        <f>K18/$K$21*$L$21</f>
        <v>105.82259044090972</v>
      </c>
      <c r="M18" s="65"/>
      <c r="N18" s="91">
        <f t="shared" si="6"/>
        <v>3604269.0059999996</v>
      </c>
      <c r="O18" s="63">
        <f t="shared" si="7"/>
        <v>3423045.6</v>
      </c>
      <c r="P18" s="64">
        <f>IF(ISNUMBER(O18),O18/$O$21*$P$21,"")</f>
        <v>91.152802848237101</v>
      </c>
      <c r="Q18" s="64">
        <f>IF(ISNUMBER(N18),N18/$N$21*$Q$21,"")</f>
        <v>95.978628539429749</v>
      </c>
      <c r="R18" s="67">
        <f>_xlfn.XLOOKUP(A18,'[1]My Input'!$B:$B,'[1]My Input'!$F:$F)</f>
        <v>0</v>
      </c>
      <c r="S18" s="65"/>
      <c r="T18" s="91">
        <f t="shared" si="8"/>
        <v>3604269.0059999996</v>
      </c>
      <c r="U18" s="63">
        <f t="shared" si="9"/>
        <v>3423045.6</v>
      </c>
      <c r="V18" s="64">
        <f>IF(ISNUMBER(U18),U18/$U$21*$V$21,"")</f>
        <v>81.335769031013299</v>
      </c>
      <c r="W18" s="64">
        <f>IF(ISNUMBER(T18),T18/$T$21*$W$21,"")</f>
        <v>85.641859809771688</v>
      </c>
      <c r="X18" s="68">
        <f>_xlfn.XLOOKUP(A18,'[1]My Input'!$B:$B,'[1]My Input'!$I:$I)</f>
        <v>0</v>
      </c>
      <c r="Y18" s="65"/>
      <c r="Z18" s="91">
        <f t="shared" si="10"/>
        <v>3604269.0059999996</v>
      </c>
      <c r="AA18" s="63">
        <f t="shared" si="11"/>
        <v>3423045.6</v>
      </c>
      <c r="AB18" s="64">
        <f>IF(ISNUMBER(AA18),AA18/$AA$21*$AB$21,"")</f>
        <v>78.994267532198748</v>
      </c>
      <c r="AC18" s="64">
        <f>IF(ISNUMBER(Z18),Z18/$Z$21*$AC$21,"")</f>
        <v>87.687498957511394</v>
      </c>
      <c r="AD18" s="154">
        <f>_xlfn.XLOOKUP(A18,'[1]My Input'!$B:$B,'[1]My Input'!$N:$N)</f>
        <v>0</v>
      </c>
      <c r="AE18" s="70"/>
      <c r="AF18" s="71">
        <f>_xlfn.XLOOKUP(A18,'[1]My Input'!$B:$B,'[1]My Input'!$E:$E)</f>
        <v>0.22</v>
      </c>
      <c r="AG18" s="72">
        <f>_xlfn.XLOOKUP(A18,'[1]My Input'!$B:$B,'[1]My Input'!$G:$G)</f>
        <v>0.22</v>
      </c>
      <c r="AH18" s="73">
        <f t="shared" si="12"/>
        <v>1924789.4736842106</v>
      </c>
      <c r="AJ18" s="73">
        <f t="shared" si="13"/>
        <v>1501335.7894736843</v>
      </c>
      <c r="AK18" s="75">
        <f t="shared" si="14"/>
        <v>1501335.7894736843</v>
      </c>
      <c r="AL18" s="76">
        <f t="shared" si="15"/>
        <v>2026691.9736842103</v>
      </c>
      <c r="AM18" s="76">
        <f t="shared" si="16"/>
        <v>1580819.7394736842</v>
      </c>
      <c r="AN18" s="76">
        <f t="shared" si="17"/>
        <v>1580819.7394736842</v>
      </c>
      <c r="AO18" s="77">
        <f>_xlfn.XLOOKUP(A18,'[1]My Input'!$B:$B,'[1]My Input'!$T:$T)</f>
        <v>0</v>
      </c>
      <c r="AP18" s="78">
        <f>_xlfn.XLOOKUP(A18,'[1]My Input'!$B:$B,'[1]My Input'!$S:$S)</f>
        <v>1500</v>
      </c>
      <c r="AQ18" s="67">
        <f>_xlfn.XLOOKUP(A18,'[1]My Input'!$B:$B,'[1]My Input'!$U:$U)</f>
        <v>0.9</v>
      </c>
      <c r="AS18" s="155">
        <v>1941</v>
      </c>
      <c r="AU18" s="74" t="s">
        <v>41</v>
      </c>
      <c r="AV18" s="67" cm="1">
        <f t="array" ref="AV18">_xlfn.IFS(
 AND(AY18="ICE",  AP18&lt;=1400,AND(AK18&gt;900000,  AK18&lt;=1100000)),                    80%,
 AND(AY18="ICE",  AP18&lt;=1400,AK18&gt;1100000),                                       90%,
 AND(AY18="ICE",  AND(AP18&gt;1400,AP18&lt;=1600),   AK18&lt;=850000),                      75%,
 AND(AY18="ICE",  AND(AP18&gt;1400,AP18&lt;=1600),   AND(AK18&gt;850000,AK18&lt;=1100000)),     80%,
 AND(AY18="ICE",  AND(AP18&gt;1400,AP18&lt;=1600),   AND(AK18&gt;1100000,AK18&lt;=1650000)),    90%,
 AND(AY18="ICE",  AND(AP18&gt;1400,AP18&lt;=1600),   AK18&gt;1650000),                      100%,
 AND(AY18="ICE",  AND(AP18&gt;1600,AP18&lt;=2000),   AK18&lt;=1650000),                     150%,
 AND(AY18="ICE",  AND(AP18&gt;1600,AP18&lt;=2000),   AK18&gt;1650000),                      170%,
 AND(AY18="ICE",  AP18&gt;2000),                                                    220%,
 AND(AY18="PHEV",  AP18&lt;=1600,                AK18&lt;=1350000),                     45%,
 AND(AY18="PHEV",  AP18&lt;=1600,                AK18&gt;1350000),                      75%,
 AND(AY18="PHEV",  AND(AP18&gt;1600,AP18&lt;=1800),  AK18&lt;=1350000),                     85%,
 AND(AY18="BEV",    AZ18&lt;=160,                 AK18&lt;=1650000),                     25%,
 AND(AY18="BEV",    AZ18&lt;=160,                 AK18&gt;1650000),                      55%,
 AND(AY18="BEV",    AZ18&gt; 160,                 AK18&lt;=1650000),                     65%,
 AND(AY18="BEV",    AZ18&gt; 160,                 AK18&gt;1650000),                      75%)</f>
        <v>0.9</v>
      </c>
      <c r="AW18" s="67" cm="1">
        <f t="array" ref="AW18">_xlfn.IFS(
 X18=0,AV18,
 AND(AY18="ICE",  AP18&lt;=1400,AND((AJ18-BA18)&gt;900000,  (AJ18-BA18)&lt;=1100000)),                    80%,
 AND(AY18="ICE",  AP18&lt;=1400,(AJ18-BA18)&gt;1100000),                                       90%,
 AND(AY18="ICE",  AND(AP18&gt;1400,AP18&lt;=1600),   (AJ18-BA18)&lt;=850000),                      75%,
 AND(AY18="ICE",  AND(AP18&gt;1400,AP18&lt;=1600),   AND((AJ18-BA18)&gt;850000,(AJ18-BA18)&lt;=1100000)),     80%,
 AND(AY18="ICE",  AND(AP18&gt;1400,AP18&lt;=1600),   AND((AJ18-BA18)&gt;1100000,(AJ18-BA18)&lt;=1650000)),    90%,
 AND(AY18="ICE",  AND(AP18&gt;1400,AP18&lt;=1600),   (AJ18-BA18)&gt;1650000),                      100%,
 AND(AY18="ICE",  AND(AP18&gt;1600,AP18&lt;=2000),   (AJ18-BA18)&lt;=1650000),                     150%,
 AND(AY18="ICE",  AND(AP18&gt;1600,AP18&lt;=2000),   (AJ18-BA18)&gt;1650000),                      170%,
 AND(AY18="ICE",  AP18&gt;2000),                                                    220%,
 AND(AY18="PHEV",  AP18&lt;=1600,                (AJ18-BA18)&lt;=1350000),                     45%,
 AND(AY18="PHEV",  AP18&lt;=1600,                (AJ18-BA18)&gt;1350000),                      75%,
 AND(AY18="PHEV",  AND(AP18&gt;1600,AP18&lt;=1800),  (AJ18-BA18)&lt;=1350000),                     85%,
 AND(AY18="BEV",    AZ18&lt;=160,                 (AJ18-BA18)&lt;=1650000),                     25%,
 AND(AY18="BEV",    AZ18&lt;=160,                 (AJ18-BA18)&gt;1650000),                      55%,
 AND(AY18="BEV",    AZ18&gt; 160,                 (AJ18-BA18)&lt;=1650000),                     65%,
 AND(AY18="BEV",    AZ18&gt; 160,                 (AJ18-BA18)&gt;1650000),                      75%)</f>
        <v>0.9</v>
      </c>
      <c r="AX18" s="67" cm="1">
        <f t="array" ref="AX18">_xlfn.IFS(
 AD18=0,AV18,
 AND(AY18="ICE",  AP18&lt;=1400,AND(AJ18&gt;900000,  AJ18&lt;=1100000)),                    80%,
 AND(AY18="ICE",  AP18&lt;=1400,AJ18&gt;1100000),                                       90%,
 AND(AY18="ICE",  AND(AP18&gt;1400,AP18&lt;=1600),   AJ18&lt;=850000),                      75%,
 AND(AY18="ICE",  AND(AP18&gt;1400,AP18&lt;=1600),   AND(AJ18&gt;850000,AJ18&lt;=1100000)),     80%,
 AND(AY18="ICE",  AND(AP18&gt;1400,AP18&lt;=1600),   AND(AJ18&gt;1100000,AJ18&lt;=1650000)),    90%,
 AND(AY18="ICE",  AND(AP18&gt;1400,AP18&lt;=1600),   AJ18&gt;1650000),                      100%,
 AND(AY18="ICE",  AND(AP18&gt;1600,AP18&lt;=2000),   AJ18&lt;=1650000),                     150%,
 AND(AY18="ICE",  AND(AP18&gt;1600,AP18&lt;=2000),   AJ18&gt;1650000),                      170%,
 AND(AY18="ICE",  AP18&gt;2000),                                                    220%,
 AND(AY18="PHEV",  AP18&lt;=1600,                AJ18&lt;=1350000),                     45%,
 AND(AY18="PHEV",  AP18&lt;=1600,                AJ18&gt;1350000),                      75%,
 AND(AY18="PHEV",  AND(AP18&gt;1600,AP18&lt;=1800),  AJ18&lt;=1350000),                     85%,
 AND(AY18="BEV",    AZ18&lt;=160,                 AJ18&lt;=1650000),                     25%,
 AND(AY18="BEV",    AZ18&lt;=160,                 AJ18&gt;1650000),                      55%,
 AND(AY18="BEV",    AZ18&gt; 160,                 AJ18&lt;=1650000),                     65%,
 AND(AY18="BEV",    AZ18&gt; 160,                 AJ18&gt;1650000),                      75%)</f>
        <v>0.9</v>
      </c>
      <c r="AY18" s="80" t="str">
        <f>_xlfn.XLOOKUP(A18,'[1]My Input'!$B:$B,'[1]My Input'!$V:$V)</f>
        <v>ICE</v>
      </c>
      <c r="AZ18" s="80" t="str">
        <f>_xlfn.IFNA(_xlfn.XLOOKUP(A18,'[1]kW Tescil'!$A:$A,'[1]kW Tescil'!$C:$C),"-")</f>
        <v>-</v>
      </c>
      <c r="BA18" s="81">
        <f>_xlfn.XLOOKUP(A18,'[1]My Input'!$B:$B,'[1]My Input'!$H:$H)</f>
        <v>0</v>
      </c>
      <c r="BC18" s="82">
        <v>6.6960999967063231</v>
      </c>
      <c r="BD18" s="82">
        <v>9.5262852780090128</v>
      </c>
      <c r="BF18" s="83">
        <v>9.8390206466620214</v>
      </c>
      <c r="BG18" s="83">
        <v>12.750803843835229</v>
      </c>
      <c r="BI18" s="84">
        <v>525758.8174816547</v>
      </c>
      <c r="BL18" s="83">
        <v>4.2104257405974863</v>
      </c>
    </row>
    <row r="19" spans="1:70" s="74" customFormat="1" ht="15" customHeight="1" x14ac:dyDescent="0.25">
      <c r="A19" s="156" t="s">
        <v>64</v>
      </c>
      <c r="B19" s="57" t="str">
        <f t="shared" si="4"/>
        <v>MBCLA 220 4MATICAMG</v>
      </c>
      <c r="C19" s="58" t="s">
        <v>37</v>
      </c>
      <c r="D19" s="59" t="s">
        <v>47</v>
      </c>
      <c r="E19" s="60" t="s">
        <v>65</v>
      </c>
      <c r="F19" s="61" t="s">
        <v>49</v>
      </c>
      <c r="G19" s="157"/>
      <c r="H19" s="123">
        <v>4643000</v>
      </c>
      <c r="I19" s="124">
        <f>H19/$H$21*$I$21</f>
        <v>106.32967282613875</v>
      </c>
      <c r="J19" s="65">
        <v>0.02</v>
      </c>
      <c r="K19" s="91">
        <f t="shared" si="5"/>
        <v>4255550.0000000009</v>
      </c>
      <c r="L19" s="90">
        <v>100</v>
      </c>
      <c r="M19" s="157"/>
      <c r="N19" s="91">
        <f t="shared" si="6"/>
        <v>4170439.0000000005</v>
      </c>
      <c r="O19" s="123">
        <f t="shared" si="7"/>
        <v>4550140</v>
      </c>
      <c r="P19" s="124">
        <f>IF(ISNUMBER(O19),O19/$O$21*$P$21,"")</f>
        <v>121.16637136001856</v>
      </c>
      <c r="Q19" s="124">
        <f>IF(ISNUMBER(N19),N19/$N$21*$Q$21,"")</f>
        <v>111.05525557637885</v>
      </c>
      <c r="R19" s="126">
        <f>_xlfn.XLOOKUP(A19,'[1]My Input'!$B:$B,'[1]My Input'!$F:$F)</f>
        <v>0</v>
      </c>
      <c r="S19" s="157"/>
      <c r="T19" s="158">
        <f t="shared" si="8"/>
        <v>4170439.0000000005</v>
      </c>
      <c r="U19" s="123">
        <f t="shared" si="9"/>
        <v>4550140</v>
      </c>
      <c r="V19" s="124">
        <f>IF(ISNUMBER(U19),U19/$U$21*$V$21,"")</f>
        <v>108.11691673017</v>
      </c>
      <c r="W19" s="159">
        <f>IF(ISNUMBER(T19),T19/$T$21*$W$21,"")</f>
        <v>99.094754467171015</v>
      </c>
      <c r="X19" s="127">
        <f>_xlfn.XLOOKUP(A19,'[1]My Input'!$B:$B,'[1]My Input'!$I:$I)</f>
        <v>0</v>
      </c>
      <c r="Y19" s="157"/>
      <c r="Z19" s="158">
        <f t="shared" si="10"/>
        <v>4089622.1700000004</v>
      </c>
      <c r="AA19" s="123">
        <f t="shared" si="11"/>
        <v>4469323.17</v>
      </c>
      <c r="AB19" s="124">
        <f>IF(ISNUMBER(AA19),AA19/$AA$21*$AB$21,"")</f>
        <v>103.13941192569406</v>
      </c>
      <c r="AC19" s="159">
        <f>IF(ISNUMBER(Z19),Z19/$Z$21*$AC$21,"")</f>
        <v>99.495553514878395</v>
      </c>
      <c r="AD19" s="128">
        <f>_xlfn.XLOOKUP(A19,'[1]My Input'!$B:$B,'[1]My Input'!$N:$N)</f>
        <v>80816.83</v>
      </c>
      <c r="AE19" s="70"/>
      <c r="AF19" s="130">
        <f>_xlfn.XLOOKUP(A19,'[1]My Input'!$B:$B,'[1]My Input'!$E:$E)</f>
        <v>0.02</v>
      </c>
      <c r="AG19" s="72">
        <f>_xlfn.XLOOKUP(A19,'[1]My Input'!$B:$B,'[1]My Input'!$G:$G)</f>
        <v>0.02</v>
      </c>
      <c r="AH19" s="73">
        <f t="shared" si="12"/>
        <v>1934583.3333333335</v>
      </c>
      <c r="AJ19" s="73">
        <f t="shared" si="13"/>
        <v>1895891.6666666667</v>
      </c>
      <c r="AK19" s="75">
        <f t="shared" si="14"/>
        <v>1895891.6666666667</v>
      </c>
      <c r="AL19" s="76">
        <f t="shared" si="15"/>
        <v>1773145.8333333337</v>
      </c>
      <c r="AM19" s="76">
        <f t="shared" si="16"/>
        <v>1737682.916666667</v>
      </c>
      <c r="AN19" s="76">
        <f t="shared" si="17"/>
        <v>1737682.916666667</v>
      </c>
      <c r="AO19" s="77">
        <f>_xlfn.XLOOKUP(A19,'[1]My Input'!$B:$B,'[1]My Input'!$T:$T)</f>
        <v>0</v>
      </c>
      <c r="AP19" s="78">
        <f>_xlfn.XLOOKUP(A19,'[1]My Input'!$B:$B,'[1]My Input'!$S:$S)</f>
        <v>1600</v>
      </c>
      <c r="AQ19" s="67">
        <v>1</v>
      </c>
      <c r="AS19" s="103">
        <v>-3075</v>
      </c>
      <c r="AU19" s="74" t="s">
        <v>41</v>
      </c>
      <c r="AV19" s="67" cm="1">
        <f t="array" ref="AV19">_xlfn.IFS(
 AND(AY19="ICE",  AP19&lt;=1400,AND(AK19&gt;900000,  AK19&lt;=1100000)),                    80%,
 AND(AY19="ICE",  AP19&lt;=1400,AK19&gt;1100000),                                       90%,
 AND(AY19="ICE",  AND(AP19&gt;1400,AP19&lt;=1600),   AK19&lt;=850000),                      75%,
 AND(AY19="ICE",  AND(AP19&gt;1400,AP19&lt;=1600),   AND(AK19&gt;850000,AK19&lt;=1100000)),     80%,
 AND(AY19="ICE",  AND(AP19&gt;1400,AP19&lt;=1600),   AND(AK19&gt;1100000,AK19&lt;=1650000)),    90%,
 AND(AY19="ICE",  AND(AP19&gt;1400,AP19&lt;=1600),   AK19&gt;1650000),                      100%,
 AND(AY19="ICE",  AND(AP19&gt;1600,AP19&lt;=2000),   AK19&lt;=1650000),                     150%,
 AND(AY19="ICE",  AND(AP19&gt;1600,AP19&lt;=2000),   AK19&gt;1650000),                      170%,
 AND(AY19="ICE",  AP19&gt;2000),                                                    220%,
 AND(AY19="PHEV",  AP19&lt;=1600,                AK19&lt;=1350000),                     45%,
 AND(AY19="PHEV",  AP19&lt;=1600,                AK19&gt;1350000),                      75%,
 AND(AY19="PHEV",  AND(AP19&gt;1600,AP19&lt;=1800),  AK19&lt;=1350000),                     85%,
 AND(AY19="BEV",    AZ19&lt;=160,                 AK19&lt;=1650000),                     25%,
 AND(AY19="BEV",    AZ19&lt;=160,                 AK19&gt;1650000),                      55%,
 AND(AY19="BEV",    AZ19&gt; 160,                 AK19&lt;=1650000),                     65%,
 AND(AY19="BEV",    AZ19&gt; 160,                 AK19&gt;1650000),                      75%)</f>
        <v>1</v>
      </c>
      <c r="AW19" s="67" cm="1">
        <f t="array" ref="AW19">_xlfn.IFS(
 X19=0,AV19,
 AND(AY19="ICE",  AP19&lt;=1400,AND((AJ19-BA19)&gt;900000,  (AJ19-BA19)&lt;=1100000)),                    80%,
 AND(AY19="ICE",  AP19&lt;=1400,(AJ19-BA19)&gt;1100000),                                       90%,
 AND(AY19="ICE",  AND(AP19&gt;1400,AP19&lt;=1600),   (AJ19-BA19)&lt;=850000),                      75%,
 AND(AY19="ICE",  AND(AP19&gt;1400,AP19&lt;=1600),   AND((AJ19-BA19)&gt;850000,(AJ19-BA19)&lt;=1100000)),     80%,
 AND(AY19="ICE",  AND(AP19&gt;1400,AP19&lt;=1600),   AND((AJ19-BA19)&gt;1100000,(AJ19-BA19)&lt;=1650000)),    90%,
 AND(AY19="ICE",  AND(AP19&gt;1400,AP19&lt;=1600),   (AJ19-BA19)&gt;1650000),                      100%,
 AND(AY19="ICE",  AND(AP19&gt;1600,AP19&lt;=2000),   (AJ19-BA19)&lt;=1650000),                     150%,
 AND(AY19="ICE",  AND(AP19&gt;1600,AP19&lt;=2000),   (AJ19-BA19)&gt;1650000),                      170%,
 AND(AY19="ICE",  AP19&gt;2000),                                                    220%,
 AND(AY19="PHEV",  AP19&lt;=1600,                (AJ19-BA19)&lt;=1350000),                     45%,
 AND(AY19="PHEV",  AP19&lt;=1600,                (AJ19-BA19)&gt;1350000),                      75%,
 AND(AY19="PHEV",  AND(AP19&gt;1600,AP19&lt;=1800),  (AJ19-BA19)&lt;=1350000),                     85%,
 AND(AY19="BEV",    AZ19&lt;=160,                 (AJ19-BA19)&lt;=1650000),                     25%,
 AND(AY19="BEV",    AZ19&lt;=160,                 (AJ19-BA19)&gt;1650000),                      55%,
 AND(AY19="BEV",    AZ19&gt; 160,                 (AJ19-BA19)&lt;=1650000),                     65%,
 AND(AY19="BEV",    AZ19&gt; 160,                 (AJ19-BA19)&gt;1650000),                      75%)</f>
        <v>1</v>
      </c>
      <c r="AX19" s="67" cm="1">
        <f t="array" ref="AX19">_xlfn.IFS(
 AD19=0,AV19,
 AND(AY19="ICE",  AP19&lt;=1400,AND(AJ19&gt;900000,  AJ19&lt;=1100000)),                    80%,
 AND(AY19="ICE",  AP19&lt;=1400,AJ19&gt;1100000),                                       90%,
 AND(AY19="ICE",  AND(AP19&gt;1400,AP19&lt;=1600),   AJ19&lt;=850000),                      75%,
 AND(AY19="ICE",  AND(AP19&gt;1400,AP19&lt;=1600),   AND(AJ19&gt;850000,AJ19&lt;=1100000)),     80%,
 AND(AY19="ICE",  AND(AP19&gt;1400,AP19&lt;=1600),   AND(AJ19&gt;1100000,AJ19&lt;=1650000)),    90%,
 AND(AY19="ICE",  AND(AP19&gt;1400,AP19&lt;=1600),   AJ19&gt;1650000),                      100%,
 AND(AY19="ICE",  AND(AP19&gt;1600,AP19&lt;=2000),   AJ19&lt;=1650000),                     150%,
 AND(AY19="ICE",  AND(AP19&gt;1600,AP19&lt;=2000),   AJ19&gt;1650000),                      170%,
 AND(AY19="ICE",  AP19&gt;2000),                                                    220%,
 AND(AY19="PHEV",  AP19&lt;=1600,                AJ19&lt;=1350000),                     45%,
 AND(AY19="PHEV",  AP19&lt;=1600,                AJ19&gt;1350000),                      75%,
 AND(AY19="PHEV",  AND(AP19&gt;1600,AP19&lt;=1800),  AJ19&lt;=1350000),                     85%,
 AND(AY19="BEV",    AZ19&lt;=160,                 AJ19&lt;=1650000),                     25%,
 AND(AY19="BEV",    AZ19&lt;=160,                 AJ19&gt;1650000),                      55%,
 AND(AY19="BEV",    AZ19&gt; 160,                 AJ19&lt;=1650000),                     65%,
 AND(AY19="BEV",    AZ19&gt; 160,                 AJ19&gt;1650000),                      75%)</f>
        <v>1</v>
      </c>
      <c r="AY19" s="80" t="str">
        <f>_xlfn.XLOOKUP(A19,'[1]My Input'!$B:$B,'[1]My Input'!$V:$V)</f>
        <v>ICE</v>
      </c>
      <c r="AZ19" s="80" t="str">
        <f>_xlfn.IFNA(_xlfn.XLOOKUP(A19,'[1]kW Tescil'!$A:$A,'[1]kW Tescil'!$C:$C),"-")</f>
        <v>-</v>
      </c>
      <c r="BA19" s="81">
        <f>_xlfn.XLOOKUP(A19,'[1]My Input'!$B:$B,'[1]My Input'!$H:$H)</f>
        <v>0</v>
      </c>
      <c r="BC19" s="82">
        <v>0</v>
      </c>
      <c r="BD19" s="82">
        <v>0</v>
      </c>
      <c r="BF19" s="83">
        <v>0</v>
      </c>
      <c r="BG19" s="83">
        <v>0</v>
      </c>
      <c r="BI19" s="84">
        <v>344817.37149999896</v>
      </c>
      <c r="BL19" s="83">
        <v>0</v>
      </c>
    </row>
    <row r="20" spans="1:70" ht="15" customHeight="1" x14ac:dyDescent="0.25">
      <c r="A20" s="160" t="s">
        <v>64</v>
      </c>
      <c r="B20" s="1" t="str">
        <f t="shared" si="4"/>
        <v>MBCLA 220 4MATICAMG</v>
      </c>
      <c r="C20" s="85" t="s">
        <v>42</v>
      </c>
      <c r="D20" s="144" t="s">
        <v>47</v>
      </c>
      <c r="E20" s="145" t="s">
        <v>65</v>
      </c>
      <c r="F20" s="146" t="s">
        <v>49</v>
      </c>
      <c r="G20" s="161"/>
      <c r="H20" s="147">
        <v>4873000</v>
      </c>
      <c r="I20" s="148">
        <f>H20/$H$21*$I$21</f>
        <v>111.5969191647155</v>
      </c>
      <c r="J20" s="65">
        <v>0.02</v>
      </c>
      <c r="K20" s="91">
        <f t="shared" si="5"/>
        <v>4485550</v>
      </c>
      <c r="L20" s="125">
        <v>100</v>
      </c>
      <c r="M20" s="161"/>
      <c r="N20" s="91">
        <f t="shared" si="6"/>
        <v>4395839</v>
      </c>
      <c r="O20" s="147">
        <f t="shared" si="7"/>
        <v>4775540</v>
      </c>
      <c r="P20" s="148">
        <f>IF(ISNUMBER(O20),O20/$O$21*$P$21,"")</f>
        <v>127.16858230397811</v>
      </c>
      <c r="Q20" s="148">
        <f>IF(ISNUMBER(N20),N20/$N$21*$Q$21,"")</f>
        <v>117.05746652033841</v>
      </c>
      <c r="R20" s="126">
        <f>_xlfn.XLOOKUP(A20,'[1]My Input'!$B:$B,'[1]My Input'!$F:$F)</f>
        <v>0</v>
      </c>
      <c r="S20" s="161"/>
      <c r="T20" s="158">
        <f t="shared" si="8"/>
        <v>4395839</v>
      </c>
      <c r="U20" s="147">
        <f t="shared" si="9"/>
        <v>4775540</v>
      </c>
      <c r="V20" s="148">
        <f>IF(ISNUMBER(U20),U20/$U$21*$V$21,"")</f>
        <v>113.47269765800527</v>
      </c>
      <c r="W20" s="162">
        <f>IF(ISNUMBER(T20),T20/$T$21*$W$21,"")</f>
        <v>104.45053539500626</v>
      </c>
      <c r="X20" s="149">
        <f>_xlfn.XLOOKUP(A20,'[1]My Input'!$B:$B,'[1]My Input'!$I:$I)</f>
        <v>0</v>
      </c>
      <c r="Y20" s="161"/>
      <c r="Z20" s="158">
        <f t="shared" si="10"/>
        <v>4315022.17</v>
      </c>
      <c r="AA20" s="147">
        <f t="shared" si="11"/>
        <v>4694723.17</v>
      </c>
      <c r="AB20" s="148">
        <f>IF(ISNUMBER(AA20),AA20/$AA$21*$AB$21,"")</f>
        <v>108.34101014622539</v>
      </c>
      <c r="AC20" s="162">
        <f>IF(ISNUMBER(Z20),Z20/$Z$21*$AC$21,"")</f>
        <v>104.97926248114058</v>
      </c>
      <c r="AD20" s="163">
        <f>_xlfn.XLOOKUP(A20,'[1]My Input'!$B:$B,'[1]My Input'!$N:$N)</f>
        <v>80816.83</v>
      </c>
      <c r="AE20" s="129"/>
      <c r="AF20" s="130">
        <v>0.02</v>
      </c>
      <c r="AG20" s="131">
        <f>SUM(AF20,R20)</f>
        <v>0.02</v>
      </c>
      <c r="AH20" s="132">
        <f t="shared" si="12"/>
        <v>2030416.6666666667</v>
      </c>
      <c r="AJ20" s="132">
        <f t="shared" si="13"/>
        <v>1989808.3333333335</v>
      </c>
      <c r="AK20" s="133">
        <f t="shared" si="14"/>
        <v>1989808.3333333335</v>
      </c>
      <c r="AL20" s="134">
        <f t="shared" si="15"/>
        <v>1868979.1666666667</v>
      </c>
      <c r="AM20" s="134">
        <f t="shared" si="16"/>
        <v>1831599.5833333335</v>
      </c>
      <c r="AN20" s="134">
        <f t="shared" si="17"/>
        <v>1831599.5833333335</v>
      </c>
      <c r="AO20" s="135">
        <f>_xlfn.XLOOKUP(A20,'[1]My Input'!$B:$B,'[1]My Input'!$T:$T)</f>
        <v>0</v>
      </c>
      <c r="AP20" s="136">
        <f>_xlfn.XLOOKUP(A20,'[1]My Input'!$B:$B,'[1]My Input'!$S:$S)</f>
        <v>1600</v>
      </c>
      <c r="AQ20" s="137">
        <v>1</v>
      </c>
      <c r="AS20" s="164">
        <v>-3075</v>
      </c>
      <c r="AU20" s="17" t="s">
        <v>41</v>
      </c>
      <c r="AV20" s="137" cm="1">
        <f t="array" ref="AV20">_xlfn.IFS(
 AND(AY20="ICE",  AP20&lt;=1400,AND(AK20&gt;900000,  AK20&lt;=1100000)),                    80%,
 AND(AY20="ICE",  AP20&lt;=1400,AK20&gt;1100000),                                       90%,
 AND(AY20="ICE",  AND(AP20&gt;1400,AP20&lt;=1600),   AK20&lt;=850000),                      75%,
 AND(AY20="ICE",  AND(AP20&gt;1400,AP20&lt;=1600),   AND(AK20&gt;850000,AK20&lt;=1100000)),     80%,
 AND(AY20="ICE",  AND(AP20&gt;1400,AP20&lt;=1600),   AND(AK20&gt;1100000,AK20&lt;=1650000)),    90%,
 AND(AY20="ICE",  AND(AP20&gt;1400,AP20&lt;=1600),   AK20&gt;1650000),                      100%,
 AND(AY20="ICE",  AND(AP20&gt;1600,AP20&lt;=2000),   AK20&lt;=1650000),                     150%,
 AND(AY20="ICE",  AND(AP20&gt;1600,AP20&lt;=2000),   AK20&gt;1650000),                      170%,
 AND(AY20="ICE",  AP20&gt;2000),                                                    220%,
 AND(AY20="PHEV",  AP20&lt;=1600,                AK20&lt;=1350000),                     45%,
 AND(AY20="PHEV",  AP20&lt;=1600,                AK20&gt;1350000),                      75%,
 AND(AY20="PHEV",  AND(AP20&gt;1600,AP20&lt;=1800),  AK20&lt;=1350000),                     85%,
 AND(AY20="BEV",    AZ20&lt;=160,                 AK20&lt;=1650000),                     25%,
 AND(AY20="BEV",    AZ20&lt;=160,                 AK20&gt;1650000),                      55%,
 AND(AY20="BEV",    AZ20&gt; 160,                 AK20&lt;=1650000),                     65%,
 AND(AY20="BEV",    AZ20&gt; 160,                 AK20&gt;1650000),                      75%)</f>
        <v>1</v>
      </c>
      <c r="AW20" s="137" cm="1">
        <f t="array" ref="AW20">_xlfn.IFS(
 X20=0,AV20,
 AND(AY20="ICE",  AP20&lt;=1400,AND((AJ20-BA20)&gt;900000,  (AJ20-BA20)&lt;=1100000)),                    80%,
 AND(AY20="ICE",  AP20&lt;=1400,(AJ20-BA20)&gt;1100000),                                       90%,
 AND(AY20="ICE",  AND(AP20&gt;1400,AP20&lt;=1600),   (AJ20-BA20)&lt;=850000),                      75%,
 AND(AY20="ICE",  AND(AP20&gt;1400,AP20&lt;=1600),   AND((AJ20-BA20)&gt;850000,(AJ20-BA20)&lt;=1100000)),     80%,
 AND(AY20="ICE",  AND(AP20&gt;1400,AP20&lt;=1600),   AND((AJ20-BA20)&gt;1100000,(AJ20-BA20)&lt;=1650000)),    90%,
 AND(AY20="ICE",  AND(AP20&gt;1400,AP20&lt;=1600),   (AJ20-BA20)&gt;1650000),                      100%,
 AND(AY20="ICE",  AND(AP20&gt;1600,AP20&lt;=2000),   (AJ20-BA20)&lt;=1650000),                     150%,
 AND(AY20="ICE",  AND(AP20&gt;1600,AP20&lt;=2000),   (AJ20-BA20)&gt;1650000),                      170%,
 AND(AY20="ICE",  AP20&gt;2000),                                                    220%,
 AND(AY20="PHEV",  AP20&lt;=1600,                (AJ20-BA20)&lt;=1350000),                     45%,
 AND(AY20="PHEV",  AP20&lt;=1600,                (AJ20-BA20)&gt;1350000),                      75%,
 AND(AY20="PHEV",  AND(AP20&gt;1600,AP20&lt;=1800),  (AJ20-BA20)&lt;=1350000),                     85%,
 AND(AY20="BEV",    AZ20&lt;=160,                 (AJ20-BA20)&lt;=1650000),                     25%,
 AND(AY20="BEV",    AZ20&lt;=160,                 (AJ20-BA20)&gt;1650000),                      55%,
 AND(AY20="BEV",    AZ20&gt; 160,                 (AJ20-BA20)&lt;=1650000),                     65%,
 AND(AY20="BEV",    AZ20&gt; 160,                 (AJ20-BA20)&gt;1650000),                      75%)</f>
        <v>1</v>
      </c>
      <c r="AX20" s="137" cm="1">
        <f t="array" ref="AX20">_xlfn.IFS(
 AD20=0,AV20,
 AND(AY20="ICE",  AP20&lt;=1400,AND(AJ20&gt;900000,  AJ20&lt;=1100000)),                    80%,
 AND(AY20="ICE",  AP20&lt;=1400,AJ20&gt;1100000),                                       90%,
 AND(AY20="ICE",  AND(AP20&gt;1400,AP20&lt;=1600),   AJ20&lt;=850000),                      75%,
 AND(AY20="ICE",  AND(AP20&gt;1400,AP20&lt;=1600),   AND(AJ20&gt;850000,AJ20&lt;=1100000)),     80%,
 AND(AY20="ICE",  AND(AP20&gt;1400,AP20&lt;=1600),   AND(AJ20&gt;1100000,AJ20&lt;=1650000)),    90%,
 AND(AY20="ICE",  AND(AP20&gt;1400,AP20&lt;=1600),   AJ20&gt;1650000),                      100%,
 AND(AY20="ICE",  AND(AP20&gt;1600,AP20&lt;=2000),   AJ20&lt;=1650000),                     150%,
 AND(AY20="ICE",  AND(AP20&gt;1600,AP20&lt;=2000),   AJ20&gt;1650000),                      170%,
 AND(AY20="ICE",  AP20&gt;2000),                                                    220%,
 AND(AY20="PHEV",  AP20&lt;=1600,                AJ20&lt;=1350000),                     45%,
 AND(AY20="PHEV",  AP20&lt;=1600,                AJ20&gt;1350000),                      75%,
 AND(AY20="PHEV",  AND(AP20&gt;1600,AP20&lt;=1800),  AJ20&lt;=1350000),                     85%,
 AND(AY20="BEV",    AZ20&lt;=160,                 AJ20&lt;=1650000),                     25%,
 AND(AY20="BEV",    AZ20&lt;=160,                 AJ20&gt;1650000),                      55%,
 AND(AY20="BEV",    AZ20&gt; 160,                 AJ20&lt;=1650000),                     65%,
 AND(AY20="BEV",    AZ20&gt; 160,                 AJ20&gt;1650000),                      75%)</f>
        <v>1</v>
      </c>
      <c r="AY20" s="139" t="str">
        <f>_xlfn.XLOOKUP(A20,'[1]My Input'!$B:$B,'[1]My Input'!$V:$V)</f>
        <v>ICE</v>
      </c>
      <c r="AZ20" s="139" t="str">
        <f>_xlfn.IFNA(_xlfn.XLOOKUP(A20,'[1]kW Tescil'!$A:$A,'[1]kW Tescil'!$C:$C),"-")</f>
        <v>-</v>
      </c>
      <c r="BA20" s="140">
        <f>_xlfn.XLOOKUP(A20,'[1]My Input'!$B:$B,'[1]My Input'!$H:$H)</f>
        <v>0</v>
      </c>
      <c r="BC20" s="141">
        <v>0</v>
      </c>
      <c r="BD20" s="141">
        <v>0</v>
      </c>
      <c r="BF20" s="142">
        <v>0</v>
      </c>
      <c r="BG20" s="142">
        <v>0</v>
      </c>
      <c r="BI20" s="143">
        <v>344817.37149999896</v>
      </c>
      <c r="BL20" s="142">
        <v>0</v>
      </c>
    </row>
    <row r="21" spans="1:70" s="74" customFormat="1" ht="15" customHeight="1" thickBot="1" x14ac:dyDescent="0.3">
      <c r="A21" s="57" t="s">
        <v>66</v>
      </c>
      <c r="B21" s="57" t="str">
        <f t="shared" si="4"/>
        <v>BMW220 Gran CoupéM Sport</v>
      </c>
      <c r="C21" s="58" t="s">
        <v>37</v>
      </c>
      <c r="D21" s="94" t="s">
        <v>44</v>
      </c>
      <c r="E21" s="95" t="s">
        <v>58</v>
      </c>
      <c r="F21" s="152" t="s">
        <v>53</v>
      </c>
      <c r="G21" s="62"/>
      <c r="H21" s="98">
        <v>4366608</v>
      </c>
      <c r="I21" s="99">
        <v>100</v>
      </c>
      <c r="J21" s="65">
        <v>0.14000000000000001</v>
      </c>
      <c r="K21" s="100">
        <f t="shared" si="5"/>
        <v>4366608</v>
      </c>
      <c r="L21" s="99">
        <v>100</v>
      </c>
      <c r="M21" s="65"/>
      <c r="N21" s="100">
        <f t="shared" si="6"/>
        <v>3755282.88</v>
      </c>
      <c r="O21" s="98">
        <f t="shared" si="7"/>
        <v>3755282.88</v>
      </c>
      <c r="P21" s="99">
        <v>100</v>
      </c>
      <c r="Q21" s="99">
        <v>100</v>
      </c>
      <c r="R21" s="67">
        <f>_xlfn.XLOOKUP(A21,'[1]My Input'!$B:$B,'[1]My Input'!$F:$F)</f>
        <v>0.11</v>
      </c>
      <c r="S21" s="65"/>
      <c r="T21" s="100">
        <f t="shared" si="8"/>
        <v>4208536.5894736843</v>
      </c>
      <c r="U21" s="98">
        <f t="shared" si="9"/>
        <v>4208536.5894736843</v>
      </c>
      <c r="V21" s="99">
        <v>100</v>
      </c>
      <c r="W21" s="99">
        <v>100</v>
      </c>
      <c r="X21" s="102">
        <f>_xlfn.XLOOKUP(A21,'[1]My Input'!$B:$B,'[1]My Input'!$I:$I)</f>
        <v>250000</v>
      </c>
      <c r="Y21" s="65"/>
      <c r="Z21" s="100">
        <f t="shared" si="10"/>
        <v>4110356.7199999997</v>
      </c>
      <c r="AA21" s="98">
        <f t="shared" si="11"/>
        <v>4333283.5494736843</v>
      </c>
      <c r="AB21" s="99">
        <v>100</v>
      </c>
      <c r="AC21" s="99">
        <v>100</v>
      </c>
      <c r="AD21" s="98">
        <f>_xlfn.XLOOKUP(A21,'[1]My Input'!$B:$B,'[1]My Input'!$N:$N)</f>
        <v>125253.04</v>
      </c>
      <c r="AE21" s="70"/>
      <c r="AF21" s="71">
        <f>_xlfn.XLOOKUP(A21,'[1]My Input'!$B:$B,'[1]My Input'!$E:$E)</f>
        <v>0.03</v>
      </c>
      <c r="AG21" s="72">
        <f>_xlfn.XLOOKUP(A21,'[1]My Input'!$B:$B,'[1]My Input'!$G:$G)</f>
        <v>0.14000000000000001</v>
      </c>
      <c r="AH21" s="73">
        <f t="shared" si="12"/>
        <v>1915178.9473684211</v>
      </c>
      <c r="AJ21" s="73">
        <f t="shared" si="13"/>
        <v>1857723.5789473685</v>
      </c>
      <c r="AK21" s="75">
        <f t="shared" si="14"/>
        <v>1647053.8947368423</v>
      </c>
      <c r="AL21" s="76">
        <f t="shared" si="15"/>
        <v>1915178.9473684211</v>
      </c>
      <c r="AM21" s="76">
        <f t="shared" si="16"/>
        <v>1857723.5789473685</v>
      </c>
      <c r="AN21" s="76">
        <f t="shared" si="17"/>
        <v>1647053.8947368423</v>
      </c>
      <c r="AO21" s="77">
        <f>_xlfn.XLOOKUP(A21,'[1]My Input'!$B:$B,'[1]My Input'!$T:$T)</f>
        <v>0</v>
      </c>
      <c r="AP21" s="78">
        <f>_xlfn.XLOOKUP(A21,'[1]My Input'!$B:$B,'[1]My Input'!$S:$S)</f>
        <v>1600</v>
      </c>
      <c r="AQ21" s="67">
        <v>0.9</v>
      </c>
      <c r="AS21" s="153">
        <f>_xlfn.XLOOKUP(A21,'[1]My Input'!$B:$B,'[1]My Input'!$Q:$Q)</f>
        <v>0</v>
      </c>
      <c r="AU21" s="74" t="s">
        <v>41</v>
      </c>
      <c r="AV21" s="67" cm="1">
        <f t="array" ref="AV21">_xlfn.IFS(
 AND(AY21="ICE",  AP21&lt;=1400,AND(AK21&gt;900000,  AK21&lt;=1100000)),                    80%,
 AND(AY21="ICE",  AP21&lt;=1400,AK21&gt;1100000),                                       90%,
 AND(AY21="ICE",  AND(AP21&gt;1400,AP21&lt;=1600),   AK21&lt;=850000),                      75%,
 AND(AY21="ICE",  AND(AP21&gt;1400,AP21&lt;=1600),   AND(AK21&gt;850000,AK21&lt;=1100000)),     80%,
 AND(AY21="ICE",  AND(AP21&gt;1400,AP21&lt;=1600),   AND(AK21&gt;1100000,AK21&lt;=1650000)),    90%,
 AND(AY21="ICE",  AND(AP21&gt;1400,AP21&lt;=1600),   AK21&gt;1650000),                      100%,
 AND(AY21="ICE",  AND(AP21&gt;1600,AP21&lt;=2000),   AK21&lt;=1650000),                     150%,
 AND(AY21="ICE",  AND(AP21&gt;1600,AP21&lt;=2000),   AK21&gt;1650000),                      170%,
 AND(AY21="ICE",  AP21&gt;2000),                                                    220%,
 AND(AY21="PHEV",  AP21&lt;=1600,                AK21&lt;=1350000),                     45%,
 AND(AY21="PHEV",  AP21&lt;=1600,                AK21&gt;1350000),                      75%,
 AND(AY21="PHEV",  AND(AP21&gt;1600,AP21&lt;=1800),  AK21&lt;=1350000),                     85%,
 AND(AY21="BEV",    AZ21&lt;=160,                 AK21&lt;=1650000),                     25%,
 AND(AY21="BEV",    AZ21&lt;=160,                 AK21&gt;1650000),                      55%,
 AND(AY21="BEV",    AZ21&gt; 160,                 AK21&lt;=1650000),                     65%,
 AND(AY21="BEV",    AZ21&gt; 160,                 AK21&gt;1650000),                      75%)</f>
        <v>0.9</v>
      </c>
      <c r="AW21" s="67" cm="1">
        <f t="array" ref="AW21">_xlfn.IFS(
 X21=0,AV21,
 AND(AY21="ICE",  AP21&lt;=1400,AND((AJ21-BA21)&gt;900000,  (AJ21-BA21)&lt;=1100000)),                    80%,
 AND(AY21="ICE",  AP21&lt;=1400,(AJ21-BA21)&gt;1100000),                                       90%,
 AND(AY21="ICE",  AND(AP21&gt;1400,AP21&lt;=1600),   (AJ21-BA21)&lt;=850000),                      75%,
 AND(AY21="ICE",  AND(AP21&gt;1400,AP21&lt;=1600),   AND((AJ21-BA21)&gt;850000,(AJ21-BA21)&lt;=1100000)),     80%,
 AND(AY21="ICE",  AND(AP21&gt;1400,AP21&lt;=1600),   AND((AJ21-BA21)&gt;1100000,(AJ21-BA21)&lt;=1650000)),    90%,
 AND(AY21="ICE",  AND(AP21&gt;1400,AP21&lt;=1600),   (AJ21-BA21)&gt;1650000),                      100%,
 AND(AY21="ICE",  AND(AP21&gt;1600,AP21&lt;=2000),   (AJ21-BA21)&lt;=1650000),                     150%,
 AND(AY21="ICE",  AND(AP21&gt;1600,AP21&lt;=2000),   (AJ21-BA21)&gt;1650000),                      170%,
 AND(AY21="ICE",  AP21&gt;2000),                                                    220%,
 AND(AY21="PHEV",  AP21&lt;=1600,                (AJ21-BA21)&lt;=1350000),                     45%,
 AND(AY21="PHEV",  AP21&lt;=1600,                (AJ21-BA21)&gt;1350000),                      75%,
 AND(AY21="PHEV",  AND(AP21&gt;1600,AP21&lt;=1800),  (AJ21-BA21)&lt;=1350000),                     85%,
 AND(AY21="BEV",    AZ21&lt;=160,                 (AJ21-BA21)&lt;=1650000),                     25%,
 AND(AY21="BEV",    AZ21&lt;=160,                 (AJ21-BA21)&gt;1650000),                      55%,
 AND(AY21="BEV",    AZ21&gt; 160,                 (AJ21-BA21)&lt;=1650000),                     65%,
 AND(AY21="BEV",    AZ21&gt; 160,                 (AJ21-BA21)&gt;1650000),                      75%)</f>
        <v>1</v>
      </c>
      <c r="AX21" s="67" cm="1">
        <f t="array" ref="AX21">_xlfn.IFS(
 AD21=0,AV21,
 AND(AY21="ICE",  AP21&lt;=1400,AND(AJ21&gt;900000,  AJ21&lt;=1100000)),                    80%,
 AND(AY21="ICE",  AP21&lt;=1400,AJ21&gt;1100000),                                       90%,
 AND(AY21="ICE",  AND(AP21&gt;1400,AP21&lt;=1600),   AJ21&lt;=850000),                      75%,
 AND(AY21="ICE",  AND(AP21&gt;1400,AP21&lt;=1600),   AND(AJ21&gt;850000,AJ21&lt;=1100000)),     80%,
 AND(AY21="ICE",  AND(AP21&gt;1400,AP21&lt;=1600),   AND(AJ21&gt;1100000,AJ21&lt;=1650000)),    90%,
 AND(AY21="ICE",  AND(AP21&gt;1400,AP21&lt;=1600),   AJ21&gt;1650000),                      100%,
 AND(AY21="ICE",  AND(AP21&gt;1600,AP21&lt;=2000),   AJ21&lt;=1650000),                     150%,
 AND(AY21="ICE",  AND(AP21&gt;1600,AP21&lt;=2000),   AJ21&gt;1650000),                      170%,
 AND(AY21="ICE",  AP21&gt;2000),                                                    220%,
 AND(AY21="PHEV",  AP21&lt;=1600,                AJ21&lt;=1350000),                     45%,
 AND(AY21="PHEV",  AP21&lt;=1600,                AJ21&gt;1350000),                      75%,
 AND(AY21="PHEV",  AND(AP21&gt;1600,AP21&lt;=1800),  AJ21&lt;=1350000),                     85%,
 AND(AY21="BEV",    AZ21&lt;=160,                 AJ21&lt;=1650000),                     25%,
 AND(AY21="BEV",    AZ21&lt;=160,                 AJ21&gt;1650000),                      55%,
 AND(AY21="BEV",    AZ21&gt; 160,                 AJ21&lt;=1650000),                     65%,
 AND(AY21="BEV",    AZ21&gt; 160,                 AJ21&gt;1650000),                      75%)</f>
        <v>1</v>
      </c>
      <c r="AY21" s="80" t="str">
        <f>_xlfn.XLOOKUP(A21,'[1]My Input'!$B:$B,'[1]My Input'!$V:$V)</f>
        <v>ICE</v>
      </c>
      <c r="AZ21" s="80" t="str">
        <f>_xlfn.IFNA(_xlfn.XLOOKUP(A21,'[1]kW Tescil'!$A:$A,'[1]kW Tescil'!$C:$C),"-")</f>
        <v>-</v>
      </c>
      <c r="BA21" s="81">
        <f>_xlfn.XLOOKUP(A21,'[1]My Input'!$B:$B,'[1]My Input'!$H:$H)</f>
        <v>109649.12280701756</v>
      </c>
      <c r="BC21" s="82">
        <v>0</v>
      </c>
      <c r="BD21" s="82">
        <v>0</v>
      </c>
      <c r="BF21" s="83">
        <v>0</v>
      </c>
      <c r="BG21" s="83">
        <v>0</v>
      </c>
      <c r="BI21" s="84">
        <v>344817.37149999896</v>
      </c>
      <c r="BL21" s="83">
        <v>0</v>
      </c>
    </row>
    <row r="22" spans="1:70" s="117" customFormat="1" ht="7.15" customHeight="1" thickBot="1" x14ac:dyDescent="0.3">
      <c r="A22" s="57"/>
      <c r="B22" s="57"/>
      <c r="C22" s="165"/>
      <c r="D22" s="17"/>
      <c r="E22" s="17"/>
      <c r="F22" s="17"/>
      <c r="G22" s="110"/>
      <c r="H22" s="108"/>
      <c r="I22" s="109"/>
      <c r="J22" s="65"/>
      <c r="K22" s="108"/>
      <c r="L22" s="109"/>
      <c r="M22" s="110"/>
      <c r="N22" s="108"/>
      <c r="O22" s="108"/>
      <c r="P22" s="109"/>
      <c r="Q22" s="109"/>
      <c r="R22" s="111"/>
      <c r="S22" s="110"/>
      <c r="T22" s="108"/>
      <c r="U22" s="108"/>
      <c r="V22" s="109"/>
      <c r="W22" s="109"/>
      <c r="X22" s="166"/>
      <c r="Y22" s="110"/>
      <c r="Z22" s="108"/>
      <c r="AA22" s="108"/>
      <c r="AB22" s="109"/>
      <c r="AC22" s="109"/>
      <c r="AD22" s="167"/>
      <c r="AE22" s="114"/>
      <c r="AF22" s="115"/>
      <c r="AG22" s="19"/>
      <c r="AH22" s="116"/>
      <c r="AJ22" s="116"/>
      <c r="AK22" s="21"/>
      <c r="AL22" s="20"/>
      <c r="AM22" s="76"/>
      <c r="AN22" s="20"/>
      <c r="AO22" s="116"/>
      <c r="AP22" s="78"/>
      <c r="AQ22" s="67"/>
      <c r="AS22" s="118"/>
      <c r="AU22" s="74" t="s">
        <v>41</v>
      </c>
      <c r="AV22" s="67"/>
      <c r="AW22" s="67"/>
      <c r="AX22" s="67"/>
      <c r="AY22" s="80"/>
      <c r="AZ22" s="80"/>
      <c r="BA22" s="81"/>
      <c r="BC22" s="82">
        <v>0</v>
      </c>
      <c r="BD22" s="82">
        <v>0</v>
      </c>
      <c r="BF22" s="83">
        <v>0</v>
      </c>
      <c r="BG22" s="83">
        <v>0</v>
      </c>
      <c r="BI22" s="84">
        <v>0</v>
      </c>
      <c r="BL22" s="83">
        <v>0</v>
      </c>
    </row>
    <row r="23" spans="1:70" s="74" customFormat="1" ht="15" customHeight="1" thickBot="1" x14ac:dyDescent="0.3">
      <c r="A23" s="57" t="s">
        <v>67</v>
      </c>
      <c r="B23" s="57" t="str">
        <f t="shared" ref="B23:B108" si="18">D23&amp;E23&amp;F23</f>
        <v>MBCLA 350 4MATICEdition 1 AMG</v>
      </c>
      <c r="C23" s="168" t="s">
        <v>37</v>
      </c>
      <c r="D23" s="169" t="s">
        <v>47</v>
      </c>
      <c r="E23" s="170" t="s">
        <v>68</v>
      </c>
      <c r="F23" s="171" t="s">
        <v>69</v>
      </c>
      <c r="G23" s="65"/>
      <c r="H23" s="172">
        <v>4773835</v>
      </c>
      <c r="I23" s="173">
        <v>100</v>
      </c>
      <c r="J23" s="65">
        <v>0.05</v>
      </c>
      <c r="K23" s="174">
        <f>(((H23-AO23)/(1+AQ23)/1.2/$AS$1)+AS23)*(1+AQ23)*(1.2)*$AS$1+AO23</f>
        <v>4773835</v>
      </c>
      <c r="L23" s="173">
        <v>100</v>
      </c>
      <c r="M23" s="101"/>
      <c r="N23" s="175">
        <f>AN23*1.2*(1+AV23)+AO23</f>
        <v>4535143.25</v>
      </c>
      <c r="O23" s="172">
        <f>AK23*1.2*(1+AV23)+AO23</f>
        <v>4535143.25</v>
      </c>
      <c r="P23" s="173">
        <v>100</v>
      </c>
      <c r="Q23" s="173">
        <v>100</v>
      </c>
      <c r="R23" s="67">
        <f>_xlfn.XLOOKUP(A23,'[1]My Input'!$B:$B,'[1]My Input'!$F:$F)</f>
        <v>0</v>
      </c>
      <c r="S23" s="101"/>
      <c r="T23" s="175">
        <f>IF(X23&lt;&gt;0,AM23*1.2*(1+AW23)+AO23-X23,AN23*1.2*(1+AV23)+AO23)</f>
        <v>4535143.25</v>
      </c>
      <c r="U23" s="172">
        <f>IF(X23&lt;&gt;0,AJ23*1.2*(1+AW23)+AO23-X23,AK23*1.2*(1+AV23)+AO23)</f>
        <v>4535143.25</v>
      </c>
      <c r="V23" s="173">
        <v>100</v>
      </c>
      <c r="W23" s="173">
        <v>100</v>
      </c>
      <c r="X23" s="176">
        <f>_xlfn.XLOOKUP(A23,'[1]My Input'!$B:$B,'[1]My Input'!$I:$I)</f>
        <v>0</v>
      </c>
      <c r="Y23" s="101"/>
      <c r="Z23" s="175">
        <f t="shared" ref="Z23:Z108" si="19">IF(AD23&lt;&gt;0,AM23*1.2*(1+AQ23)+AO23-AD23,AL23*(1-AG23)*1.2*(1+AQ23)+AO23)</f>
        <v>4454326.42</v>
      </c>
      <c r="AA23" s="172">
        <f>IF(AD23&lt;&gt;0,AJ23*1.2*(1+AX23)+AO23-AD23,AH23*(1-AG23)*1.2*(1+AV23)+AO23)</f>
        <v>4454326.42</v>
      </c>
      <c r="AB23" s="173">
        <v>100</v>
      </c>
      <c r="AC23" s="173">
        <v>100</v>
      </c>
      <c r="AD23" s="172">
        <f>_xlfn.XLOOKUP(A23,'[1]My Input'!$B:$B,'[1]My Input'!$N:$N)</f>
        <v>80816.83</v>
      </c>
      <c r="AE23" s="70"/>
      <c r="AF23" s="71">
        <f>_xlfn.XLOOKUP(A23,'[1]My Input'!$B:$B,'[1]My Input'!$E:$E)</f>
        <v>0.05</v>
      </c>
      <c r="AG23" s="72">
        <f>_xlfn.XLOOKUP(A23,'[1]My Input'!$B:$B,'[1]My Input'!$G:$G)</f>
        <v>0.05</v>
      </c>
      <c r="AH23" s="73">
        <f>(H23-AO23)/1.2/(1+AQ23)</f>
        <v>2273254.7619047621</v>
      </c>
      <c r="AJ23" s="73">
        <f>AH23*(1-AF23)</f>
        <v>2159592.0238095238</v>
      </c>
      <c r="AK23" s="75">
        <f>AH23*(1-AF23-R23)</f>
        <v>2159592.0238095238</v>
      </c>
      <c r="AL23" s="76">
        <f>(K23-AO23)/1.2/(1+AQ23)</f>
        <v>2273254.7619047621</v>
      </c>
      <c r="AM23" s="76">
        <f>AL23*(1-AF23)</f>
        <v>2159592.0238095238</v>
      </c>
      <c r="AN23" s="76">
        <f>AL23*(1-AF23-R23)</f>
        <v>2159592.0238095238</v>
      </c>
      <c r="AO23" s="77">
        <f>_xlfn.XLOOKUP(A23,'[1]My Input'!$B:$B,'[1]My Input'!$T:$T)</f>
        <v>0</v>
      </c>
      <c r="AP23" s="78">
        <f>_xlfn.XLOOKUP(A23,'[1]My Input'!$B:$B,'[1]My Input'!$S:$S)</f>
        <v>0</v>
      </c>
      <c r="AQ23" s="67">
        <f>_xlfn.XLOOKUP(A23,'[1]My Input'!$B:$B,'[1]My Input'!$U:$U)</f>
        <v>0.75</v>
      </c>
      <c r="AS23" s="103">
        <f>_xlfn.XLOOKUP(A23,'[1]My Input'!$B:$B,'[1]My Input'!$Q:$Q)</f>
        <v>0</v>
      </c>
      <c r="AU23" s="74" t="s">
        <v>41</v>
      </c>
      <c r="AV23" s="67" cm="1">
        <f t="array" ref="AV23">_xlfn.IFS(
 AND(AY23="ICE",  AP23&lt;=1400,AND(AK23&gt;900000,  AK23&lt;=1100000)),                    80%,
 AND(AY23="ICE",  AP23&lt;=1400,AK23&gt;1100000),                                       90%,
 AND(AY23="ICE",  AND(AP23&gt;1400,AP23&lt;=1600),   AK23&lt;=850000),                      75%,
 AND(AY23="ICE",  AND(AP23&gt;1400,AP23&lt;=1600),   AND(AK23&gt;850000,AK23&lt;=1100000)),     80%,
 AND(AY23="ICE",  AND(AP23&gt;1400,AP23&lt;=1600),   AND(AK23&gt;1100000,AK23&lt;=1650000)),    90%,
 AND(AY23="ICE",  AND(AP23&gt;1400,AP23&lt;=1600),   AK23&gt;1650000),                      100%,
 AND(AY23="ICE",  AND(AP23&gt;1600,AP23&lt;=2000),   AK23&lt;=1650000),                     150%,
 AND(AY23="ICE",  AND(AP23&gt;1600,AP23&lt;=2000),   AK23&gt;1650000),                      170%,
 AND(AY23="ICE",  AP23&gt;2000),                                                    220%,
 AND(AY23="PHEV",  AP23&lt;=1600,                AK23&lt;=1350000),                     45%,
 AND(AY23="PHEV",  AP23&lt;=1600,                AK23&gt;1350000),                      75%,
 AND(AY23="PHEV",  AND(AP23&gt;1600,AP23&lt;=1800),  AK23&lt;=1350000),                     85%,
 AND(AY23="BEV",    AZ23&lt;=160,                 AK23&lt;=1650000),                     25%,
 AND(AY23="BEV",    AZ23&lt;=160,                 AK23&gt;1650000),                      55%,
 AND(AY23="BEV",    AZ23&gt; 160,                 AK23&lt;=1650000),                     65%,
 AND(AY23="BEV",    AZ23&gt; 160,                 AK23&gt;1650000),                      75%)</f>
        <v>0.75</v>
      </c>
      <c r="AW23" s="67" cm="1">
        <f t="array" ref="AW23">_xlfn.IFS(
 X23=0,AV23,
 AND(AY23="ICE",  AP23&lt;=1400,AND((AJ23-BA23)&gt;900000,  (AJ23-BA23)&lt;=1100000)),                    80%,
 AND(AY23="ICE",  AP23&lt;=1400,(AJ23-BA23)&gt;1100000),                                       90%,
 AND(AY23="ICE",  AND(AP23&gt;1400,AP23&lt;=1600),   (AJ23-BA23)&lt;=850000),                      75%,
 AND(AY23="ICE",  AND(AP23&gt;1400,AP23&lt;=1600),   AND((AJ23-BA23)&gt;850000,(AJ23-BA23)&lt;=1100000)),     80%,
 AND(AY23="ICE",  AND(AP23&gt;1400,AP23&lt;=1600),   AND((AJ23-BA23)&gt;1100000,(AJ23-BA23)&lt;=1650000)),    90%,
 AND(AY23="ICE",  AND(AP23&gt;1400,AP23&lt;=1600),   (AJ23-BA23)&gt;1650000),                      100%,
 AND(AY23="ICE",  AND(AP23&gt;1600,AP23&lt;=2000),   (AJ23-BA23)&lt;=1650000),                     150%,
 AND(AY23="ICE",  AND(AP23&gt;1600,AP23&lt;=2000),   (AJ23-BA23)&gt;1650000),                      170%,
 AND(AY23="ICE",  AP23&gt;2000),                                                    220%,
 AND(AY23="PHEV",  AP23&lt;=1600,                (AJ23-BA23)&lt;=1350000),                     45%,
 AND(AY23="PHEV",  AP23&lt;=1600,                (AJ23-BA23)&gt;1350000),                      75%,
 AND(AY23="PHEV",  AND(AP23&gt;1600,AP23&lt;=1800),  (AJ23-BA23)&lt;=1350000),                     85%,
 AND(AY23="BEV",    AZ23&lt;=160,                 (AJ23-BA23)&lt;=1650000),                     25%,
 AND(AY23="BEV",    AZ23&lt;=160,                 (AJ23-BA23)&gt;1650000),                      55%,
 AND(AY23="BEV",    AZ23&gt; 160,                 (AJ23-BA23)&lt;=1650000),                     65%,
 AND(AY23="BEV",    AZ23&gt; 160,                 (AJ23-BA23)&gt;1650000),                      75%)</f>
        <v>0.75</v>
      </c>
      <c r="AX23" s="67" cm="1">
        <f t="array" ref="AX23">_xlfn.IFS(
 AD23=0,AV23,
 AND(AY23="ICE",  AP23&lt;=1400,AND(AJ23&gt;900000,  AJ23&lt;=1100000)),                    80%,
 AND(AY23="ICE",  AP23&lt;=1400,AJ23&gt;1100000),                                       90%,
 AND(AY23="ICE",  AND(AP23&gt;1400,AP23&lt;=1600),   AJ23&lt;=850000),                      75%,
 AND(AY23="ICE",  AND(AP23&gt;1400,AP23&lt;=1600),   AND(AJ23&gt;850000,AJ23&lt;=1100000)),     80%,
 AND(AY23="ICE",  AND(AP23&gt;1400,AP23&lt;=1600),   AND(AJ23&gt;1100000,AJ23&lt;=1650000)),    90%,
 AND(AY23="ICE",  AND(AP23&gt;1400,AP23&lt;=1600),   AJ23&gt;1650000),                      100%,
 AND(AY23="ICE",  AND(AP23&gt;1600,AP23&lt;=2000),   AJ23&lt;=1650000),                     150%,
 AND(AY23="ICE",  AND(AP23&gt;1600,AP23&lt;=2000),   AJ23&gt;1650000),                      170%,
 AND(AY23="ICE",  AP23&gt;2000),                                                    220%,
 AND(AY23="PHEV",  AP23&lt;=1600,                AJ23&lt;=1350000),                     45%,
 AND(AY23="PHEV",  AP23&lt;=1600,                AJ23&gt;1350000),                      75%,
 AND(AY23="PHEV",  AND(AP23&gt;1600,AP23&lt;=1800),  AJ23&lt;=1350000),                     85%,
 AND(AY23="BEV",    AZ23&lt;=160,                 AJ23&lt;=1650000),                     25%,
 AND(AY23="BEV",    AZ23&lt;=160,                 AJ23&gt;1650000),                      55%,
 AND(AY23="BEV",    AZ23&gt; 160,                 AJ23&lt;=1650000),                     65%,
 AND(AY23="BEV",    AZ23&gt; 160,                 AJ23&gt;1650000),                      75%)</f>
        <v>0.75</v>
      </c>
      <c r="AY23" s="80" t="str">
        <f>_xlfn.XLOOKUP(A23,'[1]My Input'!$B:$B,'[1]My Input'!$V:$V)</f>
        <v>BEV</v>
      </c>
      <c r="AZ23" s="80">
        <f>_xlfn.IFNA(_xlfn.XLOOKUP(A23,'[1]kW Tescil'!$A:$A,'[1]kW Tescil'!$C:$C),"-")</f>
        <v>260</v>
      </c>
      <c r="BA23" s="81">
        <f>_xlfn.XLOOKUP(A23,'[1]My Input'!$B:$B,'[1]My Input'!$H:$H)</f>
        <v>0</v>
      </c>
      <c r="BC23" s="82">
        <v>0</v>
      </c>
      <c r="BD23" s="82">
        <v>0</v>
      </c>
      <c r="BF23" s="83">
        <v>0</v>
      </c>
      <c r="BG23" s="83">
        <v>0</v>
      </c>
      <c r="BI23" s="84">
        <v>191611.78085360024</v>
      </c>
      <c r="BL23" s="83">
        <v>0</v>
      </c>
    </row>
    <row r="24" spans="1:70" s="117" customFormat="1" ht="7.15" customHeight="1" thickBot="1" x14ac:dyDescent="0.3">
      <c r="A24" s="57"/>
      <c r="B24" s="57"/>
      <c r="C24" s="165"/>
      <c r="D24" s="17"/>
      <c r="E24" s="17"/>
      <c r="F24" s="17"/>
      <c r="G24" s="110"/>
      <c r="H24" s="108"/>
      <c r="I24" s="109"/>
      <c r="J24" s="65"/>
      <c r="K24" s="108"/>
      <c r="L24" s="109"/>
      <c r="M24" s="110"/>
      <c r="N24" s="108"/>
      <c r="O24" s="108"/>
      <c r="P24" s="109"/>
      <c r="Q24" s="109"/>
      <c r="R24" s="111"/>
      <c r="S24" s="110"/>
      <c r="T24" s="108"/>
      <c r="U24" s="108"/>
      <c r="V24" s="109"/>
      <c r="W24" s="109"/>
      <c r="X24" s="166"/>
      <c r="Y24" s="110"/>
      <c r="Z24" s="108"/>
      <c r="AA24" s="108"/>
      <c r="AB24" s="109"/>
      <c r="AC24" s="109"/>
      <c r="AD24" s="167"/>
      <c r="AE24" s="114"/>
      <c r="AF24" s="115"/>
      <c r="AG24" s="19"/>
      <c r="AH24" s="116"/>
      <c r="AJ24" s="116"/>
      <c r="AK24" s="21"/>
      <c r="AL24" s="20"/>
      <c r="AM24" s="76"/>
      <c r="AN24" s="20"/>
      <c r="AO24" s="116"/>
      <c r="AP24" s="78"/>
      <c r="AQ24" s="67"/>
      <c r="AS24" s="118"/>
      <c r="AU24" s="74" t="s">
        <v>41</v>
      </c>
      <c r="AV24" s="67"/>
      <c r="AW24" s="67"/>
      <c r="AX24" s="67"/>
      <c r="AY24" s="80"/>
      <c r="AZ24" s="80"/>
      <c r="BA24" s="81"/>
      <c r="BC24" s="82">
        <v>0</v>
      </c>
      <c r="BD24" s="82">
        <v>0</v>
      </c>
      <c r="BF24" s="83">
        <v>0</v>
      </c>
      <c r="BG24" s="83">
        <v>0</v>
      </c>
      <c r="BI24" s="84">
        <v>0</v>
      </c>
      <c r="BL24" s="83">
        <v>0</v>
      </c>
    </row>
    <row r="25" spans="1:70" s="74" customFormat="1" ht="15" customHeight="1" x14ac:dyDescent="0.25">
      <c r="A25" s="57" t="s">
        <v>70</v>
      </c>
      <c r="B25" s="57" t="str">
        <f t="shared" ref="B25:B110" si="20">D25&amp;E25&amp;F25</f>
        <v>AudiA5 Sedan TFSI quattroAdvanced</v>
      </c>
      <c r="C25" s="58" t="s">
        <v>37</v>
      </c>
      <c r="D25" s="177" t="s">
        <v>38</v>
      </c>
      <c r="E25" s="60" t="s">
        <v>71</v>
      </c>
      <c r="F25" s="61" t="s">
        <v>40</v>
      </c>
      <c r="G25" s="178"/>
      <c r="H25" s="123">
        <v>7495513</v>
      </c>
      <c r="I25" s="124">
        <f t="shared" ref="I25:I27" si="21">H25/$H$29*$I$29</f>
        <v>129.83829785759818</v>
      </c>
      <c r="J25" s="65">
        <v>0.245</v>
      </c>
      <c r="K25" s="66">
        <f>(((H25-AO25)/(1+AQ25)/1.2/$AS$1)+AS25)*(1+AQ25)*(1.2)*$AS$1+AO25</f>
        <v>6621199</v>
      </c>
      <c r="L25" s="64">
        <f t="shared" ref="L25:L27" si="22">K25/$K$29*$L$29</f>
        <v>114.69331157673012</v>
      </c>
      <c r="M25" s="157"/>
      <c r="N25" s="66">
        <f>AN25*1.2*(1+AV25)+AO25</f>
        <v>4999005.2450000001</v>
      </c>
      <c r="O25" s="123">
        <f>AK25*1.2*(1+AV25)+AO25</f>
        <v>5659112.3150000004</v>
      </c>
      <c r="P25" s="124">
        <f>IF(ISNUMBER(O25),O25/$O$29*$P$29,"")</f>
        <v>110.14372458706364</v>
      </c>
      <c r="Q25" s="124">
        <f>IF(ISNUMBER(N25),N25/$N$29*$Q$29,"")</f>
        <v>97.296011506199847</v>
      </c>
      <c r="R25" s="126">
        <f>_xlfn.XLOOKUP(A25,'[1]My Input'!$B:$B,'[1]My Input'!$F:$F)</f>
        <v>0</v>
      </c>
      <c r="S25" s="157"/>
      <c r="T25" s="66">
        <f>IF(X25&lt;&gt;0,AM25*1.2*(1+AW25)+AO25-X25,AN25*1.2*(1+AV25)+AO25)</f>
        <v>4999005.2450000001</v>
      </c>
      <c r="U25" s="123">
        <f>IF(X25&lt;&gt;0,AJ25*1.2*(1+AW25)+AO25-X25,AK25*1.2*(1+AV25)+AO25)</f>
        <v>5659112.3150000004</v>
      </c>
      <c r="V25" s="124">
        <f>IF(ISNUMBER(U25),U25/$U$29*$V$29,"")</f>
        <v>115.49748108646381</v>
      </c>
      <c r="W25" s="124">
        <f>IF(ISNUMBER(T25),T25/$T$29*$W$29,"")</f>
        <v>102.02527915997383</v>
      </c>
      <c r="X25" s="127">
        <f>_xlfn.XLOOKUP(A25,'[1]My Input'!$B:$B,'[1]My Input'!$I:$I)</f>
        <v>0</v>
      </c>
      <c r="Y25" s="157"/>
      <c r="Z25" s="66">
        <f t="shared" ref="Z25:Z110" si="23">IF(AD25&lt;&gt;0,AM25*1.2*(1+AQ25)+AO25-AD25,AL25*(1-AG25)*1.2*(1+AQ25)+AO25)</f>
        <v>4999005.2450000001</v>
      </c>
      <c r="AA25" s="123">
        <f>IF(AD25&lt;&gt;0,AJ25*1.2*(1+AX25)+AO25-AD25,AH25*(1-AG25)*1.2*(1+AV25)+AO25)</f>
        <v>5659112.3150000004</v>
      </c>
      <c r="AB25" s="124">
        <f>IF(ISNUMBER(AA25),AA25/$AA$29*$AB$29,"")</f>
        <v>106.41526051049146</v>
      </c>
      <c r="AC25" s="124">
        <f>IF(ISNUMBER(Z25),Z25/$Z$29*$AC$29,"")</f>
        <v>94.002454065092749</v>
      </c>
      <c r="AD25" s="179">
        <f>_xlfn.XLOOKUP(A25,'[1]My Input'!$B:$B,'[1]My Input'!$N:$N)</f>
        <v>0</v>
      </c>
      <c r="AE25" s="70"/>
      <c r="AF25" s="130">
        <f>_xlfn.XLOOKUP(A25,'[1]My Input'!$B:$B,'[1]My Input'!$E:$E)</f>
        <v>0.245</v>
      </c>
      <c r="AG25" s="72">
        <f>_xlfn.XLOOKUP(A25,'[1]My Input'!$B:$B,'[1]My Input'!$G:$G)</f>
        <v>0.245</v>
      </c>
      <c r="AH25" s="73">
        <f>(H25-AO25)/1.2/(1+AQ25)</f>
        <v>2313429.9382716049</v>
      </c>
      <c r="AJ25" s="73">
        <f>AH25*(1-AF25)</f>
        <v>1746639.6033950618</v>
      </c>
      <c r="AK25" s="75">
        <f>AH25*(1-AF25-R25)</f>
        <v>1746639.6033950618</v>
      </c>
      <c r="AL25" s="76">
        <f>(K25-AO25)/1.2/(1+AQ25)</f>
        <v>2043579.9382716049</v>
      </c>
      <c r="AM25" s="76">
        <f>AL25*(1-AF25)</f>
        <v>1542902.8533950618</v>
      </c>
      <c r="AN25" s="76">
        <f>AL25*(1-AF25-R25)</f>
        <v>1542902.8533950618</v>
      </c>
      <c r="AO25" s="77">
        <f>_xlfn.XLOOKUP(A25,'[1]My Input'!$B:$B,'[1]My Input'!$T:$T)</f>
        <v>0</v>
      </c>
      <c r="AP25" s="78">
        <f>_xlfn.XLOOKUP(A25,'[1]My Input'!$B:$B,'[1]My Input'!$S:$S)</f>
        <v>2000</v>
      </c>
      <c r="AQ25" s="67">
        <f>_xlfn.XLOOKUP(A25,'[1]My Input'!$B:$B,'[1]My Input'!$U:$U)</f>
        <v>1.7</v>
      </c>
      <c r="AS25" s="155">
        <v>-5140</v>
      </c>
      <c r="AU25" s="74" t="s">
        <v>41</v>
      </c>
      <c r="AV25" s="67" cm="1">
        <f t="array" ref="AV25">_xlfn.IFS(
 AND(AY25="ICE",  AP25&lt;=1400,AND(AK25&gt;900000,  AK25&lt;=1100000)),                    80%,
 AND(AY25="ICE",  AP25&lt;=1400,AK25&gt;1100000),                                       90%,
 AND(AY25="ICE",  AND(AP25&gt;1400,AP25&lt;=1600),   AK25&lt;=850000),                      75%,
 AND(AY25="ICE",  AND(AP25&gt;1400,AP25&lt;=1600),   AND(AK25&gt;850000,AK25&lt;=1100000)),     80%,
 AND(AY25="ICE",  AND(AP25&gt;1400,AP25&lt;=1600),   AND(AK25&gt;1100000,AK25&lt;=1650000)),    90%,
 AND(AY25="ICE",  AND(AP25&gt;1400,AP25&lt;=1600),   AK25&gt;1650000),                      100%,
 AND(AY25="ICE",  AND(AP25&gt;1600,AP25&lt;=2000),   AK25&lt;=1650000),                     150%,
 AND(AY25="ICE",  AND(AP25&gt;1600,AP25&lt;=2000),   AK25&gt;1650000),                      170%,
 AND(AY25="ICE",  AP25&gt;2000),                                                    220%,
 AND(AY25="PHEV",  AP25&lt;=1600,                AK25&lt;=1350000),                     45%,
 AND(AY25="PHEV",  AP25&lt;=1600,                AK25&gt;1350000),                      75%,
 AND(AY25="PHEV",  AND(AP25&gt;1600,AP25&lt;=1800),  AK25&lt;=1350000),                     85%,
 AND(AY25="BEV",    AZ25&lt;=160,                 AK25&lt;=1650000),                     25%,
 AND(AY25="BEV",    AZ25&lt;=160,                 AK25&gt;1650000),                      55%,
 AND(AY25="BEV",    AZ25&gt; 160,                 AK25&lt;=1650000),                     65%,
 AND(AY25="BEV",    AZ25&gt; 160,                 AK25&gt;1650000),                      75%)</f>
        <v>1.7</v>
      </c>
      <c r="AW25" s="67" cm="1">
        <f t="array" ref="AW25">_xlfn.IFS(
 X25=0,AV25,
 AND(AY25="ICE",  AP25&lt;=1400,AND((AJ25-BA25)&gt;900000,  (AJ25-BA25)&lt;=1100000)),                    80%,
 AND(AY25="ICE",  AP25&lt;=1400,(AJ25-BA25)&gt;1100000),                                       90%,
 AND(AY25="ICE",  AND(AP25&gt;1400,AP25&lt;=1600),   (AJ25-BA25)&lt;=850000),                      75%,
 AND(AY25="ICE",  AND(AP25&gt;1400,AP25&lt;=1600),   AND((AJ25-BA25)&gt;850000,(AJ25-BA25)&lt;=1100000)),     80%,
 AND(AY25="ICE",  AND(AP25&gt;1400,AP25&lt;=1600),   AND((AJ25-BA25)&gt;1100000,(AJ25-BA25)&lt;=1650000)),    90%,
 AND(AY25="ICE",  AND(AP25&gt;1400,AP25&lt;=1600),   (AJ25-BA25)&gt;1650000),                      100%,
 AND(AY25="ICE",  AND(AP25&gt;1600,AP25&lt;=2000),   (AJ25-BA25)&lt;=1650000),                     150%,
 AND(AY25="ICE",  AND(AP25&gt;1600,AP25&lt;=2000),   (AJ25-BA25)&gt;1650000),                      170%,
 AND(AY25="ICE",  AP25&gt;2000),                                                    220%,
 AND(AY25="PHEV",  AP25&lt;=1600,                (AJ25-BA25)&lt;=1350000),                     45%,
 AND(AY25="PHEV",  AP25&lt;=1600,                (AJ25-BA25)&gt;1350000),                      75%,
 AND(AY25="PHEV",  AND(AP25&gt;1600,AP25&lt;=1800),  (AJ25-BA25)&lt;=1350000),                     85%,
 AND(AY25="BEV",    AZ25&lt;=160,                 (AJ25-BA25)&lt;=1650000),                     25%,
 AND(AY25="BEV",    AZ25&lt;=160,                 (AJ25-BA25)&gt;1650000),                      55%,
 AND(AY25="BEV",    AZ25&gt; 160,                 (AJ25-BA25)&lt;=1650000),                     65%,
 AND(AY25="BEV",    AZ25&gt; 160,                 (AJ25-BA25)&gt;1650000),                      75%)</f>
        <v>1.7</v>
      </c>
      <c r="AX25" s="67" cm="1">
        <f t="array" ref="AX25">_xlfn.IFS(
 AD25=0,AV25,
 AND(AY25="ICE",  AP25&lt;=1400,AND(AJ25&gt;900000,  AJ25&lt;=1100000)),                    80%,
 AND(AY25="ICE",  AP25&lt;=1400,AJ25&gt;1100000),                                       90%,
 AND(AY25="ICE",  AND(AP25&gt;1400,AP25&lt;=1600),   AJ25&lt;=850000),                      75%,
 AND(AY25="ICE",  AND(AP25&gt;1400,AP25&lt;=1600),   AND(AJ25&gt;850000,AJ25&lt;=1100000)),     80%,
 AND(AY25="ICE",  AND(AP25&gt;1400,AP25&lt;=1600),   AND(AJ25&gt;1100000,AJ25&lt;=1650000)),    90%,
 AND(AY25="ICE",  AND(AP25&gt;1400,AP25&lt;=1600),   AJ25&gt;1650000),                      100%,
 AND(AY25="ICE",  AND(AP25&gt;1600,AP25&lt;=2000),   AJ25&lt;=1650000),                     150%,
 AND(AY25="ICE",  AND(AP25&gt;1600,AP25&lt;=2000),   AJ25&gt;1650000),                      170%,
 AND(AY25="ICE",  AP25&gt;2000),                                                    220%,
 AND(AY25="PHEV",  AP25&lt;=1600,                AJ25&lt;=1350000),                     45%,
 AND(AY25="PHEV",  AP25&lt;=1600,                AJ25&gt;1350000),                      75%,
 AND(AY25="PHEV",  AND(AP25&gt;1600,AP25&lt;=1800),  AJ25&lt;=1350000),                     85%,
 AND(AY25="BEV",    AZ25&lt;=160,                 AJ25&lt;=1650000),                     25%,
 AND(AY25="BEV",    AZ25&lt;=160,                 AJ25&gt;1650000),                      55%,
 AND(AY25="BEV",    AZ25&gt; 160,                 AJ25&lt;=1650000),                     65%,
 AND(AY25="BEV",    AZ25&gt; 160,                 AJ25&gt;1650000),                      75%)</f>
        <v>1.7</v>
      </c>
      <c r="AY25" s="80" t="str">
        <f>_xlfn.XLOOKUP(A25,'[1]My Input'!$B:$B,'[1]My Input'!$V:$V)</f>
        <v>ICE</v>
      </c>
      <c r="AZ25" s="80" t="str">
        <f>_xlfn.IFNA(_xlfn.XLOOKUP(A25,'[1]kW Tescil'!$A:$A,'[1]kW Tescil'!$C:$C),"-")</f>
        <v>-</v>
      </c>
      <c r="BA25" s="81">
        <f>_xlfn.XLOOKUP(A25,'[1]My Input'!$B:$B,'[1]My Input'!$H:$H)</f>
        <v>0</v>
      </c>
      <c r="BC25" s="82">
        <v>5.0109844294404411</v>
      </c>
      <c r="BD25" s="82">
        <v>5.0991692860616809</v>
      </c>
      <c r="BF25" s="83">
        <v>11.43765577329458</v>
      </c>
      <c r="BG25" s="83">
        <v>10.785751361319782</v>
      </c>
      <c r="BI25" s="84">
        <v>824860.63513559103</v>
      </c>
      <c r="BL25" s="83">
        <v>8.5793454279289278</v>
      </c>
    </row>
    <row r="26" spans="1:70" s="74" customFormat="1" ht="15" customHeight="1" x14ac:dyDescent="0.25">
      <c r="A26" s="57" t="s">
        <v>72</v>
      </c>
      <c r="B26" s="57" t="str">
        <f t="shared" si="20"/>
        <v>MBC 200 4MATICAMG</v>
      </c>
      <c r="C26" s="58" t="s">
        <v>37</v>
      </c>
      <c r="D26" s="86" t="s">
        <v>47</v>
      </c>
      <c r="E26" s="87" t="s">
        <v>73</v>
      </c>
      <c r="F26" s="88" t="s">
        <v>49</v>
      </c>
      <c r="G26" s="107"/>
      <c r="H26" s="147">
        <v>5770000</v>
      </c>
      <c r="I26" s="148">
        <f t="shared" si="21"/>
        <v>99.948726476538894</v>
      </c>
      <c r="J26" s="65">
        <v>0.11</v>
      </c>
      <c r="K26" s="91">
        <f>(((H26-AO26)/(1+AQ26)/1.2/$AS$1)+AS26)*(1+AQ26)*(1.2)*$AS$1+AO26</f>
        <v>5093506.0000000009</v>
      </c>
      <c r="L26" s="90">
        <f t="shared" si="22"/>
        <v>88.230405199412459</v>
      </c>
      <c r="M26" s="110"/>
      <c r="N26" s="91">
        <f>AN26*1.2*(1+AV26)+AO26</f>
        <v>4533220.3400000008</v>
      </c>
      <c r="O26" s="147">
        <f>AK26*1.2*(1+AV26)+AO26</f>
        <v>5135300</v>
      </c>
      <c r="P26" s="148">
        <f t="shared" ref="P26:P28" si="24">IF(ISNUMBER(O26),O26/$O$29*$P$29,"")</f>
        <v>99.948726476538909</v>
      </c>
      <c r="Q26" s="180">
        <f t="shared" ref="Q26:Q28" si="25">IF(ISNUMBER(N26),N26/$N$29*$Q$29,"")</f>
        <v>88.23040519950068</v>
      </c>
      <c r="R26" s="126">
        <f>_xlfn.XLOOKUP(A26,'[1]My Input'!$B:$B,'[1]My Input'!$F:$F)</f>
        <v>0</v>
      </c>
      <c r="S26" s="110"/>
      <c r="T26" s="91">
        <f>IF(X26&lt;&gt;0,AM26*1.2*(1+AW26)+AO26-X26,AN26*1.2*(1+AV26)+AO26)</f>
        <v>4533220.3400000008</v>
      </c>
      <c r="U26" s="147">
        <f>IF(X26&lt;&gt;0,AJ26*1.2*(1+AW26)+AO26-X26,AK26*1.2*(1+AV26)+AO26)</f>
        <v>5135300</v>
      </c>
      <c r="V26" s="148">
        <f t="shared" ref="V26:V28" si="26">IF(ISNUMBER(U26),U26/$U$29*$V$29,"")</f>
        <v>104.80693465849997</v>
      </c>
      <c r="W26" s="148">
        <f t="shared" ref="W26:W28" si="27">IF(ISNUMBER(T26),T26/$T$29*$W$29,"")</f>
        <v>92.519020888159034</v>
      </c>
      <c r="X26" s="149">
        <f>_xlfn.XLOOKUP(A26,'[1]My Input'!$B:$B,'[1]My Input'!$I:$I)</f>
        <v>0</v>
      </c>
      <c r="Y26" s="110"/>
      <c r="Z26" s="91">
        <f t="shared" si="23"/>
        <v>4452403.5100000007</v>
      </c>
      <c r="AA26" s="147">
        <f>IF(AD26&lt;&gt;0,AJ26*1.2*(1+AX26)+AO26-AD26,AH26*(1-AG26)*1.2*(1+AV26)+AO26)</f>
        <v>5054483.17</v>
      </c>
      <c r="AB26" s="148">
        <f t="shared" ref="AB26:AB28" si="28">IF(ISNUMBER(AA26),AA26/$AA$29*$AB$29,"")</f>
        <v>95.045673833996815</v>
      </c>
      <c r="AC26" s="148">
        <f t="shared" ref="AC26:AC28" si="29">IF(ISNUMBER(Z26),Z26/$Z$29*$AC$29,"")</f>
        <v>83.724028264753841</v>
      </c>
      <c r="AD26" s="150">
        <f>_xlfn.XLOOKUP(A26,'[1]My Input'!$B:$B,'[1]My Input'!$N:$N)</f>
        <v>80816.83</v>
      </c>
      <c r="AE26" s="70"/>
      <c r="AF26" s="130">
        <f>_xlfn.XLOOKUP(A26,'[1]My Input'!$B:$B,'[1]My Input'!$E:$E)</f>
        <v>0.11</v>
      </c>
      <c r="AG26" s="72">
        <f>_xlfn.XLOOKUP(A26,'[1]My Input'!$B:$B,'[1]My Input'!$G:$G)</f>
        <v>0.11</v>
      </c>
      <c r="AH26" s="73">
        <f>(H26-AO26)/1.2/(1+AQ26)</f>
        <v>2404166.666666667</v>
      </c>
      <c r="AJ26" s="73">
        <f>AH26*(1-AF26)</f>
        <v>2139708.3333333335</v>
      </c>
      <c r="AK26" s="75">
        <f>AH26*(1-AF26-R26)</f>
        <v>2139708.3333333335</v>
      </c>
      <c r="AL26" s="76">
        <f>(K26-AO26)/1.2/(1+AQ26)</f>
        <v>2122294.166666667</v>
      </c>
      <c r="AM26" s="76">
        <f>AL26*(1-AF26)</f>
        <v>1888841.8083333336</v>
      </c>
      <c r="AN26" s="76">
        <f>AL26*(1-AF26-R26)</f>
        <v>1888841.8083333336</v>
      </c>
      <c r="AO26" s="77">
        <f>_xlfn.XLOOKUP(A26,'[1]My Input'!$B:$B,'[1]My Input'!$T:$T)</f>
        <v>0</v>
      </c>
      <c r="AP26" s="78">
        <f>_xlfn.XLOOKUP(A26,'[1]My Input'!$B:$B,'[1]My Input'!$S:$S)</f>
        <v>1600</v>
      </c>
      <c r="AQ26" s="67">
        <f>_xlfn.XLOOKUP(A26,'[1]My Input'!$B:$B,'[1]My Input'!$U:$U)</f>
        <v>1</v>
      </c>
      <c r="AS26" s="155">
        <v>-5369</v>
      </c>
      <c r="AU26" s="74" t="s">
        <v>41</v>
      </c>
      <c r="AV26" s="67" cm="1">
        <f t="array" ref="AV26">_xlfn.IFS(
 AND(AY26="ICE",  AP26&lt;=1400,AND(AK26&gt;900000,  AK26&lt;=1100000)),                    80%,
 AND(AY26="ICE",  AP26&lt;=1400,AK26&gt;1100000),                                       90%,
 AND(AY26="ICE",  AND(AP26&gt;1400,AP26&lt;=1600),   AK26&lt;=850000),                      75%,
 AND(AY26="ICE",  AND(AP26&gt;1400,AP26&lt;=1600),   AND(AK26&gt;850000,AK26&lt;=1100000)),     80%,
 AND(AY26="ICE",  AND(AP26&gt;1400,AP26&lt;=1600),   AND(AK26&gt;1100000,AK26&lt;=1650000)),    90%,
 AND(AY26="ICE",  AND(AP26&gt;1400,AP26&lt;=1600),   AK26&gt;1650000),                      100%,
 AND(AY26="ICE",  AND(AP26&gt;1600,AP26&lt;=2000),   AK26&lt;=1650000),                     150%,
 AND(AY26="ICE",  AND(AP26&gt;1600,AP26&lt;=2000),   AK26&gt;1650000),                      170%,
 AND(AY26="ICE",  AP26&gt;2000),                                                    220%,
 AND(AY26="PHEV",  AP26&lt;=1600,                AK26&lt;=1350000),                     45%,
 AND(AY26="PHEV",  AP26&lt;=1600,                AK26&gt;1350000),                      75%,
 AND(AY26="PHEV",  AND(AP26&gt;1600,AP26&lt;=1800),  AK26&lt;=1350000),                     85%,
 AND(AY26="BEV",    AZ26&lt;=160,                 AK26&lt;=1650000),                     25%,
 AND(AY26="BEV",    AZ26&lt;=160,                 AK26&gt;1650000),                      55%,
 AND(AY26="BEV",    AZ26&gt; 160,                 AK26&lt;=1650000),                     65%,
 AND(AY26="BEV",    AZ26&gt; 160,                 AK26&gt;1650000),                      75%)</f>
        <v>1</v>
      </c>
      <c r="AW26" s="67" cm="1">
        <f t="array" ref="AW26">_xlfn.IFS(
 X26=0,AV26,
 AND(AY26="ICE",  AP26&lt;=1400,AND((AJ26-BA26)&gt;900000,  (AJ26-BA26)&lt;=1100000)),                    80%,
 AND(AY26="ICE",  AP26&lt;=1400,(AJ26-BA26)&gt;1100000),                                       90%,
 AND(AY26="ICE",  AND(AP26&gt;1400,AP26&lt;=1600),   (AJ26-BA26)&lt;=850000),                      75%,
 AND(AY26="ICE",  AND(AP26&gt;1400,AP26&lt;=1600),   AND((AJ26-BA26)&gt;850000,(AJ26-BA26)&lt;=1100000)),     80%,
 AND(AY26="ICE",  AND(AP26&gt;1400,AP26&lt;=1600),   AND((AJ26-BA26)&gt;1100000,(AJ26-BA26)&lt;=1650000)),    90%,
 AND(AY26="ICE",  AND(AP26&gt;1400,AP26&lt;=1600),   (AJ26-BA26)&gt;1650000),                      100%,
 AND(AY26="ICE",  AND(AP26&gt;1600,AP26&lt;=2000),   (AJ26-BA26)&lt;=1650000),                     150%,
 AND(AY26="ICE",  AND(AP26&gt;1600,AP26&lt;=2000),   (AJ26-BA26)&gt;1650000),                      170%,
 AND(AY26="ICE",  AP26&gt;2000),                                                    220%,
 AND(AY26="PHEV",  AP26&lt;=1600,                (AJ26-BA26)&lt;=1350000),                     45%,
 AND(AY26="PHEV",  AP26&lt;=1600,                (AJ26-BA26)&gt;1350000),                      75%,
 AND(AY26="PHEV",  AND(AP26&gt;1600,AP26&lt;=1800),  (AJ26-BA26)&lt;=1350000),                     85%,
 AND(AY26="BEV",    AZ26&lt;=160,                 (AJ26-BA26)&lt;=1650000),                     25%,
 AND(AY26="BEV",    AZ26&lt;=160,                 (AJ26-BA26)&gt;1650000),                      55%,
 AND(AY26="BEV",    AZ26&gt; 160,                 (AJ26-BA26)&lt;=1650000),                     65%,
 AND(AY26="BEV",    AZ26&gt; 160,                 (AJ26-BA26)&gt;1650000),                      75%)</f>
        <v>1</v>
      </c>
      <c r="AX26" s="67" cm="1">
        <f t="array" ref="AX26">_xlfn.IFS(
 AD26=0,AV26,
 AND(AY26="ICE",  AP26&lt;=1400,AND(AJ26&gt;900000,  AJ26&lt;=1100000)),                    80%,
 AND(AY26="ICE",  AP26&lt;=1400,AJ26&gt;1100000),                                       90%,
 AND(AY26="ICE",  AND(AP26&gt;1400,AP26&lt;=1600),   AJ26&lt;=850000),                      75%,
 AND(AY26="ICE",  AND(AP26&gt;1400,AP26&lt;=1600),   AND(AJ26&gt;850000,AJ26&lt;=1100000)),     80%,
 AND(AY26="ICE",  AND(AP26&gt;1400,AP26&lt;=1600),   AND(AJ26&gt;1100000,AJ26&lt;=1650000)),    90%,
 AND(AY26="ICE",  AND(AP26&gt;1400,AP26&lt;=1600),   AJ26&gt;1650000),                      100%,
 AND(AY26="ICE",  AND(AP26&gt;1600,AP26&lt;=2000),   AJ26&lt;=1650000),                     150%,
 AND(AY26="ICE",  AND(AP26&gt;1600,AP26&lt;=2000),   AJ26&gt;1650000),                      170%,
 AND(AY26="ICE",  AP26&gt;2000),                                                    220%,
 AND(AY26="PHEV",  AP26&lt;=1600,                AJ26&lt;=1350000),                     45%,
 AND(AY26="PHEV",  AP26&lt;=1600,                AJ26&gt;1350000),                      75%,
 AND(AY26="PHEV",  AND(AP26&gt;1600,AP26&lt;=1800),  AJ26&lt;=1350000),                     85%,
 AND(AY26="BEV",    AZ26&lt;=160,                 AJ26&lt;=1650000),                     25%,
 AND(AY26="BEV",    AZ26&lt;=160,                 AJ26&gt;1650000),                      55%,
 AND(AY26="BEV",    AZ26&gt; 160,                 AJ26&lt;=1650000),                     65%,
 AND(AY26="BEV",    AZ26&gt; 160,                 AJ26&gt;1650000),                      75%)</f>
        <v>1</v>
      </c>
      <c r="AY26" s="80" t="str">
        <f>_xlfn.XLOOKUP(A26,'[1]My Input'!$B:$B,'[1]My Input'!$V:$V)</f>
        <v>ICE</v>
      </c>
      <c r="AZ26" s="80" t="str">
        <f>_xlfn.IFNA(_xlfn.XLOOKUP(A26,'[1]kW Tescil'!$A:$A,'[1]kW Tescil'!$C:$C),"-")</f>
        <v>-</v>
      </c>
      <c r="BA26" s="81">
        <f>_xlfn.XLOOKUP(A26,'[1]My Input'!$B:$B,'[1]My Input'!$H:$H)</f>
        <v>0</v>
      </c>
      <c r="BC26" s="82">
        <v>3.7968996307642158</v>
      </c>
      <c r="BD26" s="82">
        <v>3.6198132955756108</v>
      </c>
      <c r="BF26" s="83">
        <v>8.8622906424674852</v>
      </c>
      <c r="BG26" s="83">
        <v>8.1721295379488765</v>
      </c>
      <c r="BI26" s="84">
        <v>1039007.0844000001</v>
      </c>
      <c r="BL26" s="83">
        <v>-1.944679853264077</v>
      </c>
    </row>
    <row r="27" spans="1:70" ht="15" customHeight="1" x14ac:dyDescent="0.25">
      <c r="A27" s="1" t="s">
        <v>72</v>
      </c>
      <c r="B27" s="1" t="str">
        <f t="shared" si="20"/>
        <v>MBC 200 4MATICAMG</v>
      </c>
      <c r="C27" s="85" t="s">
        <v>42</v>
      </c>
      <c r="D27" s="144" t="s">
        <v>47</v>
      </c>
      <c r="E27" s="145" t="s">
        <v>73</v>
      </c>
      <c r="F27" s="146" t="s">
        <v>49</v>
      </c>
      <c r="G27" s="107"/>
      <c r="H27" s="147">
        <v>6358000</v>
      </c>
      <c r="I27" s="148">
        <f t="shared" si="21"/>
        <v>110.13414262354149</v>
      </c>
      <c r="J27" s="65">
        <v>0.11</v>
      </c>
      <c r="K27" s="91">
        <f>(((H27-AO27)/(1+AQ27)/1.2/$AS$1)+AS27)*(1+AQ27)*(1.2)*$AS$1+AO27</f>
        <v>5503342</v>
      </c>
      <c r="L27" s="125">
        <f t="shared" si="22"/>
        <v>95.329640253873222</v>
      </c>
      <c r="M27" s="110"/>
      <c r="N27" s="91">
        <f>AN27*1.2*(1+AV27)+AO27</f>
        <v>4897974.3800000008</v>
      </c>
      <c r="O27" s="147">
        <f>AK27*1.2*(1+AV27)+AO27</f>
        <v>5658620</v>
      </c>
      <c r="P27" s="148">
        <f t="shared" si="24"/>
        <v>110.13414262354149</v>
      </c>
      <c r="Q27" s="180">
        <f t="shared" si="25"/>
        <v>95.329640253968591</v>
      </c>
      <c r="R27" s="126">
        <v>0</v>
      </c>
      <c r="S27" s="110"/>
      <c r="T27" s="91">
        <f>IF(X27&lt;&gt;0,AM27*1.2*(1+AW27)+AO27-X27,AN27*1.2*(1+AV27)+AO27)</f>
        <v>4897974.3800000008</v>
      </c>
      <c r="U27" s="147">
        <f>IF(X27&lt;&gt;0,AJ27*1.2*(1+AW27)+AO27-X27,AK27*1.2*(1+AV27)+AO27)</f>
        <v>5658620</v>
      </c>
      <c r="V27" s="148">
        <f t="shared" si="26"/>
        <v>115.48743337239911</v>
      </c>
      <c r="W27" s="148">
        <f t="shared" si="27"/>
        <v>99.963328491746722</v>
      </c>
      <c r="X27" s="149">
        <f>_xlfn.XLOOKUP(A27,'[1]My Input'!$B:$B,'[1]My Input'!$I:$I)</f>
        <v>0</v>
      </c>
      <c r="Y27" s="110"/>
      <c r="Z27" s="91">
        <f t="shared" si="23"/>
        <v>4817157.5500000007</v>
      </c>
      <c r="AA27" s="147">
        <f>IF(AD27&lt;&gt;0,AJ27*1.2*(1+AX27)+AO27-AD27,AH27*(1-AG27)*1.2*(1+AV27)+AO27)</f>
        <v>5577803.1699999999</v>
      </c>
      <c r="AB27" s="148">
        <f t="shared" si="28"/>
        <v>104.88630448957524</v>
      </c>
      <c r="AC27" s="148">
        <f t="shared" si="29"/>
        <v>90.58294783169201</v>
      </c>
      <c r="AD27" s="150">
        <f>_xlfn.XLOOKUP(A27,'[1]My Input'!$B:$B,'[1]My Input'!$N:$N)</f>
        <v>80816.83</v>
      </c>
      <c r="AE27" s="129"/>
      <c r="AF27" s="130">
        <f>_xlfn.XLOOKUP(A27,'[1]My Input'!$B:$B,'[1]My Input'!$E:$E)</f>
        <v>0.11</v>
      </c>
      <c r="AG27" s="131">
        <f>AF27+R27</f>
        <v>0.11</v>
      </c>
      <c r="AH27" s="132">
        <f>(H27-AO27)/1.2/(1+AQ27)</f>
        <v>2649166.666666667</v>
      </c>
      <c r="AJ27" s="132">
        <f>AH27*(1-AF27)</f>
        <v>2357758.3333333335</v>
      </c>
      <c r="AK27" s="133">
        <f>AH27*(1-AF27-R27)</f>
        <v>2357758.3333333335</v>
      </c>
      <c r="AL27" s="134">
        <f>(K27-AO27)/1.2/(1+AQ27)</f>
        <v>2293059.166666667</v>
      </c>
      <c r="AM27" s="134">
        <f>AL27*(1-AF27)</f>
        <v>2040822.6583333337</v>
      </c>
      <c r="AN27" s="134">
        <f>AL27*(1-AF27-R27)</f>
        <v>2040822.6583333337</v>
      </c>
      <c r="AO27" s="135">
        <f>_xlfn.XLOOKUP(A27,'[1]My Input'!$B:$B,'[1]My Input'!$T:$T)</f>
        <v>0</v>
      </c>
      <c r="AP27" s="136">
        <f>_xlfn.XLOOKUP(A27,'[1]My Input'!$B:$B,'[1]My Input'!$S:$S)</f>
        <v>1600</v>
      </c>
      <c r="AQ27" s="137">
        <f>_xlfn.XLOOKUP(A27,'[1]My Input'!$B:$B,'[1]My Input'!$U:$U)</f>
        <v>1</v>
      </c>
      <c r="AS27" s="181">
        <v>-6783</v>
      </c>
      <c r="AU27" s="17" t="s">
        <v>41</v>
      </c>
      <c r="AV27" s="137" cm="1">
        <f t="array" ref="AV27">_xlfn.IFS(
 AND(AY27="ICE",  AP27&lt;=1400,AND(AK27&gt;900000,  AK27&lt;=1100000)),                    80%,
 AND(AY27="ICE",  AP27&lt;=1400,AK27&gt;1100000),                                       90%,
 AND(AY27="ICE",  AND(AP27&gt;1400,AP27&lt;=1600),   AK27&lt;=850000),                      75%,
 AND(AY27="ICE",  AND(AP27&gt;1400,AP27&lt;=1600),   AND(AK27&gt;850000,AK27&lt;=1100000)),     80%,
 AND(AY27="ICE",  AND(AP27&gt;1400,AP27&lt;=1600),   AND(AK27&gt;1100000,AK27&lt;=1650000)),    90%,
 AND(AY27="ICE",  AND(AP27&gt;1400,AP27&lt;=1600),   AK27&gt;1650000),                      100%,
 AND(AY27="ICE",  AND(AP27&gt;1600,AP27&lt;=2000),   AK27&lt;=1650000),                     150%,
 AND(AY27="ICE",  AND(AP27&gt;1600,AP27&lt;=2000),   AK27&gt;1650000),                      170%,
 AND(AY27="ICE",  AP27&gt;2000),                                                    220%,
 AND(AY27="PHEV",  AP27&lt;=1600,                AK27&lt;=1350000),                     45%,
 AND(AY27="PHEV",  AP27&lt;=1600,                AK27&gt;1350000),                      75%,
 AND(AY27="PHEV",  AND(AP27&gt;1600,AP27&lt;=1800),  AK27&lt;=1350000),                     85%,
 AND(AY27="BEV",    AZ27&lt;=160,                 AK27&lt;=1650000),                     25%,
 AND(AY27="BEV",    AZ27&lt;=160,                 AK27&gt;1650000),                      55%,
 AND(AY27="BEV",    AZ27&gt; 160,                 AK27&lt;=1650000),                     65%,
 AND(AY27="BEV",    AZ27&gt; 160,                 AK27&gt;1650000),                      75%)</f>
        <v>1</v>
      </c>
      <c r="AW27" s="137" cm="1">
        <f t="array" ref="AW27">_xlfn.IFS(
 X27=0,AV27,
 AND(AY27="ICE",  AP27&lt;=1400,AND((AJ27-BA27)&gt;900000,  (AJ27-BA27)&lt;=1100000)),                    80%,
 AND(AY27="ICE",  AP27&lt;=1400,(AJ27-BA27)&gt;1100000),                                       90%,
 AND(AY27="ICE",  AND(AP27&gt;1400,AP27&lt;=1600),   (AJ27-BA27)&lt;=850000),                      75%,
 AND(AY27="ICE",  AND(AP27&gt;1400,AP27&lt;=1600),   AND((AJ27-BA27)&gt;850000,(AJ27-BA27)&lt;=1100000)),     80%,
 AND(AY27="ICE",  AND(AP27&gt;1400,AP27&lt;=1600),   AND((AJ27-BA27)&gt;1100000,(AJ27-BA27)&lt;=1650000)),    90%,
 AND(AY27="ICE",  AND(AP27&gt;1400,AP27&lt;=1600),   (AJ27-BA27)&gt;1650000),                      100%,
 AND(AY27="ICE",  AND(AP27&gt;1600,AP27&lt;=2000),   (AJ27-BA27)&lt;=1650000),                     150%,
 AND(AY27="ICE",  AND(AP27&gt;1600,AP27&lt;=2000),   (AJ27-BA27)&gt;1650000),                      170%,
 AND(AY27="ICE",  AP27&gt;2000),                                                    220%,
 AND(AY27="PHEV",  AP27&lt;=1600,                (AJ27-BA27)&lt;=1350000),                     45%,
 AND(AY27="PHEV",  AP27&lt;=1600,                (AJ27-BA27)&gt;1350000),                      75%,
 AND(AY27="PHEV",  AND(AP27&gt;1600,AP27&lt;=1800),  (AJ27-BA27)&lt;=1350000),                     85%,
 AND(AY27="BEV",    AZ27&lt;=160,                 (AJ27-BA27)&lt;=1650000),                     25%,
 AND(AY27="BEV",    AZ27&lt;=160,                 (AJ27-BA27)&gt;1650000),                      55%,
 AND(AY27="BEV",    AZ27&gt; 160,                 (AJ27-BA27)&lt;=1650000),                     65%,
 AND(AY27="BEV",    AZ27&gt; 160,                 (AJ27-BA27)&gt;1650000),                      75%)</f>
        <v>1</v>
      </c>
      <c r="AX27" s="137" cm="1">
        <f t="array" ref="AX27">_xlfn.IFS(
 AD27=0,AV27,
 AND(AY27="ICE",  AP27&lt;=1400,AND(AJ27&gt;900000,  AJ27&lt;=1100000)),                    80%,
 AND(AY27="ICE",  AP27&lt;=1400,AJ27&gt;1100000),                                       90%,
 AND(AY27="ICE",  AND(AP27&gt;1400,AP27&lt;=1600),   AJ27&lt;=850000),                      75%,
 AND(AY27="ICE",  AND(AP27&gt;1400,AP27&lt;=1600),   AND(AJ27&gt;850000,AJ27&lt;=1100000)),     80%,
 AND(AY27="ICE",  AND(AP27&gt;1400,AP27&lt;=1600),   AND(AJ27&gt;1100000,AJ27&lt;=1650000)),    90%,
 AND(AY27="ICE",  AND(AP27&gt;1400,AP27&lt;=1600),   AJ27&gt;1650000),                      100%,
 AND(AY27="ICE",  AND(AP27&gt;1600,AP27&lt;=2000),   AJ27&lt;=1650000),                     150%,
 AND(AY27="ICE",  AND(AP27&gt;1600,AP27&lt;=2000),   AJ27&gt;1650000),                      170%,
 AND(AY27="ICE",  AP27&gt;2000),                                                    220%,
 AND(AY27="PHEV",  AP27&lt;=1600,                AJ27&lt;=1350000),                     45%,
 AND(AY27="PHEV",  AP27&lt;=1600,                AJ27&gt;1350000),                      75%,
 AND(AY27="PHEV",  AND(AP27&gt;1600,AP27&lt;=1800),  AJ27&lt;=1350000),                     85%,
 AND(AY27="BEV",    AZ27&lt;=160,                 AJ27&lt;=1650000),                     25%,
 AND(AY27="BEV",    AZ27&lt;=160,                 AJ27&gt;1650000),                      55%,
 AND(AY27="BEV",    AZ27&gt; 160,                 AJ27&lt;=1650000),                     65%,
 AND(AY27="BEV",    AZ27&gt; 160,                 AJ27&gt;1650000),                      75%)</f>
        <v>1</v>
      </c>
      <c r="AY27" s="139" t="str">
        <f>_xlfn.XLOOKUP(A27,'[1]My Input'!$B:$B,'[1]My Input'!$V:$V)</f>
        <v>ICE</v>
      </c>
      <c r="AZ27" s="139" t="str">
        <f>_xlfn.IFNA(_xlfn.XLOOKUP(A27,'[1]kW Tescil'!$A:$A,'[1]kW Tescil'!$C:$C),"-")</f>
        <v>-</v>
      </c>
      <c r="BA27" s="140">
        <f>_xlfn.XLOOKUP(A27,'[1]My Input'!$B:$B,'[1]My Input'!$H:$H)</f>
        <v>0</v>
      </c>
      <c r="BC27" s="141">
        <v>3.7968996307642158</v>
      </c>
      <c r="BD27" s="141">
        <v>3.6198132955756108</v>
      </c>
      <c r="BF27" s="142">
        <v>8.8622906424674852</v>
      </c>
      <c r="BG27" s="142">
        <v>8.1721295379488765</v>
      </c>
      <c r="BI27" s="143">
        <v>1039007.0844000001</v>
      </c>
      <c r="BL27" s="142">
        <v>-1.944679853264077</v>
      </c>
    </row>
    <row r="28" spans="1:70" s="74" customFormat="1" ht="15" hidden="1" customHeight="1" x14ac:dyDescent="0.25">
      <c r="A28" s="57" t="s">
        <v>74</v>
      </c>
      <c r="B28" s="57" t="str">
        <f>D28&amp;E28&amp;F28</f>
        <v>BMW320i SedanM Sport</v>
      </c>
      <c r="C28" s="58" t="s">
        <v>37</v>
      </c>
      <c r="D28" s="144" t="s">
        <v>44</v>
      </c>
      <c r="E28" s="145" t="s">
        <v>75</v>
      </c>
      <c r="F28" s="146" t="s">
        <v>53</v>
      </c>
      <c r="G28" s="107"/>
      <c r="H28" s="147">
        <v>5667600</v>
      </c>
      <c r="I28" s="148">
        <f>H28/$H$29*$I$29</f>
        <v>98.174939718965661</v>
      </c>
      <c r="J28" s="110"/>
      <c r="K28" s="91">
        <f>(((H28-AO28)/(1+AQ28)/1.2/$AS$1)+AS28)*(1+AQ28)*(1.2)*$AS$1+AO28</f>
        <v>5667600</v>
      </c>
      <c r="L28" s="90">
        <f>K28/$K$29*$L$29</f>
        <v>98.174939718965661</v>
      </c>
      <c r="M28" s="110"/>
      <c r="N28" s="91">
        <f>AN28*1.2*(1+AV28)+AO28</f>
        <v>5044164</v>
      </c>
      <c r="O28" s="147">
        <f>AK28*1.2*(1+AV28)+AO28</f>
        <v>5044164</v>
      </c>
      <c r="P28" s="148">
        <f t="shared" si="24"/>
        <v>98.174939718965675</v>
      </c>
      <c r="Q28" s="180">
        <f t="shared" si="25"/>
        <v>98.174939719063843</v>
      </c>
      <c r="R28" s="126">
        <f>_xlfn.XLOOKUP(A28,'[1]My Input'!$B:$B,'[1]My Input'!$F:$F)</f>
        <v>0.08</v>
      </c>
      <c r="S28" s="110"/>
      <c r="T28" s="91">
        <f>IF(X28&lt;&gt;0,AM28*1.2*(1+AW28)+AO28-X28,AN28*1.2*(1+AV28)+AO28)</f>
        <v>5044164</v>
      </c>
      <c r="U28" s="147">
        <f>IF(X28&lt;&gt;0,AJ28*1.2*(1+AW28)+AO28-X28,AK28*1.2*(1+AV28)+AO28)</f>
        <v>5044164</v>
      </c>
      <c r="V28" s="148">
        <f t="shared" si="26"/>
        <v>102.94692944029713</v>
      </c>
      <c r="W28" s="148">
        <f t="shared" si="27"/>
        <v>102.94692944029713</v>
      </c>
      <c r="X28" s="149">
        <f>_xlfn.XLOOKUP(A28,'[1]My Input'!$B:$B,'[1]My Input'!$I:$I)</f>
        <v>0</v>
      </c>
      <c r="Y28" s="110"/>
      <c r="Z28" s="91">
        <f>IF(AD28&lt;&gt;0,AM28*1.2*(1+AQ28)+AO28-AD28,AL28*(1-AG28)*1.2*(1+AQ28)+AO28)</f>
        <v>5215752.6500000004</v>
      </c>
      <c r="AA28" s="147">
        <f>IF(AD28&lt;&gt;0,AJ28*1.2*(1+AX28)+AO28-AD28,AH28*(1-AG28)*1.2*(1+AV28)+AO28)</f>
        <v>5215752.6500000004</v>
      </c>
      <c r="AB28" s="148">
        <f t="shared" si="28"/>
        <v>98.078222539754663</v>
      </c>
      <c r="AC28" s="148">
        <f t="shared" si="29"/>
        <v>98.078222539754663</v>
      </c>
      <c r="AD28" s="150">
        <f>_xlfn.XLOOKUP(A28,'[1]My Input'!$B:$B,'[1]My Input'!$N:$N)</f>
        <v>281819.34999999998</v>
      </c>
      <c r="AE28" s="70"/>
      <c r="AF28" s="130">
        <f>_xlfn.XLOOKUP(A28,'[1]My Input'!$B:$B,'[1]My Input'!$E:$E)</f>
        <v>0.03</v>
      </c>
      <c r="AG28" s="72">
        <f>_xlfn.XLOOKUP(A28,'[1]My Input'!$B:$B,'[1]My Input'!$G:$G)</f>
        <v>0.11</v>
      </c>
      <c r="AH28" s="73">
        <f>(H28-AO28)/1.2/(1+AQ28)</f>
        <v>2361500</v>
      </c>
      <c r="AJ28" s="73">
        <f>AH28*(1-AF28)</f>
        <v>2290655</v>
      </c>
      <c r="AK28" s="75">
        <f>AH28*(1-AF28-R28)</f>
        <v>2101735</v>
      </c>
      <c r="AL28" s="76">
        <f>(K28-AO28)/1.2/(1+AQ28)</f>
        <v>2361500</v>
      </c>
      <c r="AM28" s="76">
        <f>AL28*(1-AF28)</f>
        <v>2290655</v>
      </c>
      <c r="AN28" s="76">
        <f>AL28*(1-AF28-R28)</f>
        <v>2101735</v>
      </c>
      <c r="AO28" s="77">
        <f>_xlfn.XLOOKUP(A28,'[1]My Input'!$B:$B,'[1]My Input'!$T:$T)</f>
        <v>0</v>
      </c>
      <c r="AP28" s="78">
        <f>_xlfn.XLOOKUP(A28,'[1]My Input'!$B:$B,'[1]My Input'!$S:$S)</f>
        <v>1600</v>
      </c>
      <c r="AQ28" s="67">
        <f>_xlfn.XLOOKUP(A28,'[1]My Input'!$B:$B,'[1]My Input'!$U:$U)</f>
        <v>1</v>
      </c>
      <c r="AS28" s="155">
        <f>_xlfn.XLOOKUP(A28,'[1]My Input'!$B:$B,'[1]My Input'!$Q:$Q)</f>
        <v>0</v>
      </c>
      <c r="AU28" s="74" t="s">
        <v>41</v>
      </c>
      <c r="AV28" s="67" cm="1">
        <f t="array" ref="AV28">_xlfn.IFS(
 AND(AY28="ICE",  AP28&lt;=1400,AND(AK28&gt;900000,  AK28&lt;=1100000)),                    80%,
 AND(AY28="ICE",  AP28&lt;=1400,AK28&gt;1100000),                                       90%,
 AND(AY28="ICE",  AND(AP28&gt;1400,AP28&lt;=1600),   AK28&lt;=850000),                      75%,
 AND(AY28="ICE",  AND(AP28&gt;1400,AP28&lt;=1600),   AND(AK28&gt;850000,AK28&lt;=1100000)),     80%,
 AND(AY28="ICE",  AND(AP28&gt;1400,AP28&lt;=1600),   AND(AK28&gt;1100000,AK28&lt;=1650000)),    90%,
 AND(AY28="ICE",  AND(AP28&gt;1400,AP28&lt;=1600),   AK28&gt;1650000),                      100%,
 AND(AY28="ICE",  AND(AP28&gt;1600,AP28&lt;=2000),   AK28&lt;=1650000),                     150%,
 AND(AY28="ICE",  AND(AP28&gt;1600,AP28&lt;=2000),   AK28&gt;1650000),                      170%,
 AND(AY28="ICE",  AP28&gt;2000),                                                    220%,
 AND(AY28="PHEV",  AP28&lt;=1600,                AK28&lt;=1350000),                     45%,
 AND(AY28="PHEV",  AP28&lt;=1600,                AK28&gt;1350000),                      75%,
 AND(AY28="PHEV",  AND(AP28&gt;1600,AP28&lt;=1800),  AK28&lt;=1350000),                     85%,
 AND(AY28="BEV",    AZ28&lt;=160,                 AK28&lt;=1650000),                     25%,
 AND(AY28="BEV",    AZ28&lt;=160,                 AK28&gt;1650000),                      55%,
 AND(AY28="BEV",    AZ28&gt; 160,                 AK28&lt;=1650000),                     65%,
 AND(AY28="BEV",    AZ28&gt; 160,                 AK28&gt;1650000),                      75%)</f>
        <v>1</v>
      </c>
      <c r="AW28" s="67" cm="1">
        <f t="array" ref="AW28">_xlfn.IFS(
 X28=0,AV28,
 AND(AY28="ICE",  AP28&lt;=1400,AND((AJ28-BA28)&gt;900000,  (AJ28-BA28)&lt;=1100000)),                    80%,
 AND(AY28="ICE",  AP28&lt;=1400,(AJ28-BA28)&gt;1100000),                                       90%,
 AND(AY28="ICE",  AND(AP28&gt;1400,AP28&lt;=1600),   (AJ28-BA28)&lt;=850000),                      75%,
 AND(AY28="ICE",  AND(AP28&gt;1400,AP28&lt;=1600),   AND((AJ28-BA28)&gt;850000,(AJ28-BA28)&lt;=1100000)),     80%,
 AND(AY28="ICE",  AND(AP28&gt;1400,AP28&lt;=1600),   AND((AJ28-BA28)&gt;1100000,(AJ28-BA28)&lt;=1650000)),    90%,
 AND(AY28="ICE",  AND(AP28&gt;1400,AP28&lt;=1600),   (AJ28-BA28)&gt;1650000),                      100%,
 AND(AY28="ICE",  AND(AP28&gt;1600,AP28&lt;=2000),   (AJ28-BA28)&lt;=1650000),                     150%,
 AND(AY28="ICE",  AND(AP28&gt;1600,AP28&lt;=2000),   (AJ28-BA28)&gt;1650000),                      170%,
 AND(AY28="ICE",  AP28&gt;2000),                                                    220%,
 AND(AY28="PHEV",  AP28&lt;=1600,                (AJ28-BA28)&lt;=1350000),                     45%,
 AND(AY28="PHEV",  AP28&lt;=1600,                (AJ28-BA28)&gt;1350000),                      75%,
 AND(AY28="PHEV",  AND(AP28&gt;1600,AP28&lt;=1800),  (AJ28-BA28)&lt;=1350000),                     85%,
 AND(AY28="BEV",    AZ28&lt;=160,                 (AJ28-BA28)&lt;=1650000),                     25%,
 AND(AY28="BEV",    AZ28&lt;=160,                 (AJ28-BA28)&gt;1650000),                      55%,
 AND(AY28="BEV",    AZ28&gt; 160,                 (AJ28-BA28)&lt;=1650000),                     65%,
 AND(AY28="BEV",    AZ28&gt; 160,                 (AJ28-BA28)&gt;1650000),                      75%)</f>
        <v>1</v>
      </c>
      <c r="AX28" s="67" cm="1">
        <f t="array" ref="AX28">_xlfn.IFS(
 AD28=0,AV28,
 AND(AY28="ICE",  AP28&lt;=1400,AND(AJ28&gt;900000,  AJ28&lt;=1100000)),                    80%,
 AND(AY28="ICE",  AP28&lt;=1400,AJ28&gt;1100000),                                       90%,
 AND(AY28="ICE",  AND(AP28&gt;1400,AP28&lt;=1600),   AJ28&lt;=850000),                      75%,
 AND(AY28="ICE",  AND(AP28&gt;1400,AP28&lt;=1600),   AND(AJ28&gt;850000,AJ28&lt;=1100000)),     80%,
 AND(AY28="ICE",  AND(AP28&gt;1400,AP28&lt;=1600),   AND(AJ28&gt;1100000,AJ28&lt;=1650000)),    90%,
 AND(AY28="ICE",  AND(AP28&gt;1400,AP28&lt;=1600),   AJ28&gt;1650000),                      100%,
 AND(AY28="ICE",  AND(AP28&gt;1600,AP28&lt;=2000),   AJ28&lt;=1650000),                     150%,
 AND(AY28="ICE",  AND(AP28&gt;1600,AP28&lt;=2000),   AJ28&gt;1650000),                      170%,
 AND(AY28="ICE",  AP28&gt;2000),                                                    220%,
 AND(AY28="PHEV",  AP28&lt;=1600,                AJ28&lt;=1350000),                     45%,
 AND(AY28="PHEV",  AP28&lt;=1600,                AJ28&gt;1350000),                      75%,
 AND(AY28="PHEV",  AND(AP28&gt;1600,AP28&lt;=1800),  AJ28&lt;=1350000),                     85%,
 AND(AY28="BEV",    AZ28&lt;=160,                 AJ28&lt;=1650000),                     25%,
 AND(AY28="BEV",    AZ28&lt;=160,                 AJ28&gt;1650000),                      55%,
 AND(AY28="BEV",    AZ28&gt; 160,                 AJ28&lt;=1650000),                     65%,
 AND(AY28="BEV",    AZ28&gt; 160,                 AJ28&gt;1650000),                      75%)</f>
        <v>1</v>
      </c>
      <c r="AY28" s="80" t="str">
        <f>_xlfn.XLOOKUP(A28,'[1]My Input'!$B:$B,'[1]My Input'!$V:$V)</f>
        <v>ICE</v>
      </c>
      <c r="AZ28" s="80" t="str">
        <f>_xlfn.IFNA(_xlfn.XLOOKUP(A28,'[1]kW Tescil'!$A:$A,'[1]kW Tescil'!$C:$C),"-")</f>
        <v>-</v>
      </c>
      <c r="BA28" s="81">
        <f>_xlfn.XLOOKUP(A28,'[1]My Input'!$B:$B,'[1]My Input'!$H:$H)</f>
        <v>0</v>
      </c>
      <c r="BC28" s="82">
        <v>0</v>
      </c>
      <c r="BD28" s="82">
        <v>0</v>
      </c>
      <c r="BF28" s="83">
        <v>0</v>
      </c>
      <c r="BG28" s="83">
        <v>0</v>
      </c>
      <c r="BI28" s="84">
        <v>298271.91674000025</v>
      </c>
      <c r="BL28" s="83">
        <v>0</v>
      </c>
    </row>
    <row r="29" spans="1:70" ht="15" customHeight="1" thickBot="1" x14ac:dyDescent="0.3">
      <c r="A29" s="1" t="s">
        <v>74</v>
      </c>
      <c r="B29" s="1" t="str">
        <f>D29&amp;E29&amp;F29</f>
        <v>BMW320i SedanM Sport</v>
      </c>
      <c r="C29" s="85" t="s">
        <v>42</v>
      </c>
      <c r="D29" s="144" t="s">
        <v>44</v>
      </c>
      <c r="E29" s="145" t="s">
        <v>75</v>
      </c>
      <c r="F29" s="146" t="s">
        <v>53</v>
      </c>
      <c r="G29" s="107"/>
      <c r="H29" s="182">
        <v>5772960</v>
      </c>
      <c r="I29" s="183">
        <v>100</v>
      </c>
      <c r="J29" s="65">
        <v>0.11</v>
      </c>
      <c r="K29" s="100">
        <f>(((H29-AO29)/(1+AQ29)/1.2/$AS$1)+AS29)*(1+AQ29)*(1.2)*$AS$1+AO29</f>
        <v>5772960</v>
      </c>
      <c r="L29" s="184">
        <v>100</v>
      </c>
      <c r="M29" s="110"/>
      <c r="N29" s="100">
        <f>AN29*1.2*(1+AV29)+AO29</f>
        <v>5137934.3999999994</v>
      </c>
      <c r="O29" s="182">
        <f>AK29*1.2*(1+AV29)+AO29</f>
        <v>5137934.3999999994</v>
      </c>
      <c r="P29" s="183">
        <v>100</v>
      </c>
      <c r="Q29" s="183">
        <v>100.0000000001</v>
      </c>
      <c r="R29" s="126">
        <v>0.08</v>
      </c>
      <c r="S29" s="110"/>
      <c r="T29" s="100">
        <f>IF(X29&lt;&gt;0,AM29*1.2*(1+AW29)+AO29-X29,AN29*1.2*(1+AV29)+AO29)</f>
        <v>4899771.2</v>
      </c>
      <c r="U29" s="182">
        <f>IF(X29&lt;&gt;0,AJ29*1.2*(1+AW29)+AO29-X29,AK29*1.2*(1+AV29)+AO29)</f>
        <v>4899771.2</v>
      </c>
      <c r="V29" s="183">
        <v>100</v>
      </c>
      <c r="W29" s="183">
        <v>100</v>
      </c>
      <c r="X29" s="185">
        <v>700000</v>
      </c>
      <c r="Y29" s="110"/>
      <c r="Z29" s="100">
        <f>IF(AD29&lt;&gt;0,AM29*1.2*(1+AQ29)+AO29-AD29,AL29*(1-AG29)*1.2*(1+AQ29)+AO29)</f>
        <v>5317951.8500000006</v>
      </c>
      <c r="AA29" s="182">
        <f>IF(AD29&lt;&gt;0,AJ29*1.2*(1+AX29)+AO29-AD29,AH29*(1-AG29)*1.2*(1+AV29)+AO29)</f>
        <v>5317951.8500000006</v>
      </c>
      <c r="AB29" s="183">
        <v>100</v>
      </c>
      <c r="AC29" s="183">
        <v>100</v>
      </c>
      <c r="AD29" s="182">
        <v>281819.34999999998</v>
      </c>
      <c r="AE29" s="129"/>
      <c r="AF29" s="130">
        <f>_xlfn.XLOOKUP(A29,'[1]My Input'!$B:$B,'[1]My Input'!$E:$E)</f>
        <v>0.03</v>
      </c>
      <c r="AG29" s="131">
        <f>AF29+R29</f>
        <v>0.11</v>
      </c>
      <c r="AH29" s="132">
        <f>(H29-AO29)/1.2/(1+AQ29)</f>
        <v>2405400</v>
      </c>
      <c r="AJ29" s="132">
        <f>AH29*(1-AF29)</f>
        <v>2333238</v>
      </c>
      <c r="AK29" s="133">
        <f>AH29*(1-AF29-R29)</f>
        <v>2140806</v>
      </c>
      <c r="AL29" s="134">
        <f>(K29-AO29)/1.2/(1+AQ29)</f>
        <v>2405400</v>
      </c>
      <c r="AM29" s="134">
        <f>AL29*(1-AF29)</f>
        <v>2333238</v>
      </c>
      <c r="AN29" s="134">
        <f>AL29*(1-AF29-R29)</f>
        <v>2140806</v>
      </c>
      <c r="AO29" s="135">
        <f>_xlfn.XLOOKUP(A29,'[1]My Input'!$B:$B,'[1]My Input'!$T:$T)</f>
        <v>0</v>
      </c>
      <c r="AP29" s="136">
        <f>_xlfn.XLOOKUP(A29,'[1]My Input'!$B:$B,'[1]My Input'!$S:$S)</f>
        <v>1600</v>
      </c>
      <c r="AQ29" s="137">
        <f>_xlfn.XLOOKUP(A29,'[1]My Input'!$B:$B,'[1]My Input'!$U:$U)</f>
        <v>1</v>
      </c>
      <c r="AS29" s="186">
        <f>_xlfn.XLOOKUP(A29,'[1]My Input'!$B:$B,'[1]My Input'!$Q:$Q)</f>
        <v>0</v>
      </c>
      <c r="AU29" s="17" t="s">
        <v>41</v>
      </c>
      <c r="AV29" s="137" cm="1">
        <f t="array" ref="AV29">_xlfn.IFS(
 AND(AY29="ICE",  AP29&lt;=1400,AND(AK29&gt;900000,  AK29&lt;=1100000)),                    80%,
 AND(AY29="ICE",  AP29&lt;=1400,AK29&gt;1100000),                                       90%,
 AND(AY29="ICE",  AND(AP29&gt;1400,AP29&lt;=1600),   AK29&lt;=850000),                      75%,
 AND(AY29="ICE",  AND(AP29&gt;1400,AP29&lt;=1600),   AND(AK29&gt;850000,AK29&lt;=1100000)),     80%,
 AND(AY29="ICE",  AND(AP29&gt;1400,AP29&lt;=1600),   AND(AK29&gt;1100000,AK29&lt;=1650000)),    90%,
 AND(AY29="ICE",  AND(AP29&gt;1400,AP29&lt;=1600),   AK29&gt;1650000),                      100%,
 AND(AY29="ICE",  AND(AP29&gt;1600,AP29&lt;=2000),   AK29&lt;=1650000),                     150%,
 AND(AY29="ICE",  AND(AP29&gt;1600,AP29&lt;=2000),   AK29&gt;1650000),                      170%,
 AND(AY29="ICE",  AP29&gt;2000),                                                    220%,
 AND(AY29="PHEV",  AP29&lt;=1600,                AK29&lt;=1350000),                     45%,
 AND(AY29="PHEV",  AP29&lt;=1600,                AK29&gt;1350000),                      75%,
 AND(AY29="PHEV",  AND(AP29&gt;1600,AP29&lt;=1800),  AK29&lt;=1350000),                     85%,
 AND(AY29="BEV",    AZ29&lt;=160,                 AK29&lt;=1650000),                     25%,
 AND(AY29="BEV",    AZ29&lt;=160,                 AK29&gt;1650000),                      55%,
 AND(AY29="BEV",    AZ29&gt; 160,                 AK29&lt;=1650000),                     65%,
 AND(AY29="BEV",    AZ29&gt; 160,                 AK29&gt;1650000),                      75%)</f>
        <v>1</v>
      </c>
      <c r="AW29" s="137" cm="1">
        <f t="array" ref="AW29">_xlfn.IFS(
 X29=0,AV29,
 AND(AY29="ICE",  AP29&lt;=1400,AND((AJ29-BA29)&gt;900000,  (AJ29-BA29)&lt;=1100000)),                    80%,
 AND(AY29="ICE",  AP29&lt;=1400,(AJ29-BA29)&gt;1100000),                                       90%,
 AND(AY29="ICE",  AND(AP29&gt;1400,AP29&lt;=1600),   (AJ29-BA29)&lt;=850000),                      75%,
 AND(AY29="ICE",  AND(AP29&gt;1400,AP29&lt;=1600),   AND((AJ29-BA29)&gt;850000,(AJ29-BA29)&lt;=1100000)),     80%,
 AND(AY29="ICE",  AND(AP29&gt;1400,AP29&lt;=1600),   AND((AJ29-BA29)&gt;1100000,(AJ29-BA29)&lt;=1650000)),    90%,
 AND(AY29="ICE",  AND(AP29&gt;1400,AP29&lt;=1600),   (AJ29-BA29)&gt;1650000),                      100%,
 AND(AY29="ICE",  AND(AP29&gt;1600,AP29&lt;=2000),   (AJ29-BA29)&lt;=1650000),                     150%,
 AND(AY29="ICE",  AND(AP29&gt;1600,AP29&lt;=2000),   (AJ29-BA29)&gt;1650000),                      170%,
 AND(AY29="ICE",  AP29&gt;2000),                                                    220%,
 AND(AY29="PHEV",  AP29&lt;=1600,                (AJ29-BA29)&lt;=1350000),                     45%,
 AND(AY29="PHEV",  AP29&lt;=1600,                (AJ29-BA29)&gt;1350000),                      75%,
 AND(AY29="PHEV",  AND(AP29&gt;1600,AP29&lt;=1800),  (AJ29-BA29)&lt;=1350000),                     85%,
 AND(AY29="BEV",    AZ29&lt;=160,                 (AJ29-BA29)&lt;=1650000),                     25%,
 AND(AY29="BEV",    AZ29&lt;=160,                 (AJ29-BA29)&gt;1650000),                      55%,
 AND(AY29="BEV",    AZ29&gt; 160,                 (AJ29-BA29)&lt;=1650000),                     65%,
 AND(AY29="BEV",    AZ29&gt; 160,                 (AJ29-BA29)&gt;1650000),                      75%)</f>
        <v>1</v>
      </c>
      <c r="AX29" s="137" cm="1">
        <f t="array" ref="AX29">_xlfn.IFS(
 AD29=0,AV29,
 AND(AY29="ICE",  AP29&lt;=1400,AND(AJ29&gt;900000,  AJ29&lt;=1100000)),                    80%,
 AND(AY29="ICE",  AP29&lt;=1400,AJ29&gt;1100000),                                       90%,
 AND(AY29="ICE",  AND(AP29&gt;1400,AP29&lt;=1600),   AJ29&lt;=850000),                      75%,
 AND(AY29="ICE",  AND(AP29&gt;1400,AP29&lt;=1600),   AND(AJ29&gt;850000,AJ29&lt;=1100000)),     80%,
 AND(AY29="ICE",  AND(AP29&gt;1400,AP29&lt;=1600),   AND(AJ29&gt;1100000,AJ29&lt;=1650000)),    90%,
 AND(AY29="ICE",  AND(AP29&gt;1400,AP29&lt;=1600),   AJ29&gt;1650000),                      100%,
 AND(AY29="ICE",  AND(AP29&gt;1600,AP29&lt;=2000),   AJ29&lt;=1650000),                     150%,
 AND(AY29="ICE",  AND(AP29&gt;1600,AP29&lt;=2000),   AJ29&gt;1650000),                      170%,
 AND(AY29="ICE",  AP29&gt;2000),                                                    220%,
 AND(AY29="PHEV",  AP29&lt;=1600,                AJ29&lt;=1350000),                     45%,
 AND(AY29="PHEV",  AP29&lt;=1600,                AJ29&gt;1350000),                      75%,
 AND(AY29="PHEV",  AND(AP29&gt;1600,AP29&lt;=1800),  AJ29&lt;=1350000),                     85%,
 AND(AY29="BEV",    AZ29&lt;=160,                 AJ29&lt;=1650000),                     25%,
 AND(AY29="BEV",    AZ29&lt;=160,                 AJ29&gt;1650000),                      55%,
 AND(AY29="BEV",    AZ29&gt; 160,                 AJ29&lt;=1650000),                     65%,
 AND(AY29="BEV",    AZ29&gt; 160,                 AJ29&gt;1650000),                      75%)</f>
        <v>1</v>
      </c>
      <c r="AY29" s="139" t="str">
        <f>_xlfn.XLOOKUP(A29,'[1]My Input'!$B:$B,'[1]My Input'!$V:$V)</f>
        <v>ICE</v>
      </c>
      <c r="AZ29" s="139" t="str">
        <f>_xlfn.IFNA(_xlfn.XLOOKUP(A29,'[1]kW Tescil'!$A:$A,'[1]kW Tescil'!$C:$C),"-")</f>
        <v>-</v>
      </c>
      <c r="BA29" s="140">
        <f>_xlfn.XLOOKUP(A29,'[1]My Input'!$B:$B,'[1]My Input'!$H:$H)</f>
        <v>0</v>
      </c>
      <c r="BC29" s="141">
        <v>0</v>
      </c>
      <c r="BD29" s="141">
        <v>0</v>
      </c>
      <c r="BF29" s="142">
        <v>0</v>
      </c>
      <c r="BG29" s="142">
        <v>0</v>
      </c>
      <c r="BI29" s="143">
        <v>298271.91674000025</v>
      </c>
      <c r="BL29" s="142">
        <v>0</v>
      </c>
      <c r="BR29" s="17">
        <f>O29/O91*100</f>
        <v>110.06895601792735</v>
      </c>
    </row>
    <row r="30" spans="1:70" ht="7.15" customHeight="1" thickBot="1" x14ac:dyDescent="0.3">
      <c r="A30" s="57"/>
      <c r="B30" s="57"/>
      <c r="D30" s="188"/>
      <c r="E30" s="188"/>
      <c r="F30" s="188"/>
      <c r="G30" s="189"/>
      <c r="H30" s="190"/>
      <c r="I30" s="189"/>
      <c r="J30" s="65"/>
      <c r="K30" s="190"/>
      <c r="L30" s="189"/>
      <c r="M30" s="189"/>
      <c r="N30" s="190"/>
      <c r="O30" s="190"/>
      <c r="P30" s="189"/>
      <c r="Q30" s="189"/>
      <c r="R30" s="189"/>
      <c r="S30" s="189"/>
      <c r="T30" s="190"/>
      <c r="U30" s="190"/>
      <c r="V30" s="189"/>
      <c r="W30" s="189"/>
      <c r="X30" s="191"/>
      <c r="Y30" s="189"/>
      <c r="Z30" s="190"/>
      <c r="AA30" s="190"/>
      <c r="AB30" s="189"/>
      <c r="AC30" s="189"/>
      <c r="AE30" s="192"/>
      <c r="AF30" s="115"/>
      <c r="AH30" s="189"/>
      <c r="AI30" s="189"/>
      <c r="AJ30" s="189"/>
      <c r="AK30" s="193"/>
      <c r="AL30" s="189"/>
      <c r="AM30" s="76"/>
      <c r="AN30" s="189"/>
      <c r="AO30" s="189"/>
      <c r="AP30" s="78"/>
      <c r="AQ30" s="67"/>
      <c r="AR30" s="189"/>
      <c r="AS30" s="194"/>
      <c r="AT30" s="189"/>
      <c r="AU30" s="74" t="s">
        <v>41</v>
      </c>
      <c r="AV30" s="67"/>
      <c r="AW30" s="67"/>
      <c r="AX30" s="67"/>
      <c r="AY30" s="80"/>
      <c r="AZ30" s="80"/>
      <c r="BA30" s="81"/>
      <c r="BC30" s="82">
        <v>0</v>
      </c>
      <c r="BD30" s="82">
        <v>0</v>
      </c>
      <c r="BF30" s="83">
        <v>0</v>
      </c>
      <c r="BG30" s="83">
        <v>0</v>
      </c>
      <c r="BI30" s="84">
        <v>0</v>
      </c>
      <c r="BL30" s="83">
        <v>0</v>
      </c>
    </row>
    <row r="31" spans="1:70" s="74" customFormat="1" ht="15" customHeight="1" x14ac:dyDescent="0.25">
      <c r="A31" s="57" t="s">
        <v>76</v>
      </c>
      <c r="B31" s="57" t="str">
        <f t="shared" ref="B31:B116" si="30">D31&amp;E31&amp;F31</f>
        <v>MBCLE 300 4MATIC CoupéAMG</v>
      </c>
      <c r="C31" s="85" t="s">
        <v>42</v>
      </c>
      <c r="D31" s="59" t="s">
        <v>47</v>
      </c>
      <c r="E31" s="60" t="s">
        <v>77</v>
      </c>
      <c r="F31" s="61" t="s">
        <v>49</v>
      </c>
      <c r="G31" s="157"/>
      <c r="H31" s="63">
        <v>8549380</v>
      </c>
      <c r="I31" s="64">
        <f>H31/$H$32*$I$32</f>
        <v>119.49019410528199</v>
      </c>
      <c r="J31" s="65">
        <v>0.05</v>
      </c>
      <c r="K31" s="66">
        <f>(((H31-AO31)/(1+AQ31)/1.2/$AS$1)+AS31)*(1+AQ31)*(1.2)*$AS$1+AO31</f>
        <v>7301356.2999999998</v>
      </c>
      <c r="L31" s="64">
        <f>K31/$K$32*$L$32</f>
        <v>102.04722231539871</v>
      </c>
      <c r="M31" s="157"/>
      <c r="N31" s="66">
        <f>AN31*1.2*(1+AV31)+AO31</f>
        <v>6936288.4850000003</v>
      </c>
      <c r="O31" s="63">
        <f>AK31*1.2*(1+AV31)+AO31</f>
        <v>8121911.0000000009</v>
      </c>
      <c r="P31" s="64">
        <f>IF(ISNUMBER(O31),O31/$O$32*$P$32,"")</f>
        <v>126.12853822224213</v>
      </c>
      <c r="Q31" s="64">
        <f>IF(ISNUMBER(N31),N31/$N$32*$Q$32,"")</f>
        <v>107.71651244403199</v>
      </c>
      <c r="R31" s="67">
        <f>_xlfn.XLOOKUP(A31,'[1]My Input'!$B:$B,'[1]My Input'!$F:$F)</f>
        <v>0</v>
      </c>
      <c r="S31" s="157"/>
      <c r="T31" s="66">
        <f>IF(X31&lt;&gt;0,AM31*1.2*(1+AW31)+AO31-X31,AN31*1.2*(1+AV31)+AO31)</f>
        <v>6936288.4850000003</v>
      </c>
      <c r="U31" s="63">
        <f>IF(X31&lt;&gt;0,AJ31*1.2*(1+AW31)+AO31-X31,AK31*1.2*(1+AV31)+AO31)</f>
        <v>8121911.0000000009</v>
      </c>
      <c r="V31" s="64">
        <f>IF(ISNUMBER(U31),U31/$U$32*$V$32,"")</f>
        <v>130.15395769799389</v>
      </c>
      <c r="W31" s="64">
        <f>IF(ISNUMBER(T31),T31/$T$32*$W$32,"")</f>
        <v>111.154308149618</v>
      </c>
      <c r="X31" s="68">
        <f>_xlfn.XLOOKUP(A31,'[1]My Input'!$B:$B,'[1]My Input'!$I:$I)</f>
        <v>0</v>
      </c>
      <c r="Y31" s="157"/>
      <c r="Z31" s="66">
        <f t="shared" ref="Z31:Z116" si="31">IF(AD31&lt;&gt;0,AM31*1.2*(1+AQ31)+AO31-AD31,AL31*(1-AG31)*1.2*(1+AQ31)+AO31)</f>
        <v>6855471.6550000003</v>
      </c>
      <c r="AA31" s="63">
        <f>IF(AD31&lt;&gt;0,AJ31*1.2*(1+AX31)+AO31-AD31,AH31*(1-AG31)*1.2*(1+AV31)+AO31)</f>
        <v>8041094.1700000009</v>
      </c>
      <c r="AB31" s="64">
        <f>IF(ISNUMBER(AA31),AA31/$AA$32*$AB$32,"")</f>
        <v>121.33652681819176</v>
      </c>
      <c r="AC31" s="64">
        <f>IF(ISNUMBER(Z31),Z31/$Z$32*$AC$32,"")</f>
        <v>103.44601154176769</v>
      </c>
      <c r="AD31" s="69">
        <f>_xlfn.XLOOKUP(A31,'[1]My Input'!$B:$B,'[1]My Input'!$N:$N)</f>
        <v>80816.83</v>
      </c>
      <c r="AE31" s="70"/>
      <c r="AF31" s="71">
        <f>_xlfn.XLOOKUP(A31,'[1]My Input'!$B:$B,'[1]My Input'!$E:$E)</f>
        <v>0.05</v>
      </c>
      <c r="AG31" s="72">
        <f>_xlfn.XLOOKUP(A31,'[1]My Input'!$B:$B,'[1]My Input'!$G:$G)</f>
        <v>0.05</v>
      </c>
      <c r="AH31" s="73">
        <f>(H31-AO31)/1.2/(1+AQ31)</f>
        <v>2638697.5308641978</v>
      </c>
      <c r="AJ31" s="73">
        <f>AH31*(1-AF31)</f>
        <v>2506762.6543209879</v>
      </c>
      <c r="AK31" s="75">
        <f>AH31*(1-AF31-R31)</f>
        <v>2506762.6543209879</v>
      </c>
      <c r="AL31" s="76">
        <f>(K31-AO31)/1.2/(1+AQ31)</f>
        <v>2253505.0308641973</v>
      </c>
      <c r="AM31" s="76">
        <f>AL31*(1-AF31)</f>
        <v>2140829.7793209874</v>
      </c>
      <c r="AN31" s="76">
        <f>AL31*(1-AF31-R31)</f>
        <v>2140829.7793209874</v>
      </c>
      <c r="AO31" s="77">
        <f>_xlfn.XLOOKUP(A31,'[1]My Input'!$B:$B,'[1]My Input'!$T:$T)</f>
        <v>0</v>
      </c>
      <c r="AP31" s="78">
        <f>_xlfn.XLOOKUP(A31,'[1]My Input'!$B:$B,'[1]My Input'!$S:$S)</f>
        <v>2000</v>
      </c>
      <c r="AQ31" s="67">
        <f>_xlfn.XLOOKUP(A31,'[1]My Input'!$B:$B,'[1]My Input'!$U:$U)</f>
        <v>1.7</v>
      </c>
      <c r="AS31" s="103">
        <v>-7337</v>
      </c>
      <c r="AU31" s="74" t="s">
        <v>41</v>
      </c>
      <c r="AV31" s="67" cm="1">
        <f t="array" ref="AV31">_xlfn.IFS(
 AND(AY31="ICE",  AP31&lt;=1400,AND(AK31&gt;900000,  AK31&lt;=1100000)),                    80%,
 AND(AY31="ICE",  AP31&lt;=1400,AK31&gt;1100000),                                       90%,
 AND(AY31="ICE",  AND(AP31&gt;1400,AP31&lt;=1600),   AK31&lt;=850000),                      75%,
 AND(AY31="ICE",  AND(AP31&gt;1400,AP31&lt;=1600),   AND(AK31&gt;850000,AK31&lt;=1100000)),     80%,
 AND(AY31="ICE",  AND(AP31&gt;1400,AP31&lt;=1600),   AND(AK31&gt;1100000,AK31&lt;=1650000)),    90%,
 AND(AY31="ICE",  AND(AP31&gt;1400,AP31&lt;=1600),   AK31&gt;1650000),                      100%,
 AND(AY31="ICE",  AND(AP31&gt;1600,AP31&lt;=2000),   AK31&lt;=1650000),                     150%,
 AND(AY31="ICE",  AND(AP31&gt;1600,AP31&lt;=2000),   AK31&gt;1650000),                      170%,
 AND(AY31="ICE",  AP31&gt;2000),                                                    220%,
 AND(AY31="PHEV",  AP31&lt;=1600,                AK31&lt;=1350000),                     45%,
 AND(AY31="PHEV",  AP31&lt;=1600,                AK31&gt;1350000),                      75%,
 AND(AY31="PHEV",  AND(AP31&gt;1600,AP31&lt;=1800),  AK31&lt;=1350000),                     85%,
 AND(AY31="BEV",    AZ31&lt;=160,                 AK31&lt;=1650000),                     25%,
 AND(AY31="BEV",    AZ31&lt;=160,                 AK31&gt;1650000),                      55%,
 AND(AY31="BEV",    AZ31&gt; 160,                 AK31&lt;=1650000),                     65%,
 AND(AY31="BEV",    AZ31&gt; 160,                 AK31&gt;1650000),                      75%)</f>
        <v>1.7</v>
      </c>
      <c r="AW31" s="67" cm="1">
        <f t="array" ref="AW31">_xlfn.IFS(
 X31=0,AV31,
 AND(AY31="ICE",  AP31&lt;=1400,AND((AJ31-BA31)&gt;900000,  (AJ31-BA31)&lt;=1100000)),                    80%,
 AND(AY31="ICE",  AP31&lt;=1400,(AJ31-BA31)&gt;1100000),                                       90%,
 AND(AY31="ICE",  AND(AP31&gt;1400,AP31&lt;=1600),   (AJ31-BA31)&lt;=850000),                      75%,
 AND(AY31="ICE",  AND(AP31&gt;1400,AP31&lt;=1600),   AND((AJ31-BA31)&gt;850000,(AJ31-BA31)&lt;=1100000)),     80%,
 AND(AY31="ICE",  AND(AP31&gt;1400,AP31&lt;=1600),   AND((AJ31-BA31)&gt;1100000,(AJ31-BA31)&lt;=1650000)),    90%,
 AND(AY31="ICE",  AND(AP31&gt;1400,AP31&lt;=1600),   (AJ31-BA31)&gt;1650000),                      100%,
 AND(AY31="ICE",  AND(AP31&gt;1600,AP31&lt;=2000),   (AJ31-BA31)&lt;=1650000),                     150%,
 AND(AY31="ICE",  AND(AP31&gt;1600,AP31&lt;=2000),   (AJ31-BA31)&gt;1650000),                      170%,
 AND(AY31="ICE",  AP31&gt;2000),                                                    220%,
 AND(AY31="PHEV",  AP31&lt;=1600,                (AJ31-BA31)&lt;=1350000),                     45%,
 AND(AY31="PHEV",  AP31&lt;=1600,                (AJ31-BA31)&gt;1350000),                      75%,
 AND(AY31="PHEV",  AND(AP31&gt;1600,AP31&lt;=1800),  (AJ31-BA31)&lt;=1350000),                     85%,
 AND(AY31="BEV",    AZ31&lt;=160,                 (AJ31-BA31)&lt;=1650000),                     25%,
 AND(AY31="BEV",    AZ31&lt;=160,                 (AJ31-BA31)&gt;1650000),                      55%,
 AND(AY31="BEV",    AZ31&gt; 160,                 (AJ31-BA31)&lt;=1650000),                     65%,
 AND(AY31="BEV",    AZ31&gt; 160,                 (AJ31-BA31)&gt;1650000),                      75%)</f>
        <v>1.7</v>
      </c>
      <c r="AX31" s="67" cm="1">
        <f t="array" ref="AX31">_xlfn.IFS(
 AD31=0,AV31,
 AND(AY31="ICE",  AP31&lt;=1400,AND(AJ31&gt;900000,  AJ31&lt;=1100000)),                    80%,
 AND(AY31="ICE",  AP31&lt;=1400,AJ31&gt;1100000),                                       90%,
 AND(AY31="ICE",  AND(AP31&gt;1400,AP31&lt;=1600),   AJ31&lt;=850000),                      75%,
 AND(AY31="ICE",  AND(AP31&gt;1400,AP31&lt;=1600),   AND(AJ31&gt;850000,AJ31&lt;=1100000)),     80%,
 AND(AY31="ICE",  AND(AP31&gt;1400,AP31&lt;=1600),   AND(AJ31&gt;1100000,AJ31&lt;=1650000)),    90%,
 AND(AY31="ICE",  AND(AP31&gt;1400,AP31&lt;=1600),   AJ31&gt;1650000),                      100%,
 AND(AY31="ICE",  AND(AP31&gt;1600,AP31&lt;=2000),   AJ31&lt;=1650000),                     150%,
 AND(AY31="ICE",  AND(AP31&gt;1600,AP31&lt;=2000),   AJ31&gt;1650000),                      170%,
 AND(AY31="ICE",  AP31&gt;2000),                                                    220%,
 AND(AY31="PHEV",  AP31&lt;=1600,                AJ31&lt;=1350000),                     45%,
 AND(AY31="PHEV",  AP31&lt;=1600,                AJ31&gt;1350000),                      75%,
 AND(AY31="PHEV",  AND(AP31&gt;1600,AP31&lt;=1800),  AJ31&lt;=1350000),                     85%,
 AND(AY31="BEV",    AZ31&lt;=160,                 AJ31&lt;=1650000),                     25%,
 AND(AY31="BEV",    AZ31&lt;=160,                 AJ31&gt;1650000),                      55%,
 AND(AY31="BEV",    AZ31&gt; 160,                 AJ31&lt;=1650000),                     65%,
 AND(AY31="BEV",    AZ31&gt; 160,                 AJ31&gt;1650000),                      75%)</f>
        <v>1.7</v>
      </c>
      <c r="AY31" s="80" t="str">
        <f>_xlfn.XLOOKUP(A31,'[1]My Input'!$B:$B,'[1]My Input'!$V:$V)</f>
        <v>ICE</v>
      </c>
      <c r="AZ31" s="80" t="str">
        <f>_xlfn.IFNA(_xlfn.XLOOKUP(A31,'[1]kW Tescil'!$A:$A,'[1]kW Tescil'!$C:$C),"-")</f>
        <v>-</v>
      </c>
      <c r="BA31" s="81">
        <f>_xlfn.XLOOKUP(A31,'[1]My Input'!$B:$B,'[1]My Input'!$H:$H)</f>
        <v>0</v>
      </c>
      <c r="BC31" s="82">
        <v>2.8030095006838707</v>
      </c>
      <c r="BD31" s="82">
        <v>2.7445208232519605</v>
      </c>
      <c r="BF31" s="83">
        <v>8.5110088536907682</v>
      </c>
      <c r="BG31" s="83">
        <v>7.5959047687087775</v>
      </c>
      <c r="BI31" s="84">
        <v>791042.5521999998</v>
      </c>
      <c r="BL31" s="83">
        <v>2.7374939976992749</v>
      </c>
    </row>
    <row r="32" spans="1:70" s="74" customFormat="1" ht="15" customHeight="1" thickBot="1" x14ac:dyDescent="0.3">
      <c r="A32" s="57" t="s">
        <v>78</v>
      </c>
      <c r="B32" s="57" t="str">
        <f t="shared" si="30"/>
        <v>BMW420i CoupéEdition M Sport</v>
      </c>
      <c r="C32" s="58" t="s">
        <v>37</v>
      </c>
      <c r="D32" s="94" t="s">
        <v>44</v>
      </c>
      <c r="E32" s="95" t="s">
        <v>79</v>
      </c>
      <c r="F32" s="96" t="s">
        <v>80</v>
      </c>
      <c r="G32" s="101"/>
      <c r="H32" s="98">
        <v>7154880</v>
      </c>
      <c r="I32" s="99">
        <v>100</v>
      </c>
      <c r="J32" s="65">
        <v>0.1</v>
      </c>
      <c r="K32" s="100">
        <f>(((H32-AO32)/(1+AQ32)/1.2/$AS$1)+AS32)*(1+AQ32)*(1.2)*$AS$1+AO32</f>
        <v>7154880</v>
      </c>
      <c r="L32" s="99">
        <v>100</v>
      </c>
      <c r="M32" s="101"/>
      <c r="N32" s="100">
        <f>AN32*1.2*(1+AV32)+AO32</f>
        <v>6439391.9999999991</v>
      </c>
      <c r="O32" s="98">
        <f>AK32*1.2*(1+AV32)+AO32</f>
        <v>6439391.9999999991</v>
      </c>
      <c r="P32" s="99">
        <v>100</v>
      </c>
      <c r="Q32" s="99">
        <v>100</v>
      </c>
      <c r="R32" s="67">
        <f>_xlfn.XLOOKUP(A32,'[1]My Input'!$B:$B,'[1]My Input'!$F:$F)</f>
        <v>7.0000000000000007E-2</v>
      </c>
      <c r="S32" s="101"/>
      <c r="T32" s="100">
        <f>IF(X32&lt;&gt;0,AM32*1.2*(1+AW32)+AO32-X32,AN32*1.2*(1+AV32)+AO32)</f>
        <v>6240233.5999999996</v>
      </c>
      <c r="U32" s="98">
        <f>IF(X32&lt;&gt;0,AJ32*1.2*(1+AW32)+AO32-X32,AK32*1.2*(1+AV32)+AO32)</f>
        <v>6240233.5999999996</v>
      </c>
      <c r="V32" s="99">
        <v>100</v>
      </c>
      <c r="W32" s="99">
        <v>100</v>
      </c>
      <c r="X32" s="102">
        <f>_xlfn.XLOOKUP(A32,'[1]My Input'!$B:$B,'[1]My Input'!$I:$I)</f>
        <v>700000</v>
      </c>
      <c r="Y32" s="101"/>
      <c r="Z32" s="100">
        <f t="shared" si="31"/>
        <v>6627100.9899999993</v>
      </c>
      <c r="AA32" s="98">
        <f>IF(AD32&lt;&gt;0,AJ32*1.2*(1+AX32)+AO32-AD32,AH32*(1-AG32)*1.2*(1+AV32)+AO32)</f>
        <v>6627100.9899999993</v>
      </c>
      <c r="AB32" s="99">
        <v>100</v>
      </c>
      <c r="AC32" s="99">
        <v>100</v>
      </c>
      <c r="AD32" s="98">
        <f>_xlfn.XLOOKUP(A32,'[1]My Input'!$B:$B,'[1]My Input'!$N:$N)</f>
        <v>313132.61</v>
      </c>
      <c r="AE32" s="70"/>
      <c r="AF32" s="71">
        <f>_xlfn.XLOOKUP(A32,'[1]My Input'!$B:$B,'[1]My Input'!$E:$E)</f>
        <v>0.03</v>
      </c>
      <c r="AG32" s="72">
        <f>_xlfn.XLOOKUP(A32,'[1]My Input'!$B:$B,'[1]My Input'!$G:$G)</f>
        <v>0.1</v>
      </c>
      <c r="AH32" s="73">
        <f>(H32-AO32)/1.2/(1+AQ32)</f>
        <v>2981200</v>
      </c>
      <c r="AJ32" s="73">
        <f>AH32*(1-AF32)</f>
        <v>2891764</v>
      </c>
      <c r="AK32" s="75">
        <f>AH32*(1-AF32-R32)</f>
        <v>2683079.9999999995</v>
      </c>
      <c r="AL32" s="76">
        <f>(K32-AO32)/1.2/(1+AQ32)</f>
        <v>2981200</v>
      </c>
      <c r="AM32" s="76">
        <f>AL32*(1-AF32)</f>
        <v>2891764</v>
      </c>
      <c r="AN32" s="76">
        <f>AL32*(1-AF32-R32)</f>
        <v>2683079.9999999995</v>
      </c>
      <c r="AO32" s="77">
        <f>_xlfn.XLOOKUP(A32,'[1]My Input'!$B:$B,'[1]My Input'!$T:$T)</f>
        <v>0</v>
      </c>
      <c r="AP32" s="78">
        <f>_xlfn.XLOOKUP(A32,'[1]My Input'!$B:$B,'[1]My Input'!$S:$S)</f>
        <v>1600</v>
      </c>
      <c r="AQ32" s="67">
        <f>_xlfn.XLOOKUP(A32,'[1]My Input'!$B:$B,'[1]My Input'!$U:$U)</f>
        <v>1</v>
      </c>
      <c r="AS32" s="103">
        <f>_xlfn.XLOOKUP(A32,'[1]My Input'!$B:$B,'[1]My Input'!$Q:$Q)</f>
        <v>0</v>
      </c>
      <c r="AU32" s="74" t="s">
        <v>41</v>
      </c>
      <c r="AV32" s="67" cm="1">
        <f t="array" ref="AV32">_xlfn.IFS(
 AND(AY32="ICE",  AP32&lt;=1400,AND(AK32&gt;900000,  AK32&lt;=1100000)),                    80%,
 AND(AY32="ICE",  AP32&lt;=1400,AK32&gt;1100000),                                       90%,
 AND(AY32="ICE",  AND(AP32&gt;1400,AP32&lt;=1600),   AK32&lt;=850000),                      75%,
 AND(AY32="ICE",  AND(AP32&gt;1400,AP32&lt;=1600),   AND(AK32&gt;850000,AK32&lt;=1100000)),     80%,
 AND(AY32="ICE",  AND(AP32&gt;1400,AP32&lt;=1600),   AND(AK32&gt;1100000,AK32&lt;=1650000)),    90%,
 AND(AY32="ICE",  AND(AP32&gt;1400,AP32&lt;=1600),   AK32&gt;1650000),                      100%,
 AND(AY32="ICE",  AND(AP32&gt;1600,AP32&lt;=2000),   AK32&lt;=1650000),                     150%,
 AND(AY32="ICE",  AND(AP32&gt;1600,AP32&lt;=2000),   AK32&gt;1650000),                      170%,
 AND(AY32="ICE",  AP32&gt;2000),                                                    220%,
 AND(AY32="PHEV",  AP32&lt;=1600,                AK32&lt;=1350000),                     45%,
 AND(AY32="PHEV",  AP32&lt;=1600,                AK32&gt;1350000),                      75%,
 AND(AY32="PHEV",  AND(AP32&gt;1600,AP32&lt;=1800),  AK32&lt;=1350000),                     85%,
 AND(AY32="BEV",    AZ32&lt;=160,                 AK32&lt;=1650000),                     25%,
 AND(AY32="BEV",    AZ32&lt;=160,                 AK32&gt;1650000),                      55%,
 AND(AY32="BEV",    AZ32&gt; 160,                 AK32&lt;=1650000),                     65%,
 AND(AY32="BEV",    AZ32&gt; 160,                 AK32&gt;1650000),                      75%)</f>
        <v>1</v>
      </c>
      <c r="AW32" s="67" cm="1">
        <f t="array" ref="AW32">_xlfn.IFS(
 X32=0,AV32,
 AND(AY32="ICE",  AP32&lt;=1400,AND((AJ32-BA32)&gt;900000,  (AJ32-BA32)&lt;=1100000)),                    80%,
 AND(AY32="ICE",  AP32&lt;=1400,(AJ32-BA32)&gt;1100000),                                       90%,
 AND(AY32="ICE",  AND(AP32&gt;1400,AP32&lt;=1600),   (AJ32-BA32)&lt;=850000),                      75%,
 AND(AY32="ICE",  AND(AP32&gt;1400,AP32&lt;=1600),   AND((AJ32-BA32)&gt;850000,(AJ32-BA32)&lt;=1100000)),     80%,
 AND(AY32="ICE",  AND(AP32&gt;1400,AP32&lt;=1600),   AND((AJ32-BA32)&gt;1100000,(AJ32-BA32)&lt;=1650000)),    90%,
 AND(AY32="ICE",  AND(AP32&gt;1400,AP32&lt;=1600),   (AJ32-BA32)&gt;1650000),                      100%,
 AND(AY32="ICE",  AND(AP32&gt;1600,AP32&lt;=2000),   (AJ32-BA32)&lt;=1650000),                     150%,
 AND(AY32="ICE",  AND(AP32&gt;1600,AP32&lt;=2000),   (AJ32-BA32)&gt;1650000),                      170%,
 AND(AY32="ICE",  AP32&gt;2000),                                                    220%,
 AND(AY32="PHEV",  AP32&lt;=1600,                (AJ32-BA32)&lt;=1350000),                     45%,
 AND(AY32="PHEV",  AP32&lt;=1600,                (AJ32-BA32)&gt;1350000),                      75%,
 AND(AY32="PHEV",  AND(AP32&gt;1600,AP32&lt;=1800),  (AJ32-BA32)&lt;=1350000),                     85%,
 AND(AY32="BEV",    AZ32&lt;=160,                 (AJ32-BA32)&lt;=1650000),                     25%,
 AND(AY32="BEV",    AZ32&lt;=160,                 (AJ32-BA32)&gt;1650000),                      55%,
 AND(AY32="BEV",    AZ32&gt; 160,                 (AJ32-BA32)&lt;=1650000),                     65%,
 AND(AY32="BEV",    AZ32&gt; 160,                 (AJ32-BA32)&gt;1650000),                      75%)</f>
        <v>1</v>
      </c>
      <c r="AX32" s="67" cm="1">
        <f t="array" ref="AX32">_xlfn.IFS(
 AD32=0,AV32,
 AND(AY32="ICE",  AP32&lt;=1400,AND(AJ32&gt;900000,  AJ32&lt;=1100000)),                    80%,
 AND(AY32="ICE",  AP32&lt;=1400,AJ32&gt;1100000),                                       90%,
 AND(AY32="ICE",  AND(AP32&gt;1400,AP32&lt;=1600),   AJ32&lt;=850000),                      75%,
 AND(AY32="ICE",  AND(AP32&gt;1400,AP32&lt;=1600),   AND(AJ32&gt;850000,AJ32&lt;=1100000)),     80%,
 AND(AY32="ICE",  AND(AP32&gt;1400,AP32&lt;=1600),   AND(AJ32&gt;1100000,AJ32&lt;=1650000)),    90%,
 AND(AY32="ICE",  AND(AP32&gt;1400,AP32&lt;=1600),   AJ32&gt;1650000),                      100%,
 AND(AY32="ICE",  AND(AP32&gt;1600,AP32&lt;=2000),   AJ32&lt;=1650000),                     150%,
 AND(AY32="ICE",  AND(AP32&gt;1600,AP32&lt;=2000),   AJ32&gt;1650000),                      170%,
 AND(AY32="ICE",  AP32&gt;2000),                                                    220%,
 AND(AY32="PHEV",  AP32&lt;=1600,                AJ32&lt;=1350000),                     45%,
 AND(AY32="PHEV",  AP32&lt;=1600,                AJ32&gt;1350000),                      75%,
 AND(AY32="PHEV",  AND(AP32&gt;1600,AP32&lt;=1800),  AJ32&lt;=1350000),                     85%,
 AND(AY32="BEV",    AZ32&lt;=160,                 AJ32&lt;=1650000),                     25%,
 AND(AY32="BEV",    AZ32&lt;=160,                 AJ32&gt;1650000),                      55%,
 AND(AY32="BEV",    AZ32&gt; 160,                 AJ32&lt;=1650000),                     65%,
 AND(AY32="BEV",    AZ32&gt; 160,                 AJ32&gt;1650000),                      75%)</f>
        <v>1</v>
      </c>
      <c r="AY32" s="80" t="str">
        <f>_xlfn.XLOOKUP(A32,'[1]My Input'!$B:$B,'[1]My Input'!$V:$V)</f>
        <v>ICE</v>
      </c>
      <c r="AZ32" s="80" t="str">
        <f>_xlfn.IFNA(_xlfn.XLOOKUP(A32,'[1]kW Tescil'!$A:$A,'[1]kW Tescil'!$C:$C),"-")</f>
        <v>-</v>
      </c>
      <c r="BA32" s="81">
        <f>_xlfn.XLOOKUP(A32,'[1]My Input'!$B:$B,'[1]My Input'!$H:$H)</f>
        <v>291666.66666666669</v>
      </c>
      <c r="BC32" s="82">
        <v>0</v>
      </c>
      <c r="BD32" s="82">
        <v>0</v>
      </c>
      <c r="BF32" s="83">
        <v>0</v>
      </c>
      <c r="BG32" s="83">
        <v>0</v>
      </c>
      <c r="BI32" s="84">
        <v>232414.18564999942</v>
      </c>
      <c r="BL32" s="83">
        <v>0</v>
      </c>
    </row>
    <row r="33" spans="1:16375" ht="7.15" customHeight="1" thickBot="1" x14ac:dyDescent="0.3">
      <c r="A33" s="57"/>
      <c r="B33" s="57"/>
      <c r="D33" s="188"/>
      <c r="E33" s="188"/>
      <c r="F33" s="188"/>
      <c r="G33" s="189"/>
      <c r="H33" s="190"/>
      <c r="I33" s="189"/>
      <c r="J33" s="65"/>
      <c r="K33" s="190"/>
      <c r="L33" s="189"/>
      <c r="M33" s="189"/>
      <c r="N33" s="190"/>
      <c r="O33" s="190"/>
      <c r="P33" s="189"/>
      <c r="Q33" s="189"/>
      <c r="R33" s="189"/>
      <c r="S33" s="189"/>
      <c r="T33" s="190"/>
      <c r="U33" s="190"/>
      <c r="V33" s="189"/>
      <c r="W33" s="189"/>
      <c r="X33" s="191"/>
      <c r="Y33" s="189"/>
      <c r="Z33" s="190"/>
      <c r="AA33" s="190"/>
      <c r="AB33" s="189"/>
      <c r="AC33" s="189"/>
      <c r="AE33" s="192"/>
      <c r="AF33" s="115"/>
      <c r="AH33" s="189"/>
      <c r="AI33" s="189"/>
      <c r="AJ33" s="189"/>
      <c r="AK33" s="193"/>
      <c r="AL33" s="189"/>
      <c r="AM33" s="76"/>
      <c r="AN33" s="189"/>
      <c r="AO33" s="189"/>
      <c r="AP33" s="78"/>
      <c r="AQ33" s="67"/>
      <c r="AR33" s="189"/>
      <c r="AS33" s="194"/>
      <c r="AT33" s="189"/>
      <c r="AU33" s="74" t="s">
        <v>41</v>
      </c>
      <c r="AV33" s="67"/>
      <c r="AW33" s="67"/>
      <c r="AX33" s="67"/>
      <c r="AY33" s="80"/>
      <c r="AZ33" s="80"/>
      <c r="BA33" s="81"/>
      <c r="BC33" s="82">
        <v>0</v>
      </c>
      <c r="BD33" s="82">
        <v>0</v>
      </c>
      <c r="BF33" s="83">
        <v>0</v>
      </c>
      <c r="BG33" s="83">
        <v>0</v>
      </c>
      <c r="BI33" s="84">
        <v>0</v>
      </c>
      <c r="BL33" s="83">
        <v>0</v>
      </c>
    </row>
    <row r="34" spans="1:16375" s="74" customFormat="1" ht="15" customHeight="1" thickBot="1" x14ac:dyDescent="0.3">
      <c r="A34" s="57" t="s">
        <v>81</v>
      </c>
      <c r="B34" s="57" t="str">
        <f t="shared" ref="B34:B119" si="32">D34&amp;E34&amp;F34</f>
        <v>BMWi4 eDrive40M Sport</v>
      </c>
      <c r="C34" s="58" t="s">
        <v>37</v>
      </c>
      <c r="D34" s="59" t="s">
        <v>44</v>
      </c>
      <c r="E34" s="60" t="s">
        <v>82</v>
      </c>
      <c r="F34" s="61" t="s">
        <v>53</v>
      </c>
      <c r="G34" s="65"/>
      <c r="H34" s="172">
        <v>5747828</v>
      </c>
      <c r="I34" s="173">
        <v>100</v>
      </c>
      <c r="J34" s="65">
        <v>0.08</v>
      </c>
      <c r="K34" s="174">
        <f>(((H34-AO34)/(1+AQ34)/1.2/$AS$1)+AS34)*(1+AQ34)*(1.2)*$AS$1+AO34</f>
        <v>5747828</v>
      </c>
      <c r="L34" s="173">
        <v>100</v>
      </c>
      <c r="M34" s="101"/>
      <c r="N34" s="175">
        <f>AN34*1.2*(1+AV34)+AO34</f>
        <v>5288001.76</v>
      </c>
      <c r="O34" s="172">
        <f>AK34*1.2*(1+AV34)+AO34</f>
        <v>5288001.76</v>
      </c>
      <c r="P34" s="173">
        <v>100</v>
      </c>
      <c r="Q34" s="173">
        <v>100</v>
      </c>
      <c r="R34" s="67">
        <f>_xlfn.XLOOKUP(A34,'[1]My Input'!$B:$B,'[1]My Input'!$F:$F)</f>
        <v>0.05</v>
      </c>
      <c r="S34" s="101"/>
      <c r="T34" s="175">
        <f>IF(X34&lt;&gt;0,AM34*1.2*(1+AW34)+AO34-X34,AN34*1.2*(1+AV34)+AO34)</f>
        <v>5175393.1599999992</v>
      </c>
      <c r="U34" s="172">
        <f>IF(X34&lt;&gt;0,AJ34*1.2*(1+AW34)+AO34-X34,AK34*1.2*(1+AV34)+AO34)</f>
        <v>5175393.1599999992</v>
      </c>
      <c r="V34" s="173">
        <v>100</v>
      </c>
      <c r="W34" s="173">
        <v>100</v>
      </c>
      <c r="X34" s="176">
        <f>_xlfn.XLOOKUP(A34,'[1]My Input'!$B:$B,'[1]My Input'!$I:$I)</f>
        <v>400000</v>
      </c>
      <c r="Y34" s="101"/>
      <c r="Z34" s="175">
        <f t="shared" ref="Z34:Z119" si="33">IF(AD34&lt;&gt;0,AM34*1.2*(1+AQ34)+AO34-AD34,AL34*(1-AG34)*1.2*(1+AQ34)+AO34)</f>
        <v>5356200.3299999991</v>
      </c>
      <c r="AA34" s="172">
        <f>IF(AD34&lt;&gt;0,AJ34*1.2*(1+AX34)+AO34-AD34,AH34*(1-AG34)*1.2*(1+AV34)+AO34)</f>
        <v>5356200.3299999991</v>
      </c>
      <c r="AB34" s="173">
        <v>100</v>
      </c>
      <c r="AC34" s="173">
        <v>100</v>
      </c>
      <c r="AD34" s="172">
        <f>_xlfn.XLOOKUP(A34,'[1]My Input'!$B:$B,'[1]My Input'!$N:$N)</f>
        <v>219192.83</v>
      </c>
      <c r="AE34" s="70"/>
      <c r="AF34" s="71">
        <f>_xlfn.XLOOKUP(A34,'[1]My Input'!$B:$B,'[1]My Input'!$E:$E)</f>
        <v>0.03</v>
      </c>
      <c r="AG34" s="72">
        <f>_xlfn.XLOOKUP(A34,'[1]My Input'!$B:$B,'[1]My Input'!$G:$G)</f>
        <v>0.08</v>
      </c>
      <c r="AH34" s="73">
        <f>(H34-AO34)/1.2/(1+AQ34)</f>
        <v>3090230.1075268816</v>
      </c>
      <c r="AJ34" s="73">
        <f>AH34*(1-AF34)</f>
        <v>2997523.2043010751</v>
      </c>
      <c r="AK34" s="75">
        <f>AH34*(1-AF34-R34)</f>
        <v>2843011.698924731</v>
      </c>
      <c r="AL34" s="76">
        <f>(K34-AO34)/1.2/(1+AQ34)</f>
        <v>3090230.1075268816</v>
      </c>
      <c r="AM34" s="76">
        <f>AL34*(1-AF34)</f>
        <v>2997523.2043010751</v>
      </c>
      <c r="AN34" s="76">
        <f>AL34*(1-AF34-R34)</f>
        <v>2843011.698924731</v>
      </c>
      <c r="AO34" s="77">
        <f>_xlfn.XLOOKUP(A34,'[1]My Input'!$B:$B,'[1]My Input'!$T:$T)</f>
        <v>0</v>
      </c>
      <c r="AP34" s="78">
        <f>_xlfn.XLOOKUP(A34,'[1]My Input'!$B:$B,'[1]My Input'!$S:$S)</f>
        <v>0</v>
      </c>
      <c r="AQ34" s="67">
        <f>_xlfn.XLOOKUP(A34,'[1]My Input'!$B:$B,'[1]My Input'!$U:$U)</f>
        <v>0.55000000000000004</v>
      </c>
      <c r="AS34" s="103">
        <f>_xlfn.XLOOKUP(A34,'[1]My Input'!$B:$B,'[1]My Input'!$Q:$Q)</f>
        <v>0</v>
      </c>
      <c r="AU34" s="74" t="s">
        <v>41</v>
      </c>
      <c r="AV34" s="67" cm="1">
        <f t="array" ref="AV34">_xlfn.IFS(
 AND(AY34="ICE",  AP34&lt;=1400,AND(AK34&gt;900000,  AK34&lt;=1100000)),                    80%,
 AND(AY34="ICE",  AP34&lt;=1400,AK34&gt;1100000),                                       90%,
 AND(AY34="ICE",  AND(AP34&gt;1400,AP34&lt;=1600),   AK34&lt;=850000),                      75%,
 AND(AY34="ICE",  AND(AP34&gt;1400,AP34&lt;=1600),   AND(AK34&gt;850000,AK34&lt;=1100000)),     80%,
 AND(AY34="ICE",  AND(AP34&gt;1400,AP34&lt;=1600),   AND(AK34&gt;1100000,AK34&lt;=1650000)),    90%,
 AND(AY34="ICE",  AND(AP34&gt;1400,AP34&lt;=1600),   AK34&gt;1650000),                      100%,
 AND(AY34="ICE",  AND(AP34&gt;1600,AP34&lt;=2000),   AK34&lt;=1650000),                     150%,
 AND(AY34="ICE",  AND(AP34&gt;1600,AP34&lt;=2000),   AK34&gt;1650000),                      170%,
 AND(AY34="ICE",  AP34&gt;2000),                                                    220%,
 AND(AY34="PHEV",  AP34&lt;=1600,                AK34&lt;=1350000),                     45%,
 AND(AY34="PHEV",  AP34&lt;=1600,                AK34&gt;1350000),                      75%,
 AND(AY34="PHEV",  AND(AP34&gt;1600,AP34&lt;=1800),  AK34&lt;=1350000),                     85%,
 AND(AY34="BEV",    AZ34&lt;=160,                 AK34&lt;=1650000),                     25%,
 AND(AY34="BEV",    AZ34&lt;=160,                 AK34&gt;1650000),                      55%,
 AND(AY34="BEV",    AZ34&gt; 160,                 AK34&lt;=1650000),                     65%,
 AND(AY34="BEV",    AZ34&gt; 160,                 AK34&gt;1650000),                      75%)</f>
        <v>0.55000000000000004</v>
      </c>
      <c r="AW34" s="67" cm="1">
        <f t="array" ref="AW34">_xlfn.IFS(
 X34=0,AV34,
 AND(AY34="ICE",  AP34&lt;=1400,AND((AJ34-BA34)&gt;900000,  (AJ34-BA34)&lt;=1100000)),                    80%,
 AND(AY34="ICE",  AP34&lt;=1400,(AJ34-BA34)&gt;1100000),                                       90%,
 AND(AY34="ICE",  AND(AP34&gt;1400,AP34&lt;=1600),   (AJ34-BA34)&lt;=850000),                      75%,
 AND(AY34="ICE",  AND(AP34&gt;1400,AP34&lt;=1600),   AND((AJ34-BA34)&gt;850000,(AJ34-BA34)&lt;=1100000)),     80%,
 AND(AY34="ICE",  AND(AP34&gt;1400,AP34&lt;=1600),   AND((AJ34-BA34)&gt;1100000,(AJ34-BA34)&lt;=1650000)),    90%,
 AND(AY34="ICE",  AND(AP34&gt;1400,AP34&lt;=1600),   (AJ34-BA34)&gt;1650000),                      100%,
 AND(AY34="ICE",  AND(AP34&gt;1600,AP34&lt;=2000),   (AJ34-BA34)&lt;=1650000),                     150%,
 AND(AY34="ICE",  AND(AP34&gt;1600,AP34&lt;=2000),   (AJ34-BA34)&gt;1650000),                      170%,
 AND(AY34="ICE",  AP34&gt;2000),                                                    220%,
 AND(AY34="PHEV",  AP34&lt;=1600,                (AJ34-BA34)&lt;=1350000),                     45%,
 AND(AY34="PHEV",  AP34&lt;=1600,                (AJ34-BA34)&gt;1350000),                      75%,
 AND(AY34="PHEV",  AND(AP34&gt;1600,AP34&lt;=1800),  (AJ34-BA34)&lt;=1350000),                     85%,
 AND(AY34="BEV",    AZ34&lt;=160,                 (AJ34-BA34)&lt;=1650000),                     25%,
 AND(AY34="BEV",    AZ34&lt;=160,                 (AJ34-BA34)&gt;1650000),                      55%,
 AND(AY34="BEV",    AZ34&gt; 160,                 (AJ34-BA34)&lt;=1650000),                     65%,
 AND(AY34="BEV",    AZ34&gt; 160,                 (AJ34-BA34)&gt;1650000),                      75%)</f>
        <v>0.55000000000000004</v>
      </c>
      <c r="AX34" s="67" cm="1">
        <f t="array" ref="AX34">_xlfn.IFS(
 AD34=0,AV34,
 AND(AY34="ICE",  AP34&lt;=1400,AND(AJ34&gt;900000,  AJ34&lt;=1100000)),                    80%,
 AND(AY34="ICE",  AP34&lt;=1400,AJ34&gt;1100000),                                       90%,
 AND(AY34="ICE",  AND(AP34&gt;1400,AP34&lt;=1600),   AJ34&lt;=850000),                      75%,
 AND(AY34="ICE",  AND(AP34&gt;1400,AP34&lt;=1600),   AND(AJ34&gt;850000,AJ34&lt;=1100000)),     80%,
 AND(AY34="ICE",  AND(AP34&gt;1400,AP34&lt;=1600),   AND(AJ34&gt;1100000,AJ34&lt;=1650000)),    90%,
 AND(AY34="ICE",  AND(AP34&gt;1400,AP34&lt;=1600),   AJ34&gt;1650000),                      100%,
 AND(AY34="ICE",  AND(AP34&gt;1600,AP34&lt;=2000),   AJ34&lt;=1650000),                     150%,
 AND(AY34="ICE",  AND(AP34&gt;1600,AP34&lt;=2000),   AJ34&gt;1650000),                      170%,
 AND(AY34="ICE",  AP34&gt;2000),                                                    220%,
 AND(AY34="PHEV",  AP34&lt;=1600,                AJ34&lt;=1350000),                     45%,
 AND(AY34="PHEV",  AP34&lt;=1600,                AJ34&gt;1350000),                      75%,
 AND(AY34="PHEV",  AND(AP34&gt;1600,AP34&lt;=1800),  AJ34&lt;=1350000),                     85%,
 AND(AY34="BEV",    AZ34&lt;=160,                 AJ34&lt;=1650000),                     25%,
 AND(AY34="BEV",    AZ34&lt;=160,                 AJ34&gt;1650000),                      55%,
 AND(AY34="BEV",    AZ34&gt; 160,                 AJ34&lt;=1650000),                     65%,
 AND(AY34="BEV",    AZ34&gt; 160,                 AJ34&gt;1650000),                      75%)</f>
        <v>0.55000000000000004</v>
      </c>
      <c r="AY34" s="80" t="str">
        <f>_xlfn.XLOOKUP(A34,'[1]My Input'!$B:$B,'[1]My Input'!$V:$V)</f>
        <v>BEV</v>
      </c>
      <c r="AZ34" s="80">
        <f>_xlfn.IFNA(_xlfn.XLOOKUP(A34,'[1]kW Tescil'!$A:$A,'[1]kW Tescil'!$C:$C),"-")</f>
        <v>160</v>
      </c>
      <c r="BA34" s="81">
        <f>_xlfn.XLOOKUP(A34,'[1]My Input'!$B:$B,'[1]My Input'!$H:$H)</f>
        <v>215053.76344086023</v>
      </c>
      <c r="BC34" s="82">
        <v>0</v>
      </c>
      <c r="BD34" s="82">
        <v>0</v>
      </c>
      <c r="BF34" s="83">
        <v>0</v>
      </c>
      <c r="BG34" s="83">
        <v>0</v>
      </c>
      <c r="BI34" s="84">
        <v>356591.43848000094</v>
      </c>
      <c r="BL34" s="83">
        <v>0</v>
      </c>
    </row>
    <row r="35" spans="1:16375" ht="7.15" customHeight="1" thickBot="1" x14ac:dyDescent="0.3">
      <c r="A35" s="57"/>
      <c r="B35" s="57"/>
      <c r="D35" s="188"/>
      <c r="E35" s="188"/>
      <c r="F35" s="188"/>
      <c r="G35" s="189"/>
      <c r="H35" s="190"/>
      <c r="I35" s="189"/>
      <c r="J35" s="65"/>
      <c r="K35" s="190"/>
      <c r="L35" s="189"/>
      <c r="M35" s="189"/>
      <c r="N35" s="190"/>
      <c r="O35" s="190"/>
      <c r="P35" s="189"/>
      <c r="Q35" s="189"/>
      <c r="R35" s="189"/>
      <c r="S35" s="189"/>
      <c r="T35" s="190"/>
      <c r="U35" s="190"/>
      <c r="V35" s="189"/>
      <c r="W35" s="189"/>
      <c r="X35" s="191"/>
      <c r="Y35" s="189"/>
      <c r="Z35" s="190"/>
      <c r="AA35" s="190"/>
      <c r="AB35" s="189"/>
      <c r="AC35" s="189"/>
      <c r="AE35" s="192"/>
      <c r="AF35" s="115"/>
      <c r="AH35" s="189"/>
      <c r="AI35" s="189"/>
      <c r="AJ35" s="189"/>
      <c r="AK35" s="193"/>
      <c r="AL35" s="189"/>
      <c r="AM35" s="76"/>
      <c r="AN35" s="189"/>
      <c r="AO35" s="189"/>
      <c r="AP35" s="78"/>
      <c r="AQ35" s="67"/>
      <c r="AR35" s="189"/>
      <c r="AS35" s="194"/>
      <c r="AT35" s="189"/>
      <c r="AU35" s="74" t="s">
        <v>41</v>
      </c>
      <c r="AV35" s="67"/>
      <c r="AW35" s="67"/>
      <c r="AX35" s="67"/>
      <c r="AY35" s="80"/>
      <c r="AZ35" s="80"/>
      <c r="BA35" s="81"/>
      <c r="BC35" s="82">
        <v>0</v>
      </c>
      <c r="BD35" s="82">
        <v>0</v>
      </c>
      <c r="BF35" s="83">
        <v>0</v>
      </c>
      <c r="BG35" s="83">
        <v>0</v>
      </c>
      <c r="BI35" s="84">
        <v>0</v>
      </c>
      <c r="BL35" s="83">
        <v>0</v>
      </c>
    </row>
    <row r="36" spans="1:16375" s="74" customFormat="1" ht="15" customHeight="1" x14ac:dyDescent="0.25">
      <c r="A36" s="57" t="s">
        <v>70</v>
      </c>
      <c r="B36" s="57" t="str">
        <f t="shared" ref="B36:B121" si="34">D36&amp;E36&amp;F36</f>
        <v>AudiA5 Sedan TFSI quattroAdvanced</v>
      </c>
      <c r="C36" s="58" t="s">
        <v>37</v>
      </c>
      <c r="D36" s="177" t="s">
        <v>38</v>
      </c>
      <c r="E36" s="60" t="s">
        <v>71</v>
      </c>
      <c r="F36" s="61" t="s">
        <v>40</v>
      </c>
      <c r="G36" s="178"/>
      <c r="H36" s="63">
        <v>7454235</v>
      </c>
      <c r="I36" s="64">
        <f>H36/$H$37*$I$37</f>
        <v>122.90252854005502</v>
      </c>
      <c r="J36" s="65">
        <v>0.245</v>
      </c>
      <c r="K36" s="66">
        <f>(((H36-AO36)/(1+AQ36)/1.2/$AS$1)+AS36)*(1+AQ36)*(1.2)*$AS$1+AO36</f>
        <v>6662419.5000000009</v>
      </c>
      <c r="L36" s="64">
        <f>K36/$K$37*$L$37</f>
        <v>109.8473824268445</v>
      </c>
      <c r="M36" s="157"/>
      <c r="N36" s="66">
        <f>AN36*1.2*(1+AV36)+AO36</f>
        <v>5030126.7225000011</v>
      </c>
      <c r="O36" s="63">
        <f>AK36*1.2*(1+AV36)+AO36</f>
        <v>5627947.4249999998</v>
      </c>
      <c r="P36" s="64">
        <f>IF(ISNUMBER(O36),O36/$O$37*$P$37,"")</f>
        <v>106.65679200889831</v>
      </c>
      <c r="Q36" s="64">
        <f>IF(ISNUMBER(N36),N36/$N$37*$Q$37,"")</f>
        <v>95.327326129043243</v>
      </c>
      <c r="R36" s="67">
        <f>_xlfn.XLOOKUP(A36,'[1]My Input'!$B:$B,'[1]My Input'!$F:$F)</f>
        <v>0</v>
      </c>
      <c r="S36" s="157"/>
      <c r="T36" s="66">
        <f>IF(X36&lt;&gt;0,AM36*1.2*(1+AW36)+AO36-X36,AN36*1.2*(1+AV36)+AO36)</f>
        <v>5030126.7225000011</v>
      </c>
      <c r="U36" s="63">
        <f>IF(X36&lt;&gt;0,AJ36*1.2*(1+AW36)+AO36-X36,AK36*1.2*(1+AV36)+AO36)</f>
        <v>5627947.4249999998</v>
      </c>
      <c r="V36" s="64">
        <f>IF(ISNUMBER(U36),U36/$U$37*$V$37,"")</f>
        <v>110.71651061814305</v>
      </c>
      <c r="W36" s="64">
        <f>IF(ISNUMBER(T36),T36/$T$37*$W$37,"")</f>
        <v>98.955806908995186</v>
      </c>
      <c r="X36" s="68">
        <f>_xlfn.XLOOKUP(A36,'[1]My Input'!$B:$B,'[1]My Input'!$I:$I)</f>
        <v>0</v>
      </c>
      <c r="Y36" s="157"/>
      <c r="Z36" s="66">
        <f t="shared" ref="Z36:Z121" si="35">IF(AD36&lt;&gt;0,AM36*1.2*(1+AQ36)+AO36-AD36,AL36*(1-AG36)*1.2*(1+AQ36)+AO36)</f>
        <v>5030126.7225000011</v>
      </c>
      <c r="AA36" s="63">
        <f>IF(AD36&lt;&gt;0,AJ36*1.2*(1+AX36)+AO36-AD36,AH36*(1-AG36)*1.2*(1+AV36)+AO36)</f>
        <v>5627947.4249999998</v>
      </c>
      <c r="AB36" s="64">
        <f>IF(ISNUMBER(AA36),AA36/$AA$37*$AB$37,"")</f>
        <v>102.18797158371447</v>
      </c>
      <c r="AC36" s="64">
        <f>IF(ISNUMBER(Z36),Z36/$Z$37*$AC$37,"")</f>
        <v>91.333199791096689</v>
      </c>
      <c r="AD36" s="69">
        <f>_xlfn.XLOOKUP(A36,'[1]My Input'!$B:$B,'[1]My Input'!$N:$N)</f>
        <v>0</v>
      </c>
      <c r="AE36" s="70"/>
      <c r="AF36" s="71">
        <f>_xlfn.XLOOKUP(A36,'[1]My Input'!$B:$B,'[1]My Input'!$E:$E)</f>
        <v>0.245</v>
      </c>
      <c r="AG36" s="72">
        <f>_xlfn.XLOOKUP(A36,'[1]My Input'!$B:$B,'[1]My Input'!$G:$G)</f>
        <v>0.245</v>
      </c>
      <c r="AH36" s="73">
        <f>(H36-AO36)/1.2/(1+AQ36)</f>
        <v>2300689.8148148148</v>
      </c>
      <c r="AJ36" s="73">
        <f>AH36*(1-AF36)</f>
        <v>1737020.8101851852</v>
      </c>
      <c r="AK36" s="75">
        <f>AH36*(1-AF36-R36)</f>
        <v>1737020.8101851852</v>
      </c>
      <c r="AL36" s="76">
        <f>(K36-AO36)/1.2/(1+AQ36)</f>
        <v>2056302.3148148151</v>
      </c>
      <c r="AM36" s="76">
        <f>AL36*(1-AF36)</f>
        <v>1552508.2476851854</v>
      </c>
      <c r="AN36" s="76">
        <f>AL36*(1-AF36-R36)</f>
        <v>1552508.2476851854</v>
      </c>
      <c r="AO36" s="77">
        <f>_xlfn.XLOOKUP(A36,'[1]My Input'!$B:$B,'[1]My Input'!$T:$T)</f>
        <v>0</v>
      </c>
      <c r="AP36" s="78">
        <f>_xlfn.XLOOKUP(A36,'[1]My Input'!$B:$B,'[1]My Input'!$S:$S)</f>
        <v>2000</v>
      </c>
      <c r="AQ36" s="67">
        <f>_xlfn.XLOOKUP(A36,'[1]My Input'!$B:$B,'[1]My Input'!$U:$U)</f>
        <v>1.7</v>
      </c>
      <c r="AS36" s="155">
        <f>-2405-2250</f>
        <v>-4655</v>
      </c>
      <c r="AU36" s="74" t="s">
        <v>41</v>
      </c>
      <c r="AV36" s="67" cm="1">
        <f t="array" ref="AV36">_xlfn.IFS(
 AND(AY36="ICE",  AP36&lt;=1400,AND(AK36&gt;900000,  AK36&lt;=1100000)),                    80%,
 AND(AY36="ICE",  AP36&lt;=1400,AK36&gt;1100000),                                       90%,
 AND(AY36="ICE",  AND(AP36&gt;1400,AP36&lt;=1600),   AK36&lt;=850000),                      75%,
 AND(AY36="ICE",  AND(AP36&gt;1400,AP36&lt;=1600),   AND(AK36&gt;850000,AK36&lt;=1100000)),     80%,
 AND(AY36="ICE",  AND(AP36&gt;1400,AP36&lt;=1600),   AND(AK36&gt;1100000,AK36&lt;=1650000)),    90%,
 AND(AY36="ICE",  AND(AP36&gt;1400,AP36&lt;=1600),   AK36&gt;1650000),                      100%,
 AND(AY36="ICE",  AND(AP36&gt;1600,AP36&lt;=2000),   AK36&lt;=1650000),                     150%,
 AND(AY36="ICE",  AND(AP36&gt;1600,AP36&lt;=2000),   AK36&gt;1650000),                      170%,
 AND(AY36="ICE",  AP36&gt;2000),                                                    220%,
 AND(AY36="PHEV",  AP36&lt;=1600,                AK36&lt;=1350000),                     45%,
 AND(AY36="PHEV",  AP36&lt;=1600,                AK36&gt;1350000),                      75%,
 AND(AY36="PHEV",  AND(AP36&gt;1600,AP36&lt;=1800),  AK36&lt;=1350000),                     85%,
 AND(AY36="BEV",    AZ36&lt;=160,                 AK36&lt;=1650000),                     25%,
 AND(AY36="BEV",    AZ36&lt;=160,                 AK36&gt;1650000),                      55%,
 AND(AY36="BEV",    AZ36&gt; 160,                 AK36&lt;=1650000),                     65%,
 AND(AY36="BEV",    AZ36&gt; 160,                 AK36&gt;1650000),                      75%)</f>
        <v>1.7</v>
      </c>
      <c r="AW36" s="67" cm="1">
        <f t="array" ref="AW36">_xlfn.IFS(
 X36=0,AV36,
 AND(AY36="ICE",  AP36&lt;=1400,AND((AJ36-BA36)&gt;900000,  (AJ36-BA36)&lt;=1100000)),                    80%,
 AND(AY36="ICE",  AP36&lt;=1400,(AJ36-BA36)&gt;1100000),                                       90%,
 AND(AY36="ICE",  AND(AP36&gt;1400,AP36&lt;=1600),   (AJ36-BA36)&lt;=850000),                      75%,
 AND(AY36="ICE",  AND(AP36&gt;1400,AP36&lt;=1600),   AND((AJ36-BA36)&gt;850000,(AJ36-BA36)&lt;=1100000)),     80%,
 AND(AY36="ICE",  AND(AP36&gt;1400,AP36&lt;=1600),   AND((AJ36-BA36)&gt;1100000,(AJ36-BA36)&lt;=1650000)),    90%,
 AND(AY36="ICE",  AND(AP36&gt;1400,AP36&lt;=1600),   (AJ36-BA36)&gt;1650000),                      100%,
 AND(AY36="ICE",  AND(AP36&gt;1600,AP36&lt;=2000),   (AJ36-BA36)&lt;=1650000),                     150%,
 AND(AY36="ICE",  AND(AP36&gt;1600,AP36&lt;=2000),   (AJ36-BA36)&gt;1650000),                      170%,
 AND(AY36="ICE",  AP36&gt;2000),                                                    220%,
 AND(AY36="PHEV",  AP36&lt;=1600,                (AJ36-BA36)&lt;=1350000),                     45%,
 AND(AY36="PHEV",  AP36&lt;=1600,                (AJ36-BA36)&gt;1350000),                      75%,
 AND(AY36="PHEV",  AND(AP36&gt;1600,AP36&lt;=1800),  (AJ36-BA36)&lt;=1350000),                     85%,
 AND(AY36="BEV",    AZ36&lt;=160,                 (AJ36-BA36)&lt;=1650000),                     25%,
 AND(AY36="BEV",    AZ36&lt;=160,                 (AJ36-BA36)&gt;1650000),                      55%,
 AND(AY36="BEV",    AZ36&gt; 160,                 (AJ36-BA36)&lt;=1650000),                     65%,
 AND(AY36="BEV",    AZ36&gt; 160,                 (AJ36-BA36)&gt;1650000),                      75%)</f>
        <v>1.7</v>
      </c>
      <c r="AX36" s="67" cm="1">
        <f t="array" ref="AX36">_xlfn.IFS(
 AD36=0,AV36,
 AND(AY36="ICE",  AP36&lt;=1400,AND(AJ36&gt;900000,  AJ36&lt;=1100000)),                    80%,
 AND(AY36="ICE",  AP36&lt;=1400,AJ36&gt;1100000),                                       90%,
 AND(AY36="ICE",  AND(AP36&gt;1400,AP36&lt;=1600),   AJ36&lt;=850000),                      75%,
 AND(AY36="ICE",  AND(AP36&gt;1400,AP36&lt;=1600),   AND(AJ36&gt;850000,AJ36&lt;=1100000)),     80%,
 AND(AY36="ICE",  AND(AP36&gt;1400,AP36&lt;=1600),   AND(AJ36&gt;1100000,AJ36&lt;=1650000)),    90%,
 AND(AY36="ICE",  AND(AP36&gt;1400,AP36&lt;=1600),   AJ36&gt;1650000),                      100%,
 AND(AY36="ICE",  AND(AP36&gt;1600,AP36&lt;=2000),   AJ36&lt;=1650000),                     150%,
 AND(AY36="ICE",  AND(AP36&gt;1600,AP36&lt;=2000),   AJ36&gt;1650000),                      170%,
 AND(AY36="ICE",  AP36&gt;2000),                                                    220%,
 AND(AY36="PHEV",  AP36&lt;=1600,                AJ36&lt;=1350000),                     45%,
 AND(AY36="PHEV",  AP36&lt;=1600,                AJ36&gt;1350000),                      75%,
 AND(AY36="PHEV",  AND(AP36&gt;1600,AP36&lt;=1800),  AJ36&lt;=1350000),                     85%,
 AND(AY36="BEV",    AZ36&lt;=160,                 AJ36&lt;=1650000),                     25%,
 AND(AY36="BEV",    AZ36&lt;=160,                 AJ36&gt;1650000),                      55%,
 AND(AY36="BEV",    AZ36&gt; 160,                 AJ36&lt;=1650000),                     65%,
 AND(AY36="BEV",    AZ36&gt; 160,                 AJ36&gt;1650000),                      75%)</f>
        <v>1.7</v>
      </c>
      <c r="AY36" s="80" t="str">
        <f>_xlfn.XLOOKUP(A36,'[1]My Input'!$B:$B,'[1]My Input'!$V:$V)</f>
        <v>ICE</v>
      </c>
      <c r="AZ36" s="80" t="str">
        <f>_xlfn.IFNA(_xlfn.XLOOKUP(A36,'[1]kW Tescil'!$A:$A,'[1]kW Tescil'!$C:$C),"-")</f>
        <v>-</v>
      </c>
      <c r="BA36" s="81">
        <f>_xlfn.XLOOKUP(A36,'[1]My Input'!$B:$B,'[1]My Input'!$H:$H)</f>
        <v>0</v>
      </c>
      <c r="BC36" s="82">
        <v>12.082212853576934</v>
      </c>
      <c r="BD36" s="82">
        <v>11.364841192986475</v>
      </c>
      <c r="BF36" s="83">
        <v>18.28543683396326</v>
      </c>
      <c r="BG36" s="83">
        <v>16.921209824120069</v>
      </c>
      <c r="BI36" s="84">
        <v>824860.63513559103</v>
      </c>
      <c r="BL36" s="83">
        <v>15.494877740644711</v>
      </c>
    </row>
    <row r="37" spans="1:16375" s="74" customFormat="1" ht="15" customHeight="1" thickBot="1" x14ac:dyDescent="0.3">
      <c r="A37" s="57" t="s">
        <v>83</v>
      </c>
      <c r="B37" s="57" t="str">
        <f t="shared" si="34"/>
        <v>BMW420i Gran CoupéM Sport</v>
      </c>
      <c r="C37" s="58" t="s">
        <v>37</v>
      </c>
      <c r="D37" s="94" t="s">
        <v>44</v>
      </c>
      <c r="E37" s="95" t="s">
        <v>84</v>
      </c>
      <c r="F37" s="96" t="s">
        <v>53</v>
      </c>
      <c r="G37" s="97"/>
      <c r="H37" s="98">
        <v>6065160</v>
      </c>
      <c r="I37" s="99">
        <v>100</v>
      </c>
      <c r="J37" s="65">
        <v>0.13</v>
      </c>
      <c r="K37" s="100">
        <f>(((H37-AO37)/(1+AQ37)/1.2/$AS$1)+AS37)*(1+AQ37)*(1.2)*$AS$1+AO37</f>
        <v>6065159.9999999991</v>
      </c>
      <c r="L37" s="99">
        <v>100</v>
      </c>
      <c r="M37" s="101"/>
      <c r="N37" s="100">
        <f>AN37*1.2*(1+AV37)+AO37</f>
        <v>5276689.1999999983</v>
      </c>
      <c r="O37" s="98">
        <f>AK37*1.2*(1+AV37)+AO37</f>
        <v>5276689.2</v>
      </c>
      <c r="P37" s="99">
        <v>100</v>
      </c>
      <c r="Q37" s="99">
        <v>100</v>
      </c>
      <c r="R37" s="67">
        <f>_xlfn.XLOOKUP(A37,'[1]My Input'!$B:$B,'[1]My Input'!$F:$F)</f>
        <v>0.1</v>
      </c>
      <c r="S37" s="101"/>
      <c r="T37" s="100">
        <f>IF(X37&lt;&gt;0,AM37*1.2*(1+AW37)+AO37-X37,AN37*1.2*(1+AV37)+AO37)</f>
        <v>5083205.1999999983</v>
      </c>
      <c r="U37" s="98">
        <f>IF(X37&lt;&gt;0,AJ37*1.2*(1+AW37)+AO37-X37,AK37*1.2*(1+AV37)+AO37)</f>
        <v>5083205.2</v>
      </c>
      <c r="V37" s="99">
        <v>100</v>
      </c>
      <c r="W37" s="99">
        <v>100</v>
      </c>
      <c r="X37" s="102">
        <f>_xlfn.XLOOKUP(A37,'[1]My Input'!$B:$B,'[1]My Input'!$I:$I)</f>
        <v>800000</v>
      </c>
      <c r="Y37" s="101"/>
      <c r="Z37" s="100">
        <f t="shared" si="35"/>
        <v>5507446.0699999984</v>
      </c>
      <c r="AA37" s="98">
        <f>IF(AD37&lt;&gt;0,AJ37*1.2*(1+AX37)+AO37-AD37,AH37*(1-AG37)*1.2*(1+AV37)+AO37)</f>
        <v>5507446.0700000003</v>
      </c>
      <c r="AB37" s="99">
        <v>100</v>
      </c>
      <c r="AC37" s="99">
        <v>100</v>
      </c>
      <c r="AD37" s="98">
        <f>_xlfn.XLOOKUP(A37,'[1]My Input'!$B:$B,'[1]My Input'!$N:$N)</f>
        <v>375759.13</v>
      </c>
      <c r="AE37" s="70"/>
      <c r="AF37" s="71">
        <f>_xlfn.XLOOKUP(A37,'[1]My Input'!$B:$B,'[1]My Input'!$E:$E)</f>
        <v>0.03</v>
      </c>
      <c r="AG37" s="72">
        <f>_xlfn.XLOOKUP(A37,'[1]My Input'!$B:$B,'[1]My Input'!$G:$G)</f>
        <v>0.13</v>
      </c>
      <c r="AH37" s="73">
        <f>(H37-AO37)/1.2/(1+AQ37)</f>
        <v>2527150</v>
      </c>
      <c r="AJ37" s="73">
        <f>AH37*(1-AF37)</f>
        <v>2451335.5</v>
      </c>
      <c r="AK37" s="75">
        <f>AH37*(1-AF37-R37)</f>
        <v>2198620.5</v>
      </c>
      <c r="AL37" s="76">
        <f>(K37-AO37)/1.2/(1+AQ37)</f>
        <v>2527149.9999999995</v>
      </c>
      <c r="AM37" s="76">
        <f>AL37*(1-AF37)</f>
        <v>2451335.4999999995</v>
      </c>
      <c r="AN37" s="76">
        <f>AL37*(1-AF37-R37)</f>
        <v>2198620.4999999995</v>
      </c>
      <c r="AO37" s="77">
        <f>_xlfn.XLOOKUP(A37,'[1]My Input'!$B:$B,'[1]My Input'!$T:$T)</f>
        <v>0</v>
      </c>
      <c r="AP37" s="78">
        <f>_xlfn.XLOOKUP(A37,'[1]My Input'!$B:$B,'[1]My Input'!$S:$S)</f>
        <v>1600</v>
      </c>
      <c r="AQ37" s="67">
        <f>_xlfn.XLOOKUP(A37,'[1]My Input'!$B:$B,'[1]My Input'!$U:$U)</f>
        <v>1</v>
      </c>
      <c r="AS37" s="103">
        <f>_xlfn.XLOOKUP(A37,'[1]My Input'!$B:$B,'[1]My Input'!$Q:$Q)</f>
        <v>0</v>
      </c>
      <c r="AU37" s="74" t="s">
        <v>41</v>
      </c>
      <c r="AV37" s="67" cm="1">
        <f t="array" ref="AV37">_xlfn.IFS(
 AND(AY37="ICE",  AP37&lt;=1400,AND(AK37&gt;900000,  AK37&lt;=1100000)),                    80%,
 AND(AY37="ICE",  AP37&lt;=1400,AK37&gt;1100000),                                       90%,
 AND(AY37="ICE",  AND(AP37&gt;1400,AP37&lt;=1600),   AK37&lt;=850000),                      75%,
 AND(AY37="ICE",  AND(AP37&gt;1400,AP37&lt;=1600),   AND(AK37&gt;850000,AK37&lt;=1100000)),     80%,
 AND(AY37="ICE",  AND(AP37&gt;1400,AP37&lt;=1600),   AND(AK37&gt;1100000,AK37&lt;=1650000)),    90%,
 AND(AY37="ICE",  AND(AP37&gt;1400,AP37&lt;=1600),   AK37&gt;1650000),                      100%,
 AND(AY37="ICE",  AND(AP37&gt;1600,AP37&lt;=2000),   AK37&lt;=1650000),                     150%,
 AND(AY37="ICE",  AND(AP37&gt;1600,AP37&lt;=2000),   AK37&gt;1650000),                      170%,
 AND(AY37="ICE",  AP37&gt;2000),                                                    220%,
 AND(AY37="PHEV",  AP37&lt;=1600,                AK37&lt;=1350000),                     45%,
 AND(AY37="PHEV",  AP37&lt;=1600,                AK37&gt;1350000),                      75%,
 AND(AY37="PHEV",  AND(AP37&gt;1600,AP37&lt;=1800),  AK37&lt;=1350000),                     85%,
 AND(AY37="BEV",    AZ37&lt;=160,                 AK37&lt;=1650000),                     25%,
 AND(AY37="BEV",    AZ37&lt;=160,                 AK37&gt;1650000),                      55%,
 AND(AY37="BEV",    AZ37&gt; 160,                 AK37&lt;=1650000),                     65%,
 AND(AY37="BEV",    AZ37&gt; 160,                 AK37&gt;1650000),                      75%)</f>
        <v>1</v>
      </c>
      <c r="AW37" s="67" cm="1">
        <f t="array" ref="AW37">_xlfn.IFS(
 X37=0,AV37,
 AND(AY37="ICE",  AP37&lt;=1400,AND((AJ37-BA37)&gt;900000,  (AJ37-BA37)&lt;=1100000)),                    80%,
 AND(AY37="ICE",  AP37&lt;=1400,(AJ37-BA37)&gt;1100000),                                       90%,
 AND(AY37="ICE",  AND(AP37&gt;1400,AP37&lt;=1600),   (AJ37-BA37)&lt;=850000),                      75%,
 AND(AY37="ICE",  AND(AP37&gt;1400,AP37&lt;=1600),   AND((AJ37-BA37)&gt;850000,(AJ37-BA37)&lt;=1100000)),     80%,
 AND(AY37="ICE",  AND(AP37&gt;1400,AP37&lt;=1600),   AND((AJ37-BA37)&gt;1100000,(AJ37-BA37)&lt;=1650000)),    90%,
 AND(AY37="ICE",  AND(AP37&gt;1400,AP37&lt;=1600),   (AJ37-BA37)&gt;1650000),                      100%,
 AND(AY37="ICE",  AND(AP37&gt;1600,AP37&lt;=2000),   (AJ37-BA37)&lt;=1650000),                     150%,
 AND(AY37="ICE",  AND(AP37&gt;1600,AP37&lt;=2000),   (AJ37-BA37)&gt;1650000),                      170%,
 AND(AY37="ICE",  AP37&gt;2000),                                                    220%,
 AND(AY37="PHEV",  AP37&lt;=1600,                (AJ37-BA37)&lt;=1350000),                     45%,
 AND(AY37="PHEV",  AP37&lt;=1600,                (AJ37-BA37)&gt;1350000),                      75%,
 AND(AY37="PHEV",  AND(AP37&gt;1600,AP37&lt;=1800),  (AJ37-BA37)&lt;=1350000),                     85%,
 AND(AY37="BEV",    AZ37&lt;=160,                 (AJ37-BA37)&lt;=1650000),                     25%,
 AND(AY37="BEV",    AZ37&lt;=160,                 (AJ37-BA37)&gt;1650000),                      55%,
 AND(AY37="BEV",    AZ37&gt; 160,                 (AJ37-BA37)&lt;=1650000),                     65%,
 AND(AY37="BEV",    AZ37&gt; 160,                 (AJ37-BA37)&gt;1650000),                      75%)</f>
        <v>1</v>
      </c>
      <c r="AX37" s="67" cm="1">
        <f t="array" ref="AX37">_xlfn.IFS(
 AD37=0,AV37,
 AND(AY37="ICE",  AP37&lt;=1400,AND(AJ37&gt;900000,  AJ37&lt;=1100000)),                    80%,
 AND(AY37="ICE",  AP37&lt;=1400,AJ37&gt;1100000),                                       90%,
 AND(AY37="ICE",  AND(AP37&gt;1400,AP37&lt;=1600),   AJ37&lt;=850000),                      75%,
 AND(AY37="ICE",  AND(AP37&gt;1400,AP37&lt;=1600),   AND(AJ37&gt;850000,AJ37&lt;=1100000)),     80%,
 AND(AY37="ICE",  AND(AP37&gt;1400,AP37&lt;=1600),   AND(AJ37&gt;1100000,AJ37&lt;=1650000)),    90%,
 AND(AY37="ICE",  AND(AP37&gt;1400,AP37&lt;=1600),   AJ37&gt;1650000),                      100%,
 AND(AY37="ICE",  AND(AP37&gt;1600,AP37&lt;=2000),   AJ37&lt;=1650000),                     150%,
 AND(AY37="ICE",  AND(AP37&gt;1600,AP37&lt;=2000),   AJ37&gt;1650000),                      170%,
 AND(AY37="ICE",  AP37&gt;2000),                                                    220%,
 AND(AY37="PHEV",  AP37&lt;=1600,                AJ37&lt;=1350000),                     45%,
 AND(AY37="PHEV",  AP37&lt;=1600,                AJ37&gt;1350000),                      75%,
 AND(AY37="PHEV",  AND(AP37&gt;1600,AP37&lt;=1800),  AJ37&lt;=1350000),                     85%,
 AND(AY37="BEV",    AZ37&lt;=160,                 AJ37&lt;=1650000),                     25%,
 AND(AY37="BEV",    AZ37&lt;=160,                 AJ37&gt;1650000),                      55%,
 AND(AY37="BEV",    AZ37&gt; 160,                 AJ37&lt;=1650000),                     65%,
 AND(AY37="BEV",    AZ37&gt; 160,                 AJ37&gt;1650000),                      75%)</f>
        <v>1</v>
      </c>
      <c r="AY37" s="80" t="str">
        <f>_xlfn.XLOOKUP(A37,'[1]My Input'!$B:$B,'[1]My Input'!$V:$V)</f>
        <v>ICE</v>
      </c>
      <c r="AZ37" s="80" t="str">
        <f>_xlfn.IFNA(_xlfn.XLOOKUP(A37,'[1]kW Tescil'!$A:$A,'[1]kW Tescil'!$C:$C),"-")</f>
        <v>-</v>
      </c>
      <c r="BA37" s="81">
        <f>_xlfn.XLOOKUP(A37,'[1]My Input'!$B:$B,'[1]My Input'!$H:$H)</f>
        <v>333333.33333333337</v>
      </c>
      <c r="BC37" s="82">
        <v>0</v>
      </c>
      <c r="BD37" s="82">
        <v>0</v>
      </c>
      <c r="BF37" s="83">
        <v>0</v>
      </c>
      <c r="BG37" s="83">
        <v>0</v>
      </c>
      <c r="BI37" s="84">
        <v>41692.580810000189</v>
      </c>
      <c r="BL37" s="83">
        <v>0</v>
      </c>
    </row>
    <row r="38" spans="1:16375" ht="7.15" customHeight="1" thickBot="1" x14ac:dyDescent="0.3">
      <c r="A38" s="57"/>
      <c r="B38" s="57"/>
      <c r="D38" s="188"/>
      <c r="E38" s="188"/>
      <c r="F38" s="188"/>
      <c r="G38" s="189"/>
      <c r="H38" s="190"/>
      <c r="I38" s="189"/>
      <c r="J38" s="65"/>
      <c r="K38" s="190"/>
      <c r="L38" s="189"/>
      <c r="M38" s="189"/>
      <c r="N38" s="190"/>
      <c r="O38" s="190"/>
      <c r="P38" s="189"/>
      <c r="Q38" s="189"/>
      <c r="R38" s="189"/>
      <c r="S38" s="189"/>
      <c r="T38" s="190"/>
      <c r="U38" s="190"/>
      <c r="V38" s="189"/>
      <c r="W38" s="189"/>
      <c r="X38" s="191"/>
      <c r="Y38" s="189"/>
      <c r="Z38" s="190"/>
      <c r="AA38" s="190"/>
      <c r="AB38" s="189"/>
      <c r="AC38" s="189"/>
      <c r="AE38" s="192"/>
      <c r="AF38" s="115"/>
      <c r="AH38" s="189"/>
      <c r="AI38" s="189"/>
      <c r="AJ38" s="189"/>
      <c r="AK38" s="193"/>
      <c r="AL38" s="189"/>
      <c r="AM38" s="76"/>
      <c r="AN38" s="189"/>
      <c r="AO38" s="189"/>
      <c r="AP38" s="78"/>
      <c r="AQ38" s="67"/>
      <c r="AR38" s="189"/>
      <c r="AS38" s="194"/>
      <c r="AT38" s="189"/>
      <c r="AU38" s="74" t="s">
        <v>41</v>
      </c>
      <c r="AV38" s="67"/>
      <c r="AW38" s="67"/>
      <c r="AX38" s="67"/>
      <c r="AY38" s="80"/>
      <c r="AZ38" s="80"/>
      <c r="BA38" s="81"/>
      <c r="BC38" s="82">
        <v>0</v>
      </c>
      <c r="BD38" s="82">
        <v>0</v>
      </c>
      <c r="BF38" s="83">
        <v>0</v>
      </c>
      <c r="BG38" s="83">
        <v>0</v>
      </c>
      <c r="BI38" s="84">
        <v>0</v>
      </c>
      <c r="BL38" s="83">
        <v>0</v>
      </c>
    </row>
    <row r="39" spans="1:16375" s="74" customFormat="1" ht="15" customHeight="1" x14ac:dyDescent="0.25">
      <c r="A39" s="57" t="s">
        <v>85</v>
      </c>
      <c r="B39" s="57" t="str">
        <f t="shared" ref="B39:B124" si="36">D39&amp;E39&amp;F39</f>
        <v>MBCLE 300 4MATIC CabrioletAMG</v>
      </c>
      <c r="C39" s="58" t="s">
        <v>37</v>
      </c>
      <c r="D39" s="59" t="s">
        <v>47</v>
      </c>
      <c r="E39" s="60" t="s">
        <v>86</v>
      </c>
      <c r="F39" s="61" t="s">
        <v>49</v>
      </c>
      <c r="G39" s="157"/>
      <c r="H39" s="63">
        <v>9144562</v>
      </c>
      <c r="I39" s="64">
        <f>H39/$H$40*$I$40</f>
        <v>93.319303642392697</v>
      </c>
      <c r="J39" s="65">
        <v>0.04</v>
      </c>
      <c r="K39" s="66">
        <f>(((H39-AO39)/(1+AQ39)/1.2/$AS$1)+AS39)*(1+AQ39)*(1.2)*$AS$1+AO39</f>
        <v>8748229</v>
      </c>
      <c r="L39" s="64">
        <f>K39/$K$40*$L$40</f>
        <v>89.274766619132279</v>
      </c>
      <c r="M39" s="157"/>
      <c r="N39" s="66">
        <f>AN39*1.2*(1+AV39)+AO39</f>
        <v>8398299.8399999999</v>
      </c>
      <c r="O39" s="63">
        <f>AK39*1.2*(1+AV39)+AO39</f>
        <v>8778779.5199999996</v>
      </c>
      <c r="P39" s="64">
        <f>IF(ISNUMBER(O39),O39/$O$40*$P$40,"")</f>
        <v>97.376664670322796</v>
      </c>
      <c r="Q39" s="64">
        <f>IF(ISNUMBER(N39),N39/$N$40*$Q$40,"")</f>
        <v>93.156278211268457</v>
      </c>
      <c r="R39" s="67">
        <f>_xlfn.XLOOKUP(A39,'[1]My Input'!$B:$B,'[1]My Input'!$F:$F)</f>
        <v>0</v>
      </c>
      <c r="S39" s="157"/>
      <c r="T39" s="66">
        <f>IF(X39&lt;&gt;0,AM39*1.2*(1+AW39)+AO39-X39,AN39*1.2*(1+AV39)+AO39)</f>
        <v>8398299.8399999999</v>
      </c>
      <c r="U39" s="63">
        <f>IF(X39&lt;&gt;0,AJ39*1.2*(1+AW39)+AO39-X39,AK39*1.2*(1+AV39)+AO39)</f>
        <v>8778779.5199999996</v>
      </c>
      <c r="V39" s="64">
        <f>IF(ISNUMBER(U39),U39/$U$40*$V$40,"")</f>
        <v>97.376664670322796</v>
      </c>
      <c r="W39" s="64">
        <f>IF(ISNUMBER(T39),T39/$T$40*$W$40,"")</f>
        <v>93.156278211268457</v>
      </c>
      <c r="X39" s="68">
        <f>_xlfn.XLOOKUP(A39,'[1]My Input'!$B:$B,'[1]My Input'!$I:$I)</f>
        <v>0</v>
      </c>
      <c r="Y39" s="157"/>
      <c r="Z39" s="66">
        <f t="shared" ref="Z39:Z124" si="37">IF(AD39&lt;&gt;0,AM39*1.2*(1+AQ39)+AO39-AD39,AL39*(1-AG39)*1.2*(1+AQ39)+AO39)</f>
        <v>8317483.0099999998</v>
      </c>
      <c r="AA39" s="63">
        <f>IF(AD39&lt;&gt;0,AJ39*1.2*(1+AX39)+AO39-AD39,AH39*(1-AG39)*1.2*(1+AV39)+AO39)</f>
        <v>8697962.6899999995</v>
      </c>
      <c r="AB39" s="64">
        <f>IF(ISNUMBER(AA39),AA39/$AA$40*$AB$40,"")</f>
        <v>93.666994828132815</v>
      </c>
      <c r="AC39" s="64">
        <f>IF(ISNUMBER(Z39),Z39/$Z$40*$AC$40,"")</f>
        <v>89.569668880788541</v>
      </c>
      <c r="AD39" s="69">
        <f>_xlfn.XLOOKUP(A39,'[1]My Input'!$B:$B,'[1]My Input'!$N:$N)</f>
        <v>80816.83</v>
      </c>
      <c r="AE39" s="70"/>
      <c r="AF39" s="71">
        <f>_xlfn.XLOOKUP(A39,'[1]My Input'!$B:$B,'[1]My Input'!$E:$E)</f>
        <v>0.04</v>
      </c>
      <c r="AG39" s="72">
        <f>_xlfn.XLOOKUP(A39,'[1]My Input'!$B:$B,'[1]My Input'!$G:$G)</f>
        <v>0.04</v>
      </c>
      <c r="AH39" s="73">
        <f>(H39-AO39)/1.2/(1+AQ39)</f>
        <v>2822395.6790123456</v>
      </c>
      <c r="AJ39" s="73">
        <f>AH39*(1-AF39)</f>
        <v>2709499.8518518517</v>
      </c>
      <c r="AK39" s="75">
        <f>AH39*(1-AF39-R39)</f>
        <v>2709499.8518518517</v>
      </c>
      <c r="AL39" s="76">
        <f>(K39-AO39)/1.2/(1+AQ39)</f>
        <v>2700070.6790123456</v>
      </c>
      <c r="AM39" s="76">
        <f>AL39*(1-AF39)</f>
        <v>2592067.8518518517</v>
      </c>
      <c r="AN39" s="76">
        <f>AL39*(1-AF39-R39)</f>
        <v>2592067.8518518517</v>
      </c>
      <c r="AO39" s="77">
        <f>_xlfn.XLOOKUP(A39,'[1]My Input'!$B:$B,'[1]My Input'!$T:$T)</f>
        <v>0</v>
      </c>
      <c r="AP39" s="78">
        <f>_xlfn.XLOOKUP(A39,'[1]My Input'!$B:$B,'[1]My Input'!$S:$S)</f>
        <v>2000</v>
      </c>
      <c r="AQ39" s="67">
        <f>_xlfn.XLOOKUP(A39,'[1]My Input'!$B:$B,'[1]My Input'!$U:$U)</f>
        <v>1.7</v>
      </c>
      <c r="AS39" s="103">
        <v>-2330</v>
      </c>
      <c r="AU39" s="74" t="s">
        <v>41</v>
      </c>
      <c r="AV39" s="67" cm="1">
        <f t="array" ref="AV39">_xlfn.IFS(
 AND(AY39="ICE",  AP39&lt;=1400,AND(AK39&gt;900000,  AK39&lt;=1100000)),                    80%,
 AND(AY39="ICE",  AP39&lt;=1400,AK39&gt;1100000),                                       90%,
 AND(AY39="ICE",  AND(AP39&gt;1400,AP39&lt;=1600),   AK39&lt;=850000),                      75%,
 AND(AY39="ICE",  AND(AP39&gt;1400,AP39&lt;=1600),   AND(AK39&gt;850000,AK39&lt;=1100000)),     80%,
 AND(AY39="ICE",  AND(AP39&gt;1400,AP39&lt;=1600),   AND(AK39&gt;1100000,AK39&lt;=1650000)),    90%,
 AND(AY39="ICE",  AND(AP39&gt;1400,AP39&lt;=1600),   AK39&gt;1650000),                      100%,
 AND(AY39="ICE",  AND(AP39&gt;1600,AP39&lt;=2000),   AK39&lt;=1650000),                     150%,
 AND(AY39="ICE",  AND(AP39&gt;1600,AP39&lt;=2000),   AK39&gt;1650000),                      170%,
 AND(AY39="ICE",  AP39&gt;2000),                                                    220%,
 AND(AY39="PHEV",  AP39&lt;=1600,                AK39&lt;=1350000),                     45%,
 AND(AY39="PHEV",  AP39&lt;=1600,                AK39&gt;1350000),                      75%,
 AND(AY39="PHEV",  AND(AP39&gt;1600,AP39&lt;=1800),  AK39&lt;=1350000),                     85%,
 AND(AY39="BEV",    AZ39&lt;=160,                 AK39&lt;=1650000),                     25%,
 AND(AY39="BEV",    AZ39&lt;=160,                 AK39&gt;1650000),                      55%,
 AND(AY39="BEV",    AZ39&gt; 160,                 AK39&lt;=1650000),                     65%,
 AND(AY39="BEV",    AZ39&gt; 160,                 AK39&gt;1650000),                      75%)</f>
        <v>1.7</v>
      </c>
      <c r="AW39" s="67" cm="1">
        <f t="array" ref="AW39">_xlfn.IFS(
 X39=0,AV39,
 AND(AY39="ICE",  AP39&lt;=1400,AND((AJ39-BA39)&gt;900000,  (AJ39-BA39)&lt;=1100000)),                    80%,
 AND(AY39="ICE",  AP39&lt;=1400,(AJ39-BA39)&gt;1100000),                                       90%,
 AND(AY39="ICE",  AND(AP39&gt;1400,AP39&lt;=1600),   (AJ39-BA39)&lt;=850000),                      75%,
 AND(AY39="ICE",  AND(AP39&gt;1400,AP39&lt;=1600),   AND((AJ39-BA39)&gt;850000,(AJ39-BA39)&lt;=1100000)),     80%,
 AND(AY39="ICE",  AND(AP39&gt;1400,AP39&lt;=1600),   AND((AJ39-BA39)&gt;1100000,(AJ39-BA39)&lt;=1650000)),    90%,
 AND(AY39="ICE",  AND(AP39&gt;1400,AP39&lt;=1600),   (AJ39-BA39)&gt;1650000),                      100%,
 AND(AY39="ICE",  AND(AP39&gt;1600,AP39&lt;=2000),   (AJ39-BA39)&lt;=1650000),                     150%,
 AND(AY39="ICE",  AND(AP39&gt;1600,AP39&lt;=2000),   (AJ39-BA39)&gt;1650000),                      170%,
 AND(AY39="ICE",  AP39&gt;2000),                                                    220%,
 AND(AY39="PHEV",  AP39&lt;=1600,                (AJ39-BA39)&lt;=1350000),                     45%,
 AND(AY39="PHEV",  AP39&lt;=1600,                (AJ39-BA39)&gt;1350000),                      75%,
 AND(AY39="PHEV",  AND(AP39&gt;1600,AP39&lt;=1800),  (AJ39-BA39)&lt;=1350000),                     85%,
 AND(AY39="BEV",    AZ39&lt;=160,                 (AJ39-BA39)&lt;=1650000),                     25%,
 AND(AY39="BEV",    AZ39&lt;=160,                 (AJ39-BA39)&gt;1650000),                      55%,
 AND(AY39="BEV",    AZ39&gt; 160,                 (AJ39-BA39)&lt;=1650000),                     65%,
 AND(AY39="BEV",    AZ39&gt; 160,                 (AJ39-BA39)&gt;1650000),                      75%)</f>
        <v>1.7</v>
      </c>
      <c r="AX39" s="67" cm="1">
        <f t="array" ref="AX39">_xlfn.IFS(
 AD39=0,AV39,
 AND(AY39="ICE",  AP39&lt;=1400,AND(AJ39&gt;900000,  AJ39&lt;=1100000)),                    80%,
 AND(AY39="ICE",  AP39&lt;=1400,AJ39&gt;1100000),                                       90%,
 AND(AY39="ICE",  AND(AP39&gt;1400,AP39&lt;=1600),   AJ39&lt;=850000),                      75%,
 AND(AY39="ICE",  AND(AP39&gt;1400,AP39&lt;=1600),   AND(AJ39&gt;850000,AJ39&lt;=1100000)),     80%,
 AND(AY39="ICE",  AND(AP39&gt;1400,AP39&lt;=1600),   AND(AJ39&gt;1100000,AJ39&lt;=1650000)),    90%,
 AND(AY39="ICE",  AND(AP39&gt;1400,AP39&lt;=1600),   AJ39&gt;1650000),                      100%,
 AND(AY39="ICE",  AND(AP39&gt;1600,AP39&lt;=2000),   AJ39&lt;=1650000),                     150%,
 AND(AY39="ICE",  AND(AP39&gt;1600,AP39&lt;=2000),   AJ39&gt;1650000),                      170%,
 AND(AY39="ICE",  AP39&gt;2000),                                                    220%,
 AND(AY39="PHEV",  AP39&lt;=1600,                AJ39&lt;=1350000),                     45%,
 AND(AY39="PHEV",  AP39&lt;=1600,                AJ39&gt;1350000),                      75%,
 AND(AY39="PHEV",  AND(AP39&gt;1600,AP39&lt;=1800),  AJ39&lt;=1350000),                     85%,
 AND(AY39="BEV",    AZ39&lt;=160,                 AJ39&lt;=1650000),                     25%,
 AND(AY39="BEV",    AZ39&lt;=160,                 AJ39&gt;1650000),                      55%,
 AND(AY39="BEV",    AZ39&gt; 160,                 AJ39&lt;=1650000),                     65%,
 AND(AY39="BEV",    AZ39&gt; 160,                 AJ39&gt;1650000),                      75%)</f>
        <v>1.7</v>
      </c>
      <c r="AY39" s="80" t="str">
        <f>_xlfn.XLOOKUP(A39,'[1]My Input'!$B:$B,'[1]My Input'!$V:$V)</f>
        <v>ICE</v>
      </c>
      <c r="AZ39" s="80" t="str">
        <f>_xlfn.IFNA(_xlfn.XLOOKUP(A39,'[1]kW Tescil'!$A:$A,'[1]kW Tescil'!$C:$C),"-")</f>
        <v>-</v>
      </c>
      <c r="BA39" s="81">
        <f>_xlfn.XLOOKUP(A39,'[1]My Input'!$B:$B,'[1]My Input'!$H:$H)</f>
        <v>0</v>
      </c>
      <c r="BC39" s="82">
        <v>2.8948291091055722</v>
      </c>
      <c r="BD39" s="82">
        <v>2.9992441785624919</v>
      </c>
      <c r="BF39" s="83">
        <v>7.0322189020350123</v>
      </c>
      <c r="BG39" s="83">
        <v>6.9583600815604569</v>
      </c>
      <c r="BI39" s="84">
        <v>1253167.6296000015</v>
      </c>
      <c r="BL39" s="83">
        <v>6.3501342221864121</v>
      </c>
    </row>
    <row r="40" spans="1:16375" s="74" customFormat="1" ht="15" customHeight="1" thickBot="1" x14ac:dyDescent="0.3">
      <c r="A40" s="57" t="s">
        <v>87</v>
      </c>
      <c r="B40" s="57" t="str">
        <f t="shared" si="36"/>
        <v>BMW430i xDrive CabrioM Sport</v>
      </c>
      <c r="C40" s="58" t="s">
        <v>37</v>
      </c>
      <c r="D40" s="94" t="s">
        <v>44</v>
      </c>
      <c r="E40" s="95" t="s">
        <v>88</v>
      </c>
      <c r="F40" s="96" t="s">
        <v>53</v>
      </c>
      <c r="G40" s="101"/>
      <c r="H40" s="98">
        <v>9799218</v>
      </c>
      <c r="I40" s="99">
        <v>100</v>
      </c>
      <c r="J40" s="65">
        <v>0.08</v>
      </c>
      <c r="K40" s="100">
        <f>(((H40-AO40)/(1+AQ40)/1.2/$AS$1)+AS40)*(1+AQ40)*(1.2)*$AS$1+AO40</f>
        <v>9799217.9999999981</v>
      </c>
      <c r="L40" s="99">
        <v>100</v>
      </c>
      <c r="M40" s="101"/>
      <c r="N40" s="100">
        <f>AN40*1.2*(1+AV40)+AO40</f>
        <v>9015280.5599999987</v>
      </c>
      <c r="O40" s="98">
        <f>AK40*1.2*(1+AV40)+AO40</f>
        <v>9015280.5600000005</v>
      </c>
      <c r="P40" s="99">
        <v>100</v>
      </c>
      <c r="Q40" s="99">
        <v>100</v>
      </c>
      <c r="R40" s="67">
        <f>_xlfn.XLOOKUP(A40,'[1]My Input'!$B:$B,'[1]My Input'!$F:$F)</f>
        <v>0.05</v>
      </c>
      <c r="S40" s="101"/>
      <c r="T40" s="100">
        <f>IF(X40&lt;&gt;0,AM40*1.2*(1+AW40)+AO40-X40,AN40*1.2*(1+AV40)+AO40)</f>
        <v>9015280.5599999987</v>
      </c>
      <c r="U40" s="98">
        <f>IF(X40&lt;&gt;0,AJ40*1.2*(1+AW40)+AO40-X40,AK40*1.2*(1+AV40)+AO40)</f>
        <v>9015280.5600000005</v>
      </c>
      <c r="V40" s="99">
        <v>100</v>
      </c>
      <c r="W40" s="99">
        <v>100</v>
      </c>
      <c r="X40" s="102">
        <f>_xlfn.XLOOKUP(A40,'[1]My Input'!$B:$B,'[1]My Input'!$I:$I)</f>
        <v>0</v>
      </c>
      <c r="Y40" s="101"/>
      <c r="Z40" s="100">
        <f t="shared" si="37"/>
        <v>9286048.629999999</v>
      </c>
      <c r="AA40" s="98">
        <f>IF(AD40&lt;&gt;0,AJ40*1.2*(1+AX40)+AO40-AD40,AH40*(1-AG40)*1.2*(1+AV40)+AO40)</f>
        <v>9286048.6300000008</v>
      </c>
      <c r="AB40" s="99">
        <v>100</v>
      </c>
      <c r="AC40" s="99">
        <v>100</v>
      </c>
      <c r="AD40" s="98">
        <f>_xlfn.XLOOKUP(A40,'[1]My Input'!$B:$B,'[1]My Input'!$N:$N)</f>
        <v>219192.83</v>
      </c>
      <c r="AE40" s="70"/>
      <c r="AF40" s="71">
        <f>_xlfn.XLOOKUP(A40,'[1]My Input'!$B:$B,'[1]My Input'!$E:$E)</f>
        <v>0.03</v>
      </c>
      <c r="AG40" s="72">
        <f>_xlfn.XLOOKUP(A40,'[1]My Input'!$B:$B,'[1]My Input'!$G:$G)</f>
        <v>0.08</v>
      </c>
      <c r="AH40" s="73">
        <f>(H40-AO40)/1.2/(1+AQ40)</f>
        <v>3024450</v>
      </c>
      <c r="AJ40" s="73">
        <f>AH40*(1-AF40)</f>
        <v>2933716.5</v>
      </c>
      <c r="AK40" s="75">
        <f>AH40*(1-AF40-R40)</f>
        <v>2782494</v>
      </c>
      <c r="AL40" s="76">
        <f>(K40-AO40)/1.2/(1+AQ40)</f>
        <v>3024449.9999999995</v>
      </c>
      <c r="AM40" s="76">
        <f>AL40*(1-AF40)</f>
        <v>2933716.4999999995</v>
      </c>
      <c r="AN40" s="76">
        <f>AL40*(1-AF40-R40)</f>
        <v>2782493.9999999995</v>
      </c>
      <c r="AO40" s="77">
        <f>_xlfn.XLOOKUP(A40,'[1]My Input'!$B:$B,'[1]My Input'!$T:$T)</f>
        <v>0</v>
      </c>
      <c r="AP40" s="78">
        <f>_xlfn.XLOOKUP(A40,'[1]My Input'!$B:$B,'[1]My Input'!$S:$S)</f>
        <v>2000</v>
      </c>
      <c r="AQ40" s="67">
        <f>_xlfn.XLOOKUP(A40,'[1]My Input'!$B:$B,'[1]My Input'!$U:$U)</f>
        <v>1.7</v>
      </c>
      <c r="AS40" s="103">
        <f>_xlfn.XLOOKUP(A40,'[1]My Input'!$B:$B,'[1]My Input'!$Q:$Q)</f>
        <v>0</v>
      </c>
      <c r="AU40" s="74" t="s">
        <v>41</v>
      </c>
      <c r="AV40" s="67" cm="1">
        <f t="array" ref="AV40">_xlfn.IFS(
 AND(AY40="ICE",  AP40&lt;=1400,AND(AK40&gt;900000,  AK40&lt;=1100000)),                    80%,
 AND(AY40="ICE",  AP40&lt;=1400,AK40&gt;1100000),                                       90%,
 AND(AY40="ICE",  AND(AP40&gt;1400,AP40&lt;=1600),   AK40&lt;=850000),                      75%,
 AND(AY40="ICE",  AND(AP40&gt;1400,AP40&lt;=1600),   AND(AK40&gt;850000,AK40&lt;=1100000)),     80%,
 AND(AY40="ICE",  AND(AP40&gt;1400,AP40&lt;=1600),   AND(AK40&gt;1100000,AK40&lt;=1650000)),    90%,
 AND(AY40="ICE",  AND(AP40&gt;1400,AP40&lt;=1600),   AK40&gt;1650000),                      100%,
 AND(AY40="ICE",  AND(AP40&gt;1600,AP40&lt;=2000),   AK40&lt;=1650000),                     150%,
 AND(AY40="ICE",  AND(AP40&gt;1600,AP40&lt;=2000),   AK40&gt;1650000),                      170%,
 AND(AY40="ICE",  AP40&gt;2000),                                                    220%,
 AND(AY40="PHEV",  AP40&lt;=1600,                AK40&lt;=1350000),                     45%,
 AND(AY40="PHEV",  AP40&lt;=1600,                AK40&gt;1350000),                      75%,
 AND(AY40="PHEV",  AND(AP40&gt;1600,AP40&lt;=1800),  AK40&lt;=1350000),                     85%,
 AND(AY40="BEV",    AZ40&lt;=160,                 AK40&lt;=1650000),                     25%,
 AND(AY40="BEV",    AZ40&lt;=160,                 AK40&gt;1650000),                      55%,
 AND(AY40="BEV",    AZ40&gt; 160,                 AK40&lt;=1650000),                     65%,
 AND(AY40="BEV",    AZ40&gt; 160,                 AK40&gt;1650000),                      75%)</f>
        <v>1.7</v>
      </c>
      <c r="AW40" s="67" cm="1">
        <f t="array" ref="AW40">_xlfn.IFS(
 X40=0,AV40,
 AND(AY40="ICE",  AP40&lt;=1400,AND((AJ40-BA40)&gt;900000,  (AJ40-BA40)&lt;=1100000)),                    80%,
 AND(AY40="ICE",  AP40&lt;=1400,(AJ40-BA40)&gt;1100000),                                       90%,
 AND(AY40="ICE",  AND(AP40&gt;1400,AP40&lt;=1600),   (AJ40-BA40)&lt;=850000),                      75%,
 AND(AY40="ICE",  AND(AP40&gt;1400,AP40&lt;=1600),   AND((AJ40-BA40)&gt;850000,(AJ40-BA40)&lt;=1100000)),     80%,
 AND(AY40="ICE",  AND(AP40&gt;1400,AP40&lt;=1600),   AND((AJ40-BA40)&gt;1100000,(AJ40-BA40)&lt;=1650000)),    90%,
 AND(AY40="ICE",  AND(AP40&gt;1400,AP40&lt;=1600),   (AJ40-BA40)&gt;1650000),                      100%,
 AND(AY40="ICE",  AND(AP40&gt;1600,AP40&lt;=2000),   (AJ40-BA40)&lt;=1650000),                     150%,
 AND(AY40="ICE",  AND(AP40&gt;1600,AP40&lt;=2000),   (AJ40-BA40)&gt;1650000),                      170%,
 AND(AY40="ICE",  AP40&gt;2000),                                                    220%,
 AND(AY40="PHEV",  AP40&lt;=1600,                (AJ40-BA40)&lt;=1350000),                     45%,
 AND(AY40="PHEV",  AP40&lt;=1600,                (AJ40-BA40)&gt;1350000),                      75%,
 AND(AY40="PHEV",  AND(AP40&gt;1600,AP40&lt;=1800),  (AJ40-BA40)&lt;=1350000),                     85%,
 AND(AY40="BEV",    AZ40&lt;=160,                 (AJ40-BA40)&lt;=1650000),                     25%,
 AND(AY40="BEV",    AZ40&lt;=160,                 (AJ40-BA40)&gt;1650000),                      55%,
 AND(AY40="BEV",    AZ40&gt; 160,                 (AJ40-BA40)&lt;=1650000),                     65%,
 AND(AY40="BEV",    AZ40&gt; 160,                 (AJ40-BA40)&gt;1650000),                      75%)</f>
        <v>1.7</v>
      </c>
      <c r="AX40" s="67" cm="1">
        <f t="array" ref="AX40">_xlfn.IFS(
 AD40=0,AV40,
 AND(AY40="ICE",  AP40&lt;=1400,AND(AJ40&gt;900000,  AJ40&lt;=1100000)),                    80%,
 AND(AY40="ICE",  AP40&lt;=1400,AJ40&gt;1100000),                                       90%,
 AND(AY40="ICE",  AND(AP40&gt;1400,AP40&lt;=1600),   AJ40&lt;=850000),                      75%,
 AND(AY40="ICE",  AND(AP40&gt;1400,AP40&lt;=1600),   AND(AJ40&gt;850000,AJ40&lt;=1100000)),     80%,
 AND(AY40="ICE",  AND(AP40&gt;1400,AP40&lt;=1600),   AND(AJ40&gt;1100000,AJ40&lt;=1650000)),    90%,
 AND(AY40="ICE",  AND(AP40&gt;1400,AP40&lt;=1600),   AJ40&gt;1650000),                      100%,
 AND(AY40="ICE",  AND(AP40&gt;1600,AP40&lt;=2000),   AJ40&lt;=1650000),                     150%,
 AND(AY40="ICE",  AND(AP40&gt;1600,AP40&lt;=2000),   AJ40&gt;1650000),                      170%,
 AND(AY40="ICE",  AP40&gt;2000),                                                    220%,
 AND(AY40="PHEV",  AP40&lt;=1600,                AJ40&lt;=1350000),                     45%,
 AND(AY40="PHEV",  AP40&lt;=1600,                AJ40&gt;1350000),                      75%,
 AND(AY40="PHEV",  AND(AP40&gt;1600,AP40&lt;=1800),  AJ40&lt;=1350000),                     85%,
 AND(AY40="BEV",    AZ40&lt;=160,                 AJ40&lt;=1650000),                     25%,
 AND(AY40="BEV",    AZ40&lt;=160,                 AJ40&gt;1650000),                      55%,
 AND(AY40="BEV",    AZ40&gt; 160,                 AJ40&lt;=1650000),                     65%,
 AND(AY40="BEV",    AZ40&gt; 160,                 AJ40&gt;1650000),                      75%)</f>
        <v>1.7</v>
      </c>
      <c r="AY40" s="80" t="str">
        <f>_xlfn.XLOOKUP(A40,'[1]My Input'!$B:$B,'[1]My Input'!$V:$V)</f>
        <v>ICE</v>
      </c>
      <c r="AZ40" s="80" t="str">
        <f>_xlfn.IFNA(_xlfn.XLOOKUP(A40,'[1]kW Tescil'!$A:$A,'[1]kW Tescil'!$C:$C),"-")</f>
        <v>-</v>
      </c>
      <c r="BA40" s="81">
        <f>_xlfn.XLOOKUP(A40,'[1]My Input'!$B:$B,'[1]My Input'!$H:$H)</f>
        <v>0</v>
      </c>
      <c r="BC40" s="82">
        <v>0</v>
      </c>
      <c r="BD40" s="82">
        <v>0</v>
      </c>
      <c r="BF40" s="83">
        <v>0</v>
      </c>
      <c r="BG40" s="83">
        <v>0</v>
      </c>
      <c r="BI40" s="84">
        <v>923895.16696966253</v>
      </c>
      <c r="BL40" s="83">
        <v>0</v>
      </c>
    </row>
    <row r="41" spans="1:16375" s="74" customFormat="1" ht="6.6" customHeight="1" thickBot="1" x14ac:dyDescent="0.3">
      <c r="A41" s="57"/>
      <c r="B41" s="57"/>
      <c r="C41" s="195"/>
      <c r="D41" s="195"/>
      <c r="E41" s="87"/>
      <c r="F41" s="87"/>
      <c r="G41" s="65"/>
      <c r="H41" s="190"/>
      <c r="I41" s="189"/>
      <c r="J41" s="65"/>
      <c r="K41" s="190"/>
      <c r="L41" s="189"/>
      <c r="M41" s="65"/>
      <c r="N41" s="190"/>
      <c r="O41" s="190"/>
      <c r="P41" s="189"/>
      <c r="Q41" s="189"/>
      <c r="R41" s="196"/>
      <c r="S41" s="65"/>
      <c r="T41" s="190"/>
      <c r="U41" s="190"/>
      <c r="V41" s="189"/>
      <c r="W41" s="189"/>
      <c r="X41" s="191"/>
      <c r="Y41" s="65"/>
      <c r="Z41" s="190"/>
      <c r="AA41" s="190"/>
      <c r="AB41" s="189"/>
      <c r="AC41" s="189"/>
      <c r="AD41" s="190"/>
      <c r="AE41" s="70"/>
      <c r="AF41" s="115"/>
      <c r="AG41" s="19"/>
      <c r="AH41" s="197"/>
      <c r="AJ41" s="197"/>
      <c r="AK41" s="198"/>
      <c r="AL41" s="199"/>
      <c r="AM41" s="76"/>
      <c r="AN41" s="199"/>
      <c r="AO41" s="200"/>
      <c r="AP41" s="78"/>
      <c r="AQ41" s="67"/>
      <c r="AS41" s="201"/>
      <c r="AV41" s="67" t="e" cm="1">
        <f t="array" ref="AV41">_xlfn.IFS(
 AND(AY41="ICE",  AP41&lt;=1400,AND(AK41&gt;900000,  AK41&lt;=1100000)),                    80%,
 AND(AY41="ICE",  AP41&lt;=1400,AK41&gt;1100000),                                       90%,
 AND(AY41="ICE",  AND(AP41&gt;1400,AP41&lt;=1600),   AK41&lt;=850000),                      75%,
 AND(AY41="ICE",  AND(AP41&gt;1400,AP41&lt;=1600),   AND(AK41&gt;850000,AK41&lt;=1100000)),     80%,
 AND(AY41="ICE",  AND(AP41&gt;1400,AP41&lt;=1600),   AND(AK41&gt;1100000,AK41&lt;=1650000)),    90%,
 AND(AY41="ICE",  AND(AP41&gt;1400,AP41&lt;=1600),   AK41&gt;1650000),                      100%,
 AND(AY41="ICE",  AND(AP41&gt;1600,AP41&lt;=2000),   AK41&lt;=1650000),                     150%,
 AND(AY41="ICE",  AND(AP41&gt;1600,AP41&lt;=2000),   AK41&gt;1650000),                      170%,
 AND(AY41="ICE",  AP41&gt;2000),                                                    220%,
 AND(AY41="PHEV",  AP41&lt;=1600,                AK41&lt;=1350000),                     45%,
 AND(AY41="PHEV",  AP41&lt;=1600,                AK41&gt;1350000),                      75%,
 AND(AY41="PHEV",  AND(AP41&gt;1600,AP41&lt;=1800),  AK41&lt;=1350000),                     85%,
 AND(AY41="BEV",    AZ41&lt;=160,                 AK41&lt;=1650000),                     25%,
 AND(AY41="BEV",    AZ41&lt;=160,                 AK41&gt;1650000),                      55%,
 AND(AY41="BEV",    AZ41&gt; 160,                 AK41&lt;=1650000),                     65%,
 AND(AY41="BEV",    AZ41&gt; 160,                 AK41&gt;1650000),                      75%)</f>
        <v>#N/A</v>
      </c>
      <c r="AW41" s="67" t="e" cm="1">
        <f t="array" ref="AW41">_xlfn.IFS(
 X41=0,AV41,
 AND(AY41="ICE",  AP41&lt;=1400,AND((AJ41-BA41)&gt;900000,  (AJ41-BA41)&lt;=1100000)),                    80%,
 AND(AY41="ICE",  AP41&lt;=1400,(AJ41-BA41)&gt;1100000),                                       90%,
 AND(AY41="ICE",  AND(AP41&gt;1400,AP41&lt;=1600),   (AJ41-BA41)&lt;=850000),                      75%,
 AND(AY41="ICE",  AND(AP41&gt;1400,AP41&lt;=1600),   AND((AJ41-BA41)&gt;850000,(AJ41-BA41)&lt;=1100000)),     80%,
 AND(AY41="ICE",  AND(AP41&gt;1400,AP41&lt;=1600),   AND((AJ41-BA41)&gt;1100000,(AJ41-BA41)&lt;=1650000)),    90%,
 AND(AY41="ICE",  AND(AP41&gt;1400,AP41&lt;=1600),   (AJ41-BA41)&gt;1650000),                      100%,
 AND(AY41="ICE",  AND(AP41&gt;1600,AP41&lt;=2000),   (AJ41-BA41)&lt;=1650000),                     150%,
 AND(AY41="ICE",  AND(AP41&gt;1600,AP41&lt;=2000),   (AJ41-BA41)&gt;1650000),                      170%,
 AND(AY41="ICE",  AP41&gt;2000),                                                    220%,
 AND(AY41="PHEV",  AP41&lt;=1600,                (AJ41-BA41)&lt;=1350000),                     45%,
 AND(AY41="PHEV",  AP41&lt;=1600,                (AJ41-BA41)&gt;1350000),                      75%,
 AND(AY41="PHEV",  AND(AP41&gt;1600,AP41&lt;=1800),  (AJ41-BA41)&lt;=1350000),                     85%,
 AND(AY41="BEV",    AZ41&lt;=160,                 (AJ41-BA41)&lt;=1650000),                     25%,
 AND(AY41="BEV",    AZ41&lt;=160,                 (AJ41-BA41)&gt;1650000),                      55%,
 AND(AY41="BEV",    AZ41&gt; 160,                 (AJ41-BA41)&lt;=1650000),                     65%,
 AND(AY41="BEV",    AZ41&gt; 160,                 (AJ41-BA41)&gt;1650000),                      75%)</f>
        <v>#N/A</v>
      </c>
      <c r="AX41" s="67" t="e" cm="1">
        <f t="array" ref="AX41">_xlfn.IFS(
 AD41=0,AV41,
 AND(AY41="ICE",  AP41&lt;=1400,AND(AJ41&gt;900000,  AJ41&lt;=1100000)),                    80%,
 AND(AY41="ICE",  AP41&lt;=1400,AJ41&gt;1100000),                                       90%,
 AND(AY41="ICE",  AND(AP41&gt;1400,AP41&lt;=1600),   AJ41&lt;=850000),                      75%,
 AND(AY41="ICE",  AND(AP41&gt;1400,AP41&lt;=1600),   AND(AJ41&gt;850000,AJ41&lt;=1100000)),     80%,
 AND(AY41="ICE",  AND(AP41&gt;1400,AP41&lt;=1600),   AND(AJ41&gt;1100000,AJ41&lt;=1650000)),    90%,
 AND(AY41="ICE",  AND(AP41&gt;1400,AP41&lt;=1600),   AJ41&gt;1650000),                      100%,
 AND(AY41="ICE",  AND(AP41&gt;1600,AP41&lt;=2000),   AJ41&lt;=1650000),                     150%,
 AND(AY41="ICE",  AND(AP41&gt;1600,AP41&lt;=2000),   AJ41&gt;1650000),                      170%,
 AND(AY41="ICE",  AP41&gt;2000),                                                    220%,
 AND(AY41="PHEV",  AP41&lt;=1600,                AJ41&lt;=1350000),                     45%,
 AND(AY41="PHEV",  AP41&lt;=1600,                AJ41&gt;1350000),                      75%,
 AND(AY41="PHEV",  AND(AP41&gt;1600,AP41&lt;=1800),  AJ41&lt;=1350000),                     85%,
 AND(AY41="BEV",    AZ41&lt;=160,                 AJ41&lt;=1650000),                     25%,
 AND(AY41="BEV",    AZ41&lt;=160,                 AJ41&gt;1650000),                      55%,
 AND(AY41="BEV",    AZ41&gt; 160,                 AJ41&lt;=1650000),                     65%,
 AND(AY41="BEV",    AZ41&gt; 160,                 AJ41&gt;1650000),                      75%)</f>
        <v>#N/A</v>
      </c>
      <c r="AY41" s="80" t="e">
        <f>_xlfn.XLOOKUP(A41,'[1]My Input'!$B:$B,'[1]My Input'!$V:$V)</f>
        <v>#N/A</v>
      </c>
      <c r="AZ41" s="80">
        <f>_xlfn.IFNA(_xlfn.XLOOKUP(A41,'[1]kW Tescil'!$A:$A,'[1]kW Tescil'!$C:$C),"-")</f>
        <v>0</v>
      </c>
      <c r="BA41" s="81" t="e">
        <f>_xlfn.XLOOKUP(A41,'[1]My Input'!$B:$B,'[1]My Input'!$H:$H)</f>
        <v>#N/A</v>
      </c>
      <c r="BC41" s="82">
        <v>0</v>
      </c>
      <c r="BD41" s="82">
        <v>0</v>
      </c>
      <c r="BF41" s="83">
        <v>0</v>
      </c>
      <c r="BG41" s="83">
        <v>0</v>
      </c>
      <c r="BI41" s="84" t="e">
        <v>#N/A</v>
      </c>
      <c r="BL41" s="83">
        <v>0</v>
      </c>
    </row>
    <row r="42" spans="1:16375" s="74" customFormat="1" ht="6.6" hidden="1" customHeight="1" x14ac:dyDescent="0.25">
      <c r="A42">
        <f t="shared" ref="A42:I43" si="38">A41*1.6*1.2</f>
        <v>0</v>
      </c>
      <c r="B42">
        <f t="shared" si="38"/>
        <v>0</v>
      </c>
      <c r="C42">
        <f t="shared" si="38"/>
        <v>0</v>
      </c>
      <c r="D42">
        <f t="shared" si="38"/>
        <v>0</v>
      </c>
      <c r="E42">
        <f t="shared" si="38"/>
        <v>0</v>
      </c>
      <c r="F42">
        <f t="shared" si="38"/>
        <v>0</v>
      </c>
      <c r="G42">
        <f t="shared" si="38"/>
        <v>0</v>
      </c>
      <c r="H42">
        <f t="shared" si="38"/>
        <v>0</v>
      </c>
      <c r="I42">
        <f t="shared" si="38"/>
        <v>0</v>
      </c>
      <c r="J42">
        <v>0</v>
      </c>
      <c r="K42">
        <f t="shared" ref="K42:AU43" si="39">K41*1.6*1.2</f>
        <v>0</v>
      </c>
      <c r="L42">
        <f t="shared" si="39"/>
        <v>0</v>
      </c>
      <c r="M42">
        <f t="shared" si="39"/>
        <v>0</v>
      </c>
      <c r="N42">
        <f t="shared" si="39"/>
        <v>0</v>
      </c>
      <c r="O42">
        <f t="shared" si="39"/>
        <v>0</v>
      </c>
      <c r="P42">
        <f t="shared" si="39"/>
        <v>0</v>
      </c>
      <c r="Q42">
        <f t="shared" si="39"/>
        <v>0</v>
      </c>
      <c r="R42">
        <f t="shared" si="39"/>
        <v>0</v>
      </c>
      <c r="S42">
        <f t="shared" si="39"/>
        <v>0</v>
      </c>
      <c r="T42">
        <f t="shared" si="39"/>
        <v>0</v>
      </c>
      <c r="U42">
        <f t="shared" si="39"/>
        <v>0</v>
      </c>
      <c r="V42">
        <f t="shared" si="39"/>
        <v>0</v>
      </c>
      <c r="W42">
        <f t="shared" si="39"/>
        <v>0</v>
      </c>
      <c r="X42">
        <f t="shared" si="39"/>
        <v>0</v>
      </c>
      <c r="Y42">
        <f t="shared" si="39"/>
        <v>0</v>
      </c>
      <c r="Z42">
        <f t="shared" si="39"/>
        <v>0</v>
      </c>
      <c r="AA42" t="e">
        <f>IF(AD42&lt;&gt;0,AJ42*1.2*(1+AX42)+AO42-AD42,AH42*(1-AG42)*1.2*(1+AV42)+AO42)</f>
        <v>#N/A</v>
      </c>
      <c r="AB42">
        <f t="shared" si="39"/>
        <v>0</v>
      </c>
      <c r="AC42">
        <f t="shared" si="39"/>
        <v>0</v>
      </c>
      <c r="AD42">
        <f t="shared" si="39"/>
        <v>0</v>
      </c>
      <c r="AE42" s="202">
        <f t="shared" si="39"/>
        <v>0</v>
      </c>
      <c r="AF42" s="203">
        <f t="shared" si="39"/>
        <v>0</v>
      </c>
      <c r="AG42">
        <f t="shared" si="39"/>
        <v>0</v>
      </c>
      <c r="AH42">
        <f t="shared" si="39"/>
        <v>0</v>
      </c>
      <c r="AI42">
        <f t="shared" si="39"/>
        <v>0</v>
      </c>
      <c r="AJ42">
        <f t="shared" si="39"/>
        <v>0</v>
      </c>
      <c r="AK42" s="204">
        <f t="shared" si="39"/>
        <v>0</v>
      </c>
      <c r="AL42">
        <f t="shared" si="39"/>
        <v>0</v>
      </c>
      <c r="AM42">
        <f t="shared" si="39"/>
        <v>0</v>
      </c>
      <c r="AN42">
        <f t="shared" si="39"/>
        <v>0</v>
      </c>
      <c r="AO42">
        <f t="shared" si="39"/>
        <v>0</v>
      </c>
      <c r="AP42" s="204">
        <f t="shared" si="39"/>
        <v>0</v>
      </c>
      <c r="AQ42">
        <f t="shared" si="39"/>
        <v>0</v>
      </c>
      <c r="AR42">
        <f t="shared" si="39"/>
        <v>0</v>
      </c>
      <c r="AS42">
        <f t="shared" si="39"/>
        <v>0</v>
      </c>
      <c r="AT42">
        <f t="shared" si="39"/>
        <v>0</v>
      </c>
      <c r="AU42">
        <f t="shared" si="39"/>
        <v>0</v>
      </c>
      <c r="AV42" s="67" t="e" cm="1">
        <f t="array" ref="AV42">_xlfn.IFS(
 AND(AY42="ICE",  AP42&lt;=1400,AND(AK42&gt;900000,  AK42&lt;=1100000)),                    80%,
 AND(AY42="ICE",  AP42&lt;=1400,AK42&gt;1100000),                                       90%,
 AND(AY42="ICE",  AND(AP42&gt;1400,AP42&lt;=1600),   AK42&lt;=850000),                      75%,
 AND(AY42="ICE",  AND(AP42&gt;1400,AP42&lt;=1600),   AND(AK42&gt;850000,AK42&lt;=1100000)),     80%,
 AND(AY42="ICE",  AND(AP42&gt;1400,AP42&lt;=1600),   AND(AK42&gt;1100000,AK42&lt;=1650000)),    90%,
 AND(AY42="ICE",  AND(AP42&gt;1400,AP42&lt;=1600),   AK42&gt;1650000),                      100%,
 AND(AY42="ICE",  AND(AP42&gt;1600,AP42&lt;=2000),   AK42&lt;=1650000),                     150%,
 AND(AY42="ICE",  AND(AP42&gt;1600,AP42&lt;=2000),   AK42&gt;1650000),                      170%,
 AND(AY42="ICE",  AP42&gt;2000),                                                    220%,
 AND(AY42="PHEV",  AP42&lt;=1600,                AK42&lt;=1350000),                     45%,
 AND(AY42="PHEV",  AP42&lt;=1600,                AK42&gt;1350000),                      75%,
 AND(AY42="PHEV",  AND(AP42&gt;1600,AP42&lt;=1800),  AK42&lt;=1350000),                     85%,
 AND(AY42="BEV",    AZ42&lt;=160,                 AK42&lt;=1650000),                     25%,
 AND(AY42="BEV",    AZ42&lt;=160,                 AK42&gt;1650000),                      55%,
 AND(AY42="BEV",    AZ42&gt; 160,                 AK42&lt;=1650000),                     65%,
 AND(AY42="BEV",    AZ42&gt; 160,                 AK42&gt;1650000),                      75%)</f>
        <v>#N/A</v>
      </c>
      <c r="AW42" s="67" t="e" cm="1">
        <f t="array" ref="AW42">_xlfn.IFS(
 X42=0,AV42,
 AND(AY42="ICE",  AP42&lt;=1400,AND((AJ42-BA42)&gt;900000,  (AJ42-BA42)&lt;=1100000)),                    80%,
 AND(AY42="ICE",  AP42&lt;=1400,(AJ42-BA42)&gt;1100000),                                       90%,
 AND(AY42="ICE",  AND(AP42&gt;1400,AP42&lt;=1600),   (AJ42-BA42)&lt;=850000),                      75%,
 AND(AY42="ICE",  AND(AP42&gt;1400,AP42&lt;=1600),   AND((AJ42-BA42)&gt;850000,(AJ42-BA42)&lt;=1100000)),     80%,
 AND(AY42="ICE",  AND(AP42&gt;1400,AP42&lt;=1600),   AND((AJ42-BA42)&gt;1100000,(AJ42-BA42)&lt;=1650000)),    90%,
 AND(AY42="ICE",  AND(AP42&gt;1400,AP42&lt;=1600),   (AJ42-BA42)&gt;1650000),                      100%,
 AND(AY42="ICE",  AND(AP42&gt;1600,AP42&lt;=2000),   (AJ42-BA42)&lt;=1650000),                     150%,
 AND(AY42="ICE",  AND(AP42&gt;1600,AP42&lt;=2000),   (AJ42-BA42)&gt;1650000),                      170%,
 AND(AY42="ICE",  AP42&gt;2000),                                                    220%,
 AND(AY42="PHEV",  AP42&lt;=1600,                (AJ42-BA42)&lt;=1350000),                     45%,
 AND(AY42="PHEV",  AP42&lt;=1600,                (AJ42-BA42)&gt;1350000),                      75%,
 AND(AY42="PHEV",  AND(AP42&gt;1600,AP42&lt;=1800),  (AJ42-BA42)&lt;=1350000),                     85%,
 AND(AY42="BEV",    AZ42&lt;=160,                 (AJ42-BA42)&lt;=1650000),                     25%,
 AND(AY42="BEV",    AZ42&lt;=160,                 (AJ42-BA42)&gt;1650000),                      55%,
 AND(AY42="BEV",    AZ42&gt; 160,                 (AJ42-BA42)&lt;=1650000),                     65%,
 AND(AY42="BEV",    AZ42&gt; 160,                 (AJ42-BA42)&gt;1650000),                      75%)</f>
        <v>#N/A</v>
      </c>
      <c r="AX42" s="67" t="e" cm="1">
        <f t="array" ref="AX42">_xlfn.IFS(
 AD42=0,AV42,
 AND(AY42="ICE",  AP42&lt;=1400,AND(AJ42&gt;900000,  AJ42&lt;=1100000)),                    80%,
 AND(AY42="ICE",  AP42&lt;=1400,AJ42&gt;1100000),                                       90%,
 AND(AY42="ICE",  AND(AP42&gt;1400,AP42&lt;=1600),   AJ42&lt;=850000),                      75%,
 AND(AY42="ICE",  AND(AP42&gt;1400,AP42&lt;=1600),   AND(AJ42&gt;850000,AJ42&lt;=1100000)),     80%,
 AND(AY42="ICE",  AND(AP42&gt;1400,AP42&lt;=1600),   AND(AJ42&gt;1100000,AJ42&lt;=1650000)),    90%,
 AND(AY42="ICE",  AND(AP42&gt;1400,AP42&lt;=1600),   AJ42&gt;1650000),                      100%,
 AND(AY42="ICE",  AND(AP42&gt;1600,AP42&lt;=2000),   AJ42&lt;=1650000),                     150%,
 AND(AY42="ICE",  AND(AP42&gt;1600,AP42&lt;=2000),   AJ42&gt;1650000),                      170%,
 AND(AY42="ICE",  AP42&gt;2000),                                                    220%,
 AND(AY42="PHEV",  AP42&lt;=1600,                AJ42&lt;=1350000),                     45%,
 AND(AY42="PHEV",  AP42&lt;=1600,                AJ42&gt;1350000),                      75%,
 AND(AY42="PHEV",  AND(AP42&gt;1600,AP42&lt;=1800),  AJ42&lt;=1350000),                     85%,
 AND(AY42="BEV",    AZ42&lt;=160,                 AJ42&lt;=1650000),                     25%,
 AND(AY42="BEV",    AZ42&lt;=160,                 AJ42&gt;1650000),                      55%,
 AND(AY42="BEV",    AZ42&gt; 160,                 AJ42&lt;=1650000),                     65%,
 AND(AY42="BEV",    AZ42&gt; 160,                 AJ42&gt;1650000),                      75%)</f>
        <v>#N/A</v>
      </c>
      <c r="AY42" s="80" t="e">
        <f>_xlfn.XLOOKUP(A42,'[1]My Input'!$B:$B,'[1]My Input'!$V:$V)</f>
        <v>#N/A</v>
      </c>
      <c r="AZ42" s="80" t="str">
        <f>_xlfn.IFNA(_xlfn.XLOOKUP(A42,'[1]kW Tescil'!$A:$A,'[1]kW Tescil'!$C:$C),"-")</f>
        <v>-</v>
      </c>
      <c r="BA42" s="81" t="e">
        <f>_xlfn.XLOOKUP(A42,'[1]My Input'!$B:$B,'[1]My Input'!$H:$H)</f>
        <v>#N/A</v>
      </c>
      <c r="BB42">
        <f t="shared" ref="BB42:BH43" si="40">BB41*1.6*1.2</f>
        <v>0</v>
      </c>
      <c r="BC42" s="82">
        <v>0</v>
      </c>
      <c r="BD42" s="82">
        <v>0</v>
      </c>
      <c r="BE42">
        <f t="shared" si="40"/>
        <v>0</v>
      </c>
      <c r="BF42" s="83">
        <v>0</v>
      </c>
      <c r="BG42" s="83">
        <v>0</v>
      </c>
      <c r="BH42">
        <f t="shared" si="40"/>
        <v>0</v>
      </c>
      <c r="BI42" s="84" t="e">
        <v>#N/A</v>
      </c>
      <c r="BJ42">
        <f t="shared" ref="BJ42:DU43" si="41">BJ41*1.6*1.2</f>
        <v>0</v>
      </c>
      <c r="BK42">
        <f t="shared" si="41"/>
        <v>0</v>
      </c>
      <c r="BL42" s="83">
        <v>0</v>
      </c>
      <c r="BM42">
        <f t="shared" si="41"/>
        <v>0</v>
      </c>
      <c r="BN42"/>
      <c r="BO42">
        <f t="shared" si="41"/>
        <v>0</v>
      </c>
      <c r="BP42">
        <f t="shared" si="41"/>
        <v>0</v>
      </c>
      <c r="BQ42">
        <f t="shared" si="41"/>
        <v>0</v>
      </c>
      <c r="BR42">
        <f t="shared" si="41"/>
        <v>0</v>
      </c>
      <c r="BS42">
        <f t="shared" si="41"/>
        <v>0</v>
      </c>
      <c r="BT42">
        <f t="shared" si="41"/>
        <v>0</v>
      </c>
      <c r="BU42">
        <f t="shared" si="41"/>
        <v>0</v>
      </c>
      <c r="BV42">
        <f t="shared" si="41"/>
        <v>0</v>
      </c>
      <c r="BW42">
        <f t="shared" si="41"/>
        <v>0</v>
      </c>
      <c r="BX42">
        <f t="shared" si="41"/>
        <v>0</v>
      </c>
      <c r="BY42">
        <f t="shared" si="41"/>
        <v>0</v>
      </c>
      <c r="BZ42">
        <f t="shared" si="41"/>
        <v>0</v>
      </c>
      <c r="CA42">
        <f t="shared" si="41"/>
        <v>0</v>
      </c>
      <c r="CB42">
        <f t="shared" si="41"/>
        <v>0</v>
      </c>
      <c r="CC42">
        <f t="shared" si="41"/>
        <v>0</v>
      </c>
      <c r="CD42">
        <f t="shared" si="41"/>
        <v>0</v>
      </c>
      <c r="CE42">
        <f t="shared" si="41"/>
        <v>0</v>
      </c>
      <c r="CF42">
        <f t="shared" si="41"/>
        <v>0</v>
      </c>
      <c r="CG42">
        <f t="shared" si="41"/>
        <v>0</v>
      </c>
      <c r="CH42">
        <f t="shared" si="41"/>
        <v>0</v>
      </c>
      <c r="CI42">
        <f t="shared" si="41"/>
        <v>0</v>
      </c>
      <c r="CJ42">
        <f t="shared" si="41"/>
        <v>0</v>
      </c>
      <c r="CK42">
        <f t="shared" si="41"/>
        <v>0</v>
      </c>
      <c r="CL42">
        <f t="shared" si="41"/>
        <v>0</v>
      </c>
      <c r="CM42">
        <f t="shared" si="41"/>
        <v>0</v>
      </c>
      <c r="CN42">
        <f t="shared" si="41"/>
        <v>0</v>
      </c>
      <c r="CO42">
        <f t="shared" si="41"/>
        <v>0</v>
      </c>
      <c r="CP42">
        <f t="shared" si="41"/>
        <v>0</v>
      </c>
      <c r="CQ42">
        <f t="shared" si="41"/>
        <v>0</v>
      </c>
      <c r="CR42">
        <f t="shared" si="41"/>
        <v>0</v>
      </c>
      <c r="CS42">
        <f t="shared" si="41"/>
        <v>0</v>
      </c>
      <c r="CT42">
        <f t="shared" si="41"/>
        <v>0</v>
      </c>
      <c r="CU42">
        <f t="shared" si="41"/>
        <v>0</v>
      </c>
      <c r="CV42">
        <f t="shared" si="41"/>
        <v>0</v>
      </c>
      <c r="CW42">
        <f t="shared" si="41"/>
        <v>0</v>
      </c>
      <c r="CX42">
        <f t="shared" si="41"/>
        <v>0</v>
      </c>
      <c r="CY42">
        <f t="shared" si="41"/>
        <v>0</v>
      </c>
      <c r="CZ42">
        <f t="shared" si="41"/>
        <v>0</v>
      </c>
      <c r="DA42">
        <f t="shared" si="41"/>
        <v>0</v>
      </c>
      <c r="DB42">
        <f t="shared" si="41"/>
        <v>0</v>
      </c>
      <c r="DC42">
        <f t="shared" si="41"/>
        <v>0</v>
      </c>
      <c r="DD42">
        <f t="shared" si="41"/>
        <v>0</v>
      </c>
      <c r="DE42">
        <f t="shared" si="41"/>
        <v>0</v>
      </c>
      <c r="DF42">
        <f t="shared" si="41"/>
        <v>0</v>
      </c>
      <c r="DG42">
        <f t="shared" si="41"/>
        <v>0</v>
      </c>
      <c r="DH42">
        <f t="shared" si="41"/>
        <v>0</v>
      </c>
      <c r="DI42">
        <f t="shared" si="41"/>
        <v>0</v>
      </c>
      <c r="DJ42">
        <f t="shared" si="41"/>
        <v>0</v>
      </c>
      <c r="DK42">
        <f t="shared" si="41"/>
        <v>0</v>
      </c>
      <c r="DL42">
        <f t="shared" si="41"/>
        <v>0</v>
      </c>
      <c r="DM42">
        <f t="shared" si="41"/>
        <v>0</v>
      </c>
      <c r="DN42">
        <f t="shared" si="41"/>
        <v>0</v>
      </c>
      <c r="DO42">
        <f t="shared" si="41"/>
        <v>0</v>
      </c>
      <c r="DP42">
        <f t="shared" si="41"/>
        <v>0</v>
      </c>
      <c r="DQ42">
        <f t="shared" si="41"/>
        <v>0</v>
      </c>
      <c r="DR42">
        <f t="shared" si="41"/>
        <v>0</v>
      </c>
      <c r="DS42">
        <f t="shared" si="41"/>
        <v>0</v>
      </c>
      <c r="DT42">
        <f t="shared" si="41"/>
        <v>0</v>
      </c>
      <c r="DU42">
        <f t="shared" si="41"/>
        <v>0</v>
      </c>
      <c r="DV42">
        <f t="shared" ref="DV42:GG43" si="42">DV41*1.6*1.2</f>
        <v>0</v>
      </c>
      <c r="DW42">
        <f t="shared" si="42"/>
        <v>0</v>
      </c>
      <c r="DX42">
        <f t="shared" si="42"/>
        <v>0</v>
      </c>
      <c r="DY42">
        <f t="shared" si="42"/>
        <v>0</v>
      </c>
      <c r="DZ42">
        <f t="shared" si="42"/>
        <v>0</v>
      </c>
      <c r="EA42">
        <f t="shared" si="42"/>
        <v>0</v>
      </c>
      <c r="EB42">
        <f t="shared" si="42"/>
        <v>0</v>
      </c>
      <c r="EC42">
        <f t="shared" si="42"/>
        <v>0</v>
      </c>
      <c r="ED42">
        <f t="shared" si="42"/>
        <v>0</v>
      </c>
      <c r="EE42">
        <f t="shared" si="42"/>
        <v>0</v>
      </c>
      <c r="EF42">
        <f t="shared" si="42"/>
        <v>0</v>
      </c>
      <c r="EG42">
        <f t="shared" si="42"/>
        <v>0</v>
      </c>
      <c r="EH42">
        <f t="shared" si="42"/>
        <v>0</v>
      </c>
      <c r="EI42">
        <f t="shared" si="42"/>
        <v>0</v>
      </c>
      <c r="EJ42">
        <f t="shared" si="42"/>
        <v>0</v>
      </c>
      <c r="EK42">
        <f t="shared" si="42"/>
        <v>0</v>
      </c>
      <c r="EL42">
        <f t="shared" si="42"/>
        <v>0</v>
      </c>
      <c r="EM42">
        <f t="shared" si="42"/>
        <v>0</v>
      </c>
      <c r="EN42">
        <f t="shared" si="42"/>
        <v>0</v>
      </c>
      <c r="EO42">
        <f t="shared" si="42"/>
        <v>0</v>
      </c>
      <c r="EP42">
        <f t="shared" si="42"/>
        <v>0</v>
      </c>
      <c r="EQ42">
        <f t="shared" si="42"/>
        <v>0</v>
      </c>
      <c r="ER42">
        <f t="shared" si="42"/>
        <v>0</v>
      </c>
      <c r="ES42">
        <f t="shared" si="42"/>
        <v>0</v>
      </c>
      <c r="ET42">
        <f t="shared" si="42"/>
        <v>0</v>
      </c>
      <c r="EU42">
        <f t="shared" si="42"/>
        <v>0</v>
      </c>
      <c r="EV42">
        <f t="shared" si="42"/>
        <v>0</v>
      </c>
      <c r="EW42">
        <f t="shared" si="42"/>
        <v>0</v>
      </c>
      <c r="EX42">
        <f t="shared" si="42"/>
        <v>0</v>
      </c>
      <c r="EY42">
        <f t="shared" si="42"/>
        <v>0</v>
      </c>
      <c r="EZ42">
        <f t="shared" si="42"/>
        <v>0</v>
      </c>
      <c r="FA42">
        <f t="shared" si="42"/>
        <v>0</v>
      </c>
      <c r="FB42">
        <f t="shared" si="42"/>
        <v>0</v>
      </c>
      <c r="FC42">
        <f t="shared" si="42"/>
        <v>0</v>
      </c>
      <c r="FD42">
        <f t="shared" si="42"/>
        <v>0</v>
      </c>
      <c r="FE42">
        <f t="shared" si="42"/>
        <v>0</v>
      </c>
      <c r="FF42">
        <f t="shared" si="42"/>
        <v>0</v>
      </c>
      <c r="FG42">
        <f t="shared" si="42"/>
        <v>0</v>
      </c>
      <c r="FH42">
        <f t="shared" si="42"/>
        <v>0</v>
      </c>
      <c r="FI42">
        <f t="shared" si="42"/>
        <v>0</v>
      </c>
      <c r="FJ42">
        <f t="shared" si="42"/>
        <v>0</v>
      </c>
      <c r="FK42">
        <f t="shared" si="42"/>
        <v>0</v>
      </c>
      <c r="FL42">
        <f t="shared" si="42"/>
        <v>0</v>
      </c>
      <c r="FM42">
        <f t="shared" si="42"/>
        <v>0</v>
      </c>
      <c r="FN42">
        <f t="shared" si="42"/>
        <v>0</v>
      </c>
      <c r="FO42">
        <f t="shared" si="42"/>
        <v>0</v>
      </c>
      <c r="FP42">
        <f t="shared" si="42"/>
        <v>0</v>
      </c>
      <c r="FQ42">
        <f t="shared" si="42"/>
        <v>0</v>
      </c>
      <c r="FR42">
        <f t="shared" si="42"/>
        <v>0</v>
      </c>
      <c r="FS42">
        <f t="shared" si="42"/>
        <v>0</v>
      </c>
      <c r="FT42">
        <f t="shared" si="42"/>
        <v>0</v>
      </c>
      <c r="FU42">
        <f t="shared" si="42"/>
        <v>0</v>
      </c>
      <c r="FV42">
        <f t="shared" si="42"/>
        <v>0</v>
      </c>
      <c r="FW42">
        <f t="shared" si="42"/>
        <v>0</v>
      </c>
      <c r="FX42">
        <f t="shared" si="42"/>
        <v>0</v>
      </c>
      <c r="FY42">
        <f t="shared" si="42"/>
        <v>0</v>
      </c>
      <c r="FZ42">
        <f t="shared" si="42"/>
        <v>0</v>
      </c>
      <c r="GA42">
        <f t="shared" si="42"/>
        <v>0</v>
      </c>
      <c r="GB42">
        <f t="shared" si="42"/>
        <v>0</v>
      </c>
      <c r="GC42">
        <f t="shared" si="42"/>
        <v>0</v>
      </c>
      <c r="GD42">
        <f t="shared" si="42"/>
        <v>0</v>
      </c>
      <c r="GE42">
        <f t="shared" si="42"/>
        <v>0</v>
      </c>
      <c r="GF42">
        <f t="shared" si="42"/>
        <v>0</v>
      </c>
      <c r="GG42">
        <f t="shared" si="42"/>
        <v>0</v>
      </c>
      <c r="GH42">
        <f t="shared" ref="GH42:IS43" si="43">GH41*1.6*1.2</f>
        <v>0</v>
      </c>
      <c r="GI42">
        <f t="shared" si="43"/>
        <v>0</v>
      </c>
      <c r="GJ42">
        <f t="shared" si="43"/>
        <v>0</v>
      </c>
      <c r="GK42">
        <f t="shared" si="43"/>
        <v>0</v>
      </c>
      <c r="GL42">
        <f t="shared" si="43"/>
        <v>0</v>
      </c>
      <c r="GM42">
        <f t="shared" si="43"/>
        <v>0</v>
      </c>
      <c r="GN42">
        <f t="shared" si="43"/>
        <v>0</v>
      </c>
      <c r="GO42">
        <f t="shared" si="43"/>
        <v>0</v>
      </c>
      <c r="GP42">
        <f t="shared" si="43"/>
        <v>0</v>
      </c>
      <c r="GQ42">
        <f t="shared" si="43"/>
        <v>0</v>
      </c>
      <c r="GR42">
        <f t="shared" si="43"/>
        <v>0</v>
      </c>
      <c r="GS42">
        <f t="shared" si="43"/>
        <v>0</v>
      </c>
      <c r="GT42">
        <f t="shared" si="43"/>
        <v>0</v>
      </c>
      <c r="GU42">
        <f t="shared" si="43"/>
        <v>0</v>
      </c>
      <c r="GV42">
        <f t="shared" si="43"/>
        <v>0</v>
      </c>
      <c r="GW42">
        <f t="shared" si="43"/>
        <v>0</v>
      </c>
      <c r="GX42">
        <f t="shared" si="43"/>
        <v>0</v>
      </c>
      <c r="GY42">
        <f t="shared" si="43"/>
        <v>0</v>
      </c>
      <c r="GZ42">
        <f t="shared" si="43"/>
        <v>0</v>
      </c>
      <c r="HA42">
        <f t="shared" si="43"/>
        <v>0</v>
      </c>
      <c r="HB42">
        <f t="shared" si="43"/>
        <v>0</v>
      </c>
      <c r="HC42">
        <f t="shared" si="43"/>
        <v>0</v>
      </c>
      <c r="HD42">
        <f t="shared" si="43"/>
        <v>0</v>
      </c>
      <c r="HE42">
        <f t="shared" si="43"/>
        <v>0</v>
      </c>
      <c r="HF42">
        <f t="shared" si="43"/>
        <v>0</v>
      </c>
      <c r="HG42">
        <f t="shared" si="43"/>
        <v>0</v>
      </c>
      <c r="HH42">
        <f t="shared" si="43"/>
        <v>0</v>
      </c>
      <c r="HI42">
        <f t="shared" si="43"/>
        <v>0</v>
      </c>
      <c r="HJ42">
        <f t="shared" si="43"/>
        <v>0</v>
      </c>
      <c r="HK42">
        <f t="shared" si="43"/>
        <v>0</v>
      </c>
      <c r="HL42">
        <f t="shared" si="43"/>
        <v>0</v>
      </c>
      <c r="HM42">
        <f t="shared" si="43"/>
        <v>0</v>
      </c>
      <c r="HN42">
        <f t="shared" si="43"/>
        <v>0</v>
      </c>
      <c r="HO42">
        <f t="shared" si="43"/>
        <v>0</v>
      </c>
      <c r="HP42">
        <f t="shared" si="43"/>
        <v>0</v>
      </c>
      <c r="HQ42">
        <f t="shared" si="43"/>
        <v>0</v>
      </c>
      <c r="HR42">
        <f t="shared" si="43"/>
        <v>0</v>
      </c>
      <c r="HS42">
        <f t="shared" si="43"/>
        <v>0</v>
      </c>
      <c r="HT42">
        <f t="shared" si="43"/>
        <v>0</v>
      </c>
      <c r="HU42">
        <f t="shared" si="43"/>
        <v>0</v>
      </c>
      <c r="HV42">
        <f t="shared" si="43"/>
        <v>0</v>
      </c>
      <c r="HW42">
        <f t="shared" si="43"/>
        <v>0</v>
      </c>
      <c r="HX42">
        <f t="shared" si="43"/>
        <v>0</v>
      </c>
      <c r="HY42">
        <f t="shared" si="43"/>
        <v>0</v>
      </c>
      <c r="HZ42">
        <f t="shared" si="43"/>
        <v>0</v>
      </c>
      <c r="IA42">
        <f t="shared" si="43"/>
        <v>0</v>
      </c>
      <c r="IB42">
        <f t="shared" si="43"/>
        <v>0</v>
      </c>
      <c r="IC42">
        <f t="shared" si="43"/>
        <v>0</v>
      </c>
      <c r="ID42">
        <f t="shared" si="43"/>
        <v>0</v>
      </c>
      <c r="IE42">
        <f t="shared" si="43"/>
        <v>0</v>
      </c>
      <c r="IF42">
        <f t="shared" si="43"/>
        <v>0</v>
      </c>
      <c r="IG42">
        <f t="shared" si="43"/>
        <v>0</v>
      </c>
      <c r="IH42">
        <f t="shared" si="43"/>
        <v>0</v>
      </c>
      <c r="II42">
        <f t="shared" si="43"/>
        <v>0</v>
      </c>
      <c r="IJ42">
        <f t="shared" si="43"/>
        <v>0</v>
      </c>
      <c r="IK42">
        <f t="shared" si="43"/>
        <v>0</v>
      </c>
      <c r="IL42">
        <f t="shared" si="43"/>
        <v>0</v>
      </c>
      <c r="IM42">
        <f t="shared" si="43"/>
        <v>0</v>
      </c>
      <c r="IN42">
        <f t="shared" si="43"/>
        <v>0</v>
      </c>
      <c r="IO42">
        <f t="shared" si="43"/>
        <v>0</v>
      </c>
      <c r="IP42">
        <f t="shared" si="43"/>
        <v>0</v>
      </c>
      <c r="IQ42">
        <f t="shared" si="43"/>
        <v>0</v>
      </c>
      <c r="IR42">
        <f t="shared" si="43"/>
        <v>0</v>
      </c>
      <c r="IS42">
        <f t="shared" si="43"/>
        <v>0</v>
      </c>
      <c r="IT42">
        <f t="shared" ref="IT42:LE43" si="44">IT41*1.6*1.2</f>
        <v>0</v>
      </c>
      <c r="IU42">
        <f t="shared" si="44"/>
        <v>0</v>
      </c>
      <c r="IV42">
        <f t="shared" si="44"/>
        <v>0</v>
      </c>
      <c r="IW42">
        <f t="shared" si="44"/>
        <v>0</v>
      </c>
      <c r="IX42">
        <f t="shared" si="44"/>
        <v>0</v>
      </c>
      <c r="IY42">
        <f t="shared" si="44"/>
        <v>0</v>
      </c>
      <c r="IZ42">
        <f t="shared" si="44"/>
        <v>0</v>
      </c>
      <c r="JA42">
        <f t="shared" si="44"/>
        <v>0</v>
      </c>
      <c r="JB42">
        <f t="shared" si="44"/>
        <v>0</v>
      </c>
      <c r="JC42">
        <f t="shared" si="44"/>
        <v>0</v>
      </c>
      <c r="JD42">
        <f t="shared" si="44"/>
        <v>0</v>
      </c>
      <c r="JE42">
        <f t="shared" si="44"/>
        <v>0</v>
      </c>
      <c r="JF42">
        <f t="shared" si="44"/>
        <v>0</v>
      </c>
      <c r="JG42">
        <f t="shared" si="44"/>
        <v>0</v>
      </c>
      <c r="JH42">
        <f t="shared" si="44"/>
        <v>0</v>
      </c>
      <c r="JI42">
        <f t="shared" si="44"/>
        <v>0</v>
      </c>
      <c r="JJ42">
        <f t="shared" si="44"/>
        <v>0</v>
      </c>
      <c r="JK42">
        <f t="shared" si="44"/>
        <v>0</v>
      </c>
      <c r="JL42">
        <f t="shared" si="44"/>
        <v>0</v>
      </c>
      <c r="JM42">
        <f t="shared" si="44"/>
        <v>0</v>
      </c>
      <c r="JN42">
        <f t="shared" si="44"/>
        <v>0</v>
      </c>
      <c r="JO42">
        <f t="shared" si="44"/>
        <v>0</v>
      </c>
      <c r="JP42">
        <f t="shared" si="44"/>
        <v>0</v>
      </c>
      <c r="JQ42">
        <f t="shared" si="44"/>
        <v>0</v>
      </c>
      <c r="JR42">
        <f t="shared" si="44"/>
        <v>0</v>
      </c>
      <c r="JS42">
        <f t="shared" si="44"/>
        <v>0</v>
      </c>
      <c r="JT42">
        <f t="shared" si="44"/>
        <v>0</v>
      </c>
      <c r="JU42">
        <f t="shared" si="44"/>
        <v>0</v>
      </c>
      <c r="JV42">
        <f t="shared" si="44"/>
        <v>0</v>
      </c>
      <c r="JW42">
        <f t="shared" si="44"/>
        <v>0</v>
      </c>
      <c r="JX42">
        <f t="shared" si="44"/>
        <v>0</v>
      </c>
      <c r="JY42">
        <f t="shared" si="44"/>
        <v>0</v>
      </c>
      <c r="JZ42">
        <f t="shared" si="44"/>
        <v>0</v>
      </c>
      <c r="KA42">
        <f t="shared" si="44"/>
        <v>0</v>
      </c>
      <c r="KB42">
        <f t="shared" si="44"/>
        <v>0</v>
      </c>
      <c r="KC42">
        <f t="shared" si="44"/>
        <v>0</v>
      </c>
      <c r="KD42">
        <f t="shared" si="44"/>
        <v>0</v>
      </c>
      <c r="KE42">
        <f t="shared" si="44"/>
        <v>0</v>
      </c>
      <c r="KF42">
        <f t="shared" si="44"/>
        <v>0</v>
      </c>
      <c r="KG42">
        <f t="shared" si="44"/>
        <v>0</v>
      </c>
      <c r="KH42">
        <f t="shared" si="44"/>
        <v>0</v>
      </c>
      <c r="KI42">
        <f t="shared" si="44"/>
        <v>0</v>
      </c>
      <c r="KJ42">
        <f t="shared" si="44"/>
        <v>0</v>
      </c>
      <c r="KK42">
        <f t="shared" si="44"/>
        <v>0</v>
      </c>
      <c r="KL42">
        <f t="shared" si="44"/>
        <v>0</v>
      </c>
      <c r="KM42">
        <f t="shared" si="44"/>
        <v>0</v>
      </c>
      <c r="KN42">
        <f t="shared" si="44"/>
        <v>0</v>
      </c>
      <c r="KO42">
        <f t="shared" si="44"/>
        <v>0</v>
      </c>
      <c r="KP42">
        <f t="shared" si="44"/>
        <v>0</v>
      </c>
      <c r="KQ42">
        <f t="shared" si="44"/>
        <v>0</v>
      </c>
      <c r="KR42">
        <f t="shared" si="44"/>
        <v>0</v>
      </c>
      <c r="KS42">
        <f t="shared" si="44"/>
        <v>0</v>
      </c>
      <c r="KT42">
        <f t="shared" si="44"/>
        <v>0</v>
      </c>
      <c r="KU42">
        <f t="shared" si="44"/>
        <v>0</v>
      </c>
      <c r="KV42">
        <f t="shared" si="44"/>
        <v>0</v>
      </c>
      <c r="KW42">
        <f t="shared" si="44"/>
        <v>0</v>
      </c>
      <c r="KX42">
        <f t="shared" si="44"/>
        <v>0</v>
      </c>
      <c r="KY42">
        <f t="shared" si="44"/>
        <v>0</v>
      </c>
      <c r="KZ42">
        <f t="shared" si="44"/>
        <v>0</v>
      </c>
      <c r="LA42">
        <f t="shared" si="44"/>
        <v>0</v>
      </c>
      <c r="LB42">
        <f t="shared" si="44"/>
        <v>0</v>
      </c>
      <c r="LC42">
        <f t="shared" si="44"/>
        <v>0</v>
      </c>
      <c r="LD42">
        <f t="shared" si="44"/>
        <v>0</v>
      </c>
      <c r="LE42">
        <f t="shared" si="44"/>
        <v>0</v>
      </c>
      <c r="LF42">
        <f t="shared" ref="LF42:NQ43" si="45">LF41*1.6*1.2</f>
        <v>0</v>
      </c>
      <c r="LG42">
        <f t="shared" si="45"/>
        <v>0</v>
      </c>
      <c r="LH42">
        <f t="shared" si="45"/>
        <v>0</v>
      </c>
      <c r="LI42">
        <f t="shared" si="45"/>
        <v>0</v>
      </c>
      <c r="LJ42">
        <f t="shared" si="45"/>
        <v>0</v>
      </c>
      <c r="LK42">
        <f t="shared" si="45"/>
        <v>0</v>
      </c>
      <c r="LL42">
        <f t="shared" si="45"/>
        <v>0</v>
      </c>
      <c r="LM42">
        <f t="shared" si="45"/>
        <v>0</v>
      </c>
      <c r="LN42">
        <f t="shared" si="45"/>
        <v>0</v>
      </c>
      <c r="LO42">
        <f t="shared" si="45"/>
        <v>0</v>
      </c>
      <c r="LP42">
        <f t="shared" si="45"/>
        <v>0</v>
      </c>
      <c r="LQ42">
        <f t="shared" si="45"/>
        <v>0</v>
      </c>
      <c r="LR42">
        <f t="shared" si="45"/>
        <v>0</v>
      </c>
      <c r="LS42">
        <f t="shared" si="45"/>
        <v>0</v>
      </c>
      <c r="LT42">
        <f t="shared" si="45"/>
        <v>0</v>
      </c>
      <c r="LU42">
        <f t="shared" si="45"/>
        <v>0</v>
      </c>
      <c r="LV42">
        <f t="shared" si="45"/>
        <v>0</v>
      </c>
      <c r="LW42">
        <f t="shared" si="45"/>
        <v>0</v>
      </c>
      <c r="LX42">
        <f t="shared" si="45"/>
        <v>0</v>
      </c>
      <c r="LY42">
        <f t="shared" si="45"/>
        <v>0</v>
      </c>
      <c r="LZ42">
        <f t="shared" si="45"/>
        <v>0</v>
      </c>
      <c r="MA42">
        <f t="shared" si="45"/>
        <v>0</v>
      </c>
      <c r="MB42">
        <f t="shared" si="45"/>
        <v>0</v>
      </c>
      <c r="MC42">
        <f t="shared" si="45"/>
        <v>0</v>
      </c>
      <c r="MD42">
        <f t="shared" si="45"/>
        <v>0</v>
      </c>
      <c r="ME42">
        <f t="shared" si="45"/>
        <v>0</v>
      </c>
      <c r="MF42">
        <f t="shared" si="45"/>
        <v>0</v>
      </c>
      <c r="MG42">
        <f t="shared" si="45"/>
        <v>0</v>
      </c>
      <c r="MH42">
        <f t="shared" si="45"/>
        <v>0</v>
      </c>
      <c r="MI42">
        <f t="shared" si="45"/>
        <v>0</v>
      </c>
      <c r="MJ42">
        <f t="shared" si="45"/>
        <v>0</v>
      </c>
      <c r="MK42">
        <f t="shared" si="45"/>
        <v>0</v>
      </c>
      <c r="ML42">
        <f t="shared" si="45"/>
        <v>0</v>
      </c>
      <c r="MM42">
        <f t="shared" si="45"/>
        <v>0</v>
      </c>
      <c r="MN42">
        <f t="shared" si="45"/>
        <v>0</v>
      </c>
      <c r="MO42">
        <f t="shared" si="45"/>
        <v>0</v>
      </c>
      <c r="MP42">
        <f t="shared" si="45"/>
        <v>0</v>
      </c>
      <c r="MQ42">
        <f t="shared" si="45"/>
        <v>0</v>
      </c>
      <c r="MR42">
        <f t="shared" si="45"/>
        <v>0</v>
      </c>
      <c r="MS42">
        <f t="shared" si="45"/>
        <v>0</v>
      </c>
      <c r="MT42">
        <f t="shared" si="45"/>
        <v>0</v>
      </c>
      <c r="MU42">
        <f t="shared" si="45"/>
        <v>0</v>
      </c>
      <c r="MV42">
        <f t="shared" si="45"/>
        <v>0</v>
      </c>
      <c r="MW42">
        <f t="shared" si="45"/>
        <v>0</v>
      </c>
      <c r="MX42">
        <f t="shared" si="45"/>
        <v>0</v>
      </c>
      <c r="MY42">
        <f t="shared" si="45"/>
        <v>0</v>
      </c>
      <c r="MZ42">
        <f t="shared" si="45"/>
        <v>0</v>
      </c>
      <c r="NA42">
        <f t="shared" si="45"/>
        <v>0</v>
      </c>
      <c r="NB42">
        <f t="shared" si="45"/>
        <v>0</v>
      </c>
      <c r="NC42">
        <f t="shared" si="45"/>
        <v>0</v>
      </c>
      <c r="ND42">
        <f t="shared" si="45"/>
        <v>0</v>
      </c>
      <c r="NE42">
        <f t="shared" si="45"/>
        <v>0</v>
      </c>
      <c r="NF42">
        <f t="shared" si="45"/>
        <v>0</v>
      </c>
      <c r="NG42">
        <f t="shared" si="45"/>
        <v>0</v>
      </c>
      <c r="NH42">
        <f t="shared" si="45"/>
        <v>0</v>
      </c>
      <c r="NI42">
        <f t="shared" si="45"/>
        <v>0</v>
      </c>
      <c r="NJ42">
        <f t="shared" si="45"/>
        <v>0</v>
      </c>
      <c r="NK42">
        <f t="shared" si="45"/>
        <v>0</v>
      </c>
      <c r="NL42">
        <f t="shared" si="45"/>
        <v>0</v>
      </c>
      <c r="NM42">
        <f t="shared" si="45"/>
        <v>0</v>
      </c>
      <c r="NN42">
        <f t="shared" si="45"/>
        <v>0</v>
      </c>
      <c r="NO42">
        <f t="shared" si="45"/>
        <v>0</v>
      </c>
      <c r="NP42">
        <f t="shared" si="45"/>
        <v>0</v>
      </c>
      <c r="NQ42">
        <f t="shared" si="45"/>
        <v>0</v>
      </c>
      <c r="NR42">
        <f t="shared" ref="NR42:QC43" si="46">NR41*1.6*1.2</f>
        <v>0</v>
      </c>
      <c r="NS42">
        <f t="shared" si="46"/>
        <v>0</v>
      </c>
      <c r="NT42">
        <f t="shared" si="46"/>
        <v>0</v>
      </c>
      <c r="NU42">
        <f t="shared" si="46"/>
        <v>0</v>
      </c>
      <c r="NV42">
        <f t="shared" si="46"/>
        <v>0</v>
      </c>
      <c r="NW42">
        <f t="shared" si="46"/>
        <v>0</v>
      </c>
      <c r="NX42">
        <f t="shared" si="46"/>
        <v>0</v>
      </c>
      <c r="NY42">
        <f t="shared" si="46"/>
        <v>0</v>
      </c>
      <c r="NZ42">
        <f t="shared" si="46"/>
        <v>0</v>
      </c>
      <c r="OA42">
        <f t="shared" si="46"/>
        <v>0</v>
      </c>
      <c r="OB42">
        <f t="shared" si="46"/>
        <v>0</v>
      </c>
      <c r="OC42">
        <f t="shared" si="46"/>
        <v>0</v>
      </c>
      <c r="OD42">
        <f t="shared" si="46"/>
        <v>0</v>
      </c>
      <c r="OE42">
        <f t="shared" si="46"/>
        <v>0</v>
      </c>
      <c r="OF42">
        <f t="shared" si="46"/>
        <v>0</v>
      </c>
      <c r="OG42">
        <f t="shared" si="46"/>
        <v>0</v>
      </c>
      <c r="OH42">
        <f t="shared" si="46"/>
        <v>0</v>
      </c>
      <c r="OI42">
        <f t="shared" si="46"/>
        <v>0</v>
      </c>
      <c r="OJ42">
        <f t="shared" si="46"/>
        <v>0</v>
      </c>
      <c r="OK42">
        <f t="shared" si="46"/>
        <v>0</v>
      </c>
      <c r="OL42">
        <f t="shared" si="46"/>
        <v>0</v>
      </c>
      <c r="OM42">
        <f t="shared" si="46"/>
        <v>0</v>
      </c>
      <c r="ON42">
        <f t="shared" si="46"/>
        <v>0</v>
      </c>
      <c r="OO42">
        <f t="shared" si="46"/>
        <v>0</v>
      </c>
      <c r="OP42">
        <f t="shared" si="46"/>
        <v>0</v>
      </c>
      <c r="OQ42">
        <f t="shared" si="46"/>
        <v>0</v>
      </c>
      <c r="OR42">
        <f t="shared" si="46"/>
        <v>0</v>
      </c>
      <c r="OS42">
        <f t="shared" si="46"/>
        <v>0</v>
      </c>
      <c r="OT42">
        <f t="shared" si="46"/>
        <v>0</v>
      </c>
      <c r="OU42">
        <f t="shared" si="46"/>
        <v>0</v>
      </c>
      <c r="OV42">
        <f t="shared" si="46"/>
        <v>0</v>
      </c>
      <c r="OW42">
        <f t="shared" si="46"/>
        <v>0</v>
      </c>
      <c r="OX42">
        <f t="shared" si="46"/>
        <v>0</v>
      </c>
      <c r="OY42">
        <f t="shared" si="46"/>
        <v>0</v>
      </c>
      <c r="OZ42">
        <f t="shared" si="46"/>
        <v>0</v>
      </c>
      <c r="PA42">
        <f t="shared" si="46"/>
        <v>0</v>
      </c>
      <c r="PB42">
        <f t="shared" si="46"/>
        <v>0</v>
      </c>
      <c r="PC42">
        <f t="shared" si="46"/>
        <v>0</v>
      </c>
      <c r="PD42">
        <f t="shared" si="46"/>
        <v>0</v>
      </c>
      <c r="PE42">
        <f t="shared" si="46"/>
        <v>0</v>
      </c>
      <c r="PF42">
        <f t="shared" si="46"/>
        <v>0</v>
      </c>
      <c r="PG42">
        <f t="shared" si="46"/>
        <v>0</v>
      </c>
      <c r="PH42">
        <f t="shared" si="46"/>
        <v>0</v>
      </c>
      <c r="PI42">
        <f t="shared" si="46"/>
        <v>0</v>
      </c>
      <c r="PJ42">
        <f t="shared" si="46"/>
        <v>0</v>
      </c>
      <c r="PK42">
        <f t="shared" si="46"/>
        <v>0</v>
      </c>
      <c r="PL42">
        <f t="shared" si="46"/>
        <v>0</v>
      </c>
      <c r="PM42">
        <f t="shared" si="46"/>
        <v>0</v>
      </c>
      <c r="PN42">
        <f t="shared" si="46"/>
        <v>0</v>
      </c>
      <c r="PO42">
        <f t="shared" si="46"/>
        <v>0</v>
      </c>
      <c r="PP42">
        <f t="shared" si="46"/>
        <v>0</v>
      </c>
      <c r="PQ42">
        <f t="shared" si="46"/>
        <v>0</v>
      </c>
      <c r="PR42">
        <f t="shared" si="46"/>
        <v>0</v>
      </c>
      <c r="PS42">
        <f t="shared" si="46"/>
        <v>0</v>
      </c>
      <c r="PT42">
        <f t="shared" si="46"/>
        <v>0</v>
      </c>
      <c r="PU42">
        <f t="shared" si="46"/>
        <v>0</v>
      </c>
      <c r="PV42">
        <f t="shared" si="46"/>
        <v>0</v>
      </c>
      <c r="PW42">
        <f t="shared" si="46"/>
        <v>0</v>
      </c>
      <c r="PX42">
        <f t="shared" si="46"/>
        <v>0</v>
      </c>
      <c r="PY42">
        <f t="shared" si="46"/>
        <v>0</v>
      </c>
      <c r="PZ42">
        <f t="shared" si="46"/>
        <v>0</v>
      </c>
      <c r="QA42">
        <f t="shared" si="46"/>
        <v>0</v>
      </c>
      <c r="QB42">
        <f t="shared" si="46"/>
        <v>0</v>
      </c>
      <c r="QC42">
        <f t="shared" si="46"/>
        <v>0</v>
      </c>
      <c r="QD42">
        <f t="shared" ref="QD42:SO43" si="47">QD41*1.6*1.2</f>
        <v>0</v>
      </c>
      <c r="QE42">
        <f t="shared" si="47"/>
        <v>0</v>
      </c>
      <c r="QF42">
        <f t="shared" si="47"/>
        <v>0</v>
      </c>
      <c r="QG42">
        <f t="shared" si="47"/>
        <v>0</v>
      </c>
      <c r="QH42">
        <f t="shared" si="47"/>
        <v>0</v>
      </c>
      <c r="QI42">
        <f t="shared" si="47"/>
        <v>0</v>
      </c>
      <c r="QJ42">
        <f t="shared" si="47"/>
        <v>0</v>
      </c>
      <c r="QK42">
        <f t="shared" si="47"/>
        <v>0</v>
      </c>
      <c r="QL42">
        <f t="shared" si="47"/>
        <v>0</v>
      </c>
      <c r="QM42">
        <f t="shared" si="47"/>
        <v>0</v>
      </c>
      <c r="QN42">
        <f t="shared" si="47"/>
        <v>0</v>
      </c>
      <c r="QO42">
        <f t="shared" si="47"/>
        <v>0</v>
      </c>
      <c r="QP42">
        <f t="shared" si="47"/>
        <v>0</v>
      </c>
      <c r="QQ42">
        <f t="shared" si="47"/>
        <v>0</v>
      </c>
      <c r="QR42">
        <f t="shared" si="47"/>
        <v>0</v>
      </c>
      <c r="QS42">
        <f t="shared" si="47"/>
        <v>0</v>
      </c>
      <c r="QT42">
        <f t="shared" si="47"/>
        <v>0</v>
      </c>
      <c r="QU42">
        <f t="shared" si="47"/>
        <v>0</v>
      </c>
      <c r="QV42">
        <f t="shared" si="47"/>
        <v>0</v>
      </c>
      <c r="QW42">
        <f t="shared" si="47"/>
        <v>0</v>
      </c>
      <c r="QX42">
        <f t="shared" si="47"/>
        <v>0</v>
      </c>
      <c r="QY42">
        <f t="shared" si="47"/>
        <v>0</v>
      </c>
      <c r="QZ42">
        <f t="shared" si="47"/>
        <v>0</v>
      </c>
      <c r="RA42">
        <f t="shared" si="47"/>
        <v>0</v>
      </c>
      <c r="RB42">
        <f t="shared" si="47"/>
        <v>0</v>
      </c>
      <c r="RC42">
        <f t="shared" si="47"/>
        <v>0</v>
      </c>
      <c r="RD42">
        <f t="shared" si="47"/>
        <v>0</v>
      </c>
      <c r="RE42">
        <f t="shared" si="47"/>
        <v>0</v>
      </c>
      <c r="RF42">
        <f t="shared" si="47"/>
        <v>0</v>
      </c>
      <c r="RG42">
        <f t="shared" si="47"/>
        <v>0</v>
      </c>
      <c r="RH42">
        <f t="shared" si="47"/>
        <v>0</v>
      </c>
      <c r="RI42">
        <f t="shared" si="47"/>
        <v>0</v>
      </c>
      <c r="RJ42">
        <f t="shared" si="47"/>
        <v>0</v>
      </c>
      <c r="RK42">
        <f t="shared" si="47"/>
        <v>0</v>
      </c>
      <c r="RL42">
        <f t="shared" si="47"/>
        <v>0</v>
      </c>
      <c r="RM42">
        <f t="shared" si="47"/>
        <v>0</v>
      </c>
      <c r="RN42">
        <f t="shared" si="47"/>
        <v>0</v>
      </c>
      <c r="RO42">
        <f t="shared" si="47"/>
        <v>0</v>
      </c>
      <c r="RP42">
        <f t="shared" si="47"/>
        <v>0</v>
      </c>
      <c r="RQ42">
        <f t="shared" si="47"/>
        <v>0</v>
      </c>
      <c r="RR42">
        <f t="shared" si="47"/>
        <v>0</v>
      </c>
      <c r="RS42">
        <f t="shared" si="47"/>
        <v>0</v>
      </c>
      <c r="RT42">
        <f t="shared" si="47"/>
        <v>0</v>
      </c>
      <c r="RU42">
        <f t="shared" si="47"/>
        <v>0</v>
      </c>
      <c r="RV42">
        <f t="shared" si="47"/>
        <v>0</v>
      </c>
      <c r="RW42">
        <f t="shared" si="47"/>
        <v>0</v>
      </c>
      <c r="RX42">
        <f t="shared" si="47"/>
        <v>0</v>
      </c>
      <c r="RY42">
        <f t="shared" si="47"/>
        <v>0</v>
      </c>
      <c r="RZ42">
        <f t="shared" si="47"/>
        <v>0</v>
      </c>
      <c r="SA42">
        <f t="shared" si="47"/>
        <v>0</v>
      </c>
      <c r="SB42">
        <f t="shared" si="47"/>
        <v>0</v>
      </c>
      <c r="SC42">
        <f t="shared" si="47"/>
        <v>0</v>
      </c>
      <c r="SD42">
        <f t="shared" si="47"/>
        <v>0</v>
      </c>
      <c r="SE42">
        <f t="shared" si="47"/>
        <v>0</v>
      </c>
      <c r="SF42">
        <f t="shared" si="47"/>
        <v>0</v>
      </c>
      <c r="SG42">
        <f t="shared" si="47"/>
        <v>0</v>
      </c>
      <c r="SH42">
        <f t="shared" si="47"/>
        <v>0</v>
      </c>
      <c r="SI42">
        <f t="shared" si="47"/>
        <v>0</v>
      </c>
      <c r="SJ42">
        <f t="shared" si="47"/>
        <v>0</v>
      </c>
      <c r="SK42">
        <f t="shared" si="47"/>
        <v>0</v>
      </c>
      <c r="SL42">
        <f t="shared" si="47"/>
        <v>0</v>
      </c>
      <c r="SM42">
        <f t="shared" si="47"/>
        <v>0</v>
      </c>
      <c r="SN42">
        <f t="shared" si="47"/>
        <v>0</v>
      </c>
      <c r="SO42">
        <f t="shared" si="47"/>
        <v>0</v>
      </c>
      <c r="SP42">
        <f t="shared" ref="SP42:VA43" si="48">SP41*1.6*1.2</f>
        <v>0</v>
      </c>
      <c r="SQ42">
        <f t="shared" si="48"/>
        <v>0</v>
      </c>
      <c r="SR42">
        <f t="shared" si="48"/>
        <v>0</v>
      </c>
      <c r="SS42">
        <f t="shared" si="48"/>
        <v>0</v>
      </c>
      <c r="ST42">
        <f t="shared" si="48"/>
        <v>0</v>
      </c>
      <c r="SU42">
        <f t="shared" si="48"/>
        <v>0</v>
      </c>
      <c r="SV42">
        <f t="shared" si="48"/>
        <v>0</v>
      </c>
      <c r="SW42">
        <f t="shared" si="48"/>
        <v>0</v>
      </c>
      <c r="SX42">
        <f t="shared" si="48"/>
        <v>0</v>
      </c>
      <c r="SY42">
        <f t="shared" si="48"/>
        <v>0</v>
      </c>
      <c r="SZ42">
        <f t="shared" si="48"/>
        <v>0</v>
      </c>
      <c r="TA42">
        <f t="shared" si="48"/>
        <v>0</v>
      </c>
      <c r="TB42">
        <f t="shared" si="48"/>
        <v>0</v>
      </c>
      <c r="TC42">
        <f t="shared" si="48"/>
        <v>0</v>
      </c>
      <c r="TD42">
        <f t="shared" si="48"/>
        <v>0</v>
      </c>
      <c r="TE42">
        <f t="shared" si="48"/>
        <v>0</v>
      </c>
      <c r="TF42">
        <f t="shared" si="48"/>
        <v>0</v>
      </c>
      <c r="TG42">
        <f t="shared" si="48"/>
        <v>0</v>
      </c>
      <c r="TH42">
        <f t="shared" si="48"/>
        <v>0</v>
      </c>
      <c r="TI42">
        <f t="shared" si="48"/>
        <v>0</v>
      </c>
      <c r="TJ42">
        <f t="shared" si="48"/>
        <v>0</v>
      </c>
      <c r="TK42">
        <f t="shared" si="48"/>
        <v>0</v>
      </c>
      <c r="TL42">
        <f t="shared" si="48"/>
        <v>0</v>
      </c>
      <c r="TM42">
        <f t="shared" si="48"/>
        <v>0</v>
      </c>
      <c r="TN42">
        <f t="shared" si="48"/>
        <v>0</v>
      </c>
      <c r="TO42">
        <f t="shared" si="48"/>
        <v>0</v>
      </c>
      <c r="TP42">
        <f t="shared" si="48"/>
        <v>0</v>
      </c>
      <c r="TQ42">
        <f t="shared" si="48"/>
        <v>0</v>
      </c>
      <c r="TR42">
        <f t="shared" si="48"/>
        <v>0</v>
      </c>
      <c r="TS42">
        <f t="shared" si="48"/>
        <v>0</v>
      </c>
      <c r="TT42">
        <f t="shared" si="48"/>
        <v>0</v>
      </c>
      <c r="TU42">
        <f t="shared" si="48"/>
        <v>0</v>
      </c>
      <c r="TV42">
        <f t="shared" si="48"/>
        <v>0</v>
      </c>
      <c r="TW42">
        <f t="shared" si="48"/>
        <v>0</v>
      </c>
      <c r="TX42">
        <f t="shared" si="48"/>
        <v>0</v>
      </c>
      <c r="TY42">
        <f t="shared" si="48"/>
        <v>0</v>
      </c>
      <c r="TZ42">
        <f t="shared" si="48"/>
        <v>0</v>
      </c>
      <c r="UA42">
        <f t="shared" si="48"/>
        <v>0</v>
      </c>
      <c r="UB42">
        <f t="shared" si="48"/>
        <v>0</v>
      </c>
      <c r="UC42">
        <f t="shared" si="48"/>
        <v>0</v>
      </c>
      <c r="UD42">
        <f t="shared" si="48"/>
        <v>0</v>
      </c>
      <c r="UE42">
        <f t="shared" si="48"/>
        <v>0</v>
      </c>
      <c r="UF42">
        <f t="shared" si="48"/>
        <v>0</v>
      </c>
      <c r="UG42">
        <f t="shared" si="48"/>
        <v>0</v>
      </c>
      <c r="UH42">
        <f t="shared" si="48"/>
        <v>0</v>
      </c>
      <c r="UI42">
        <f t="shared" si="48"/>
        <v>0</v>
      </c>
      <c r="UJ42">
        <f t="shared" si="48"/>
        <v>0</v>
      </c>
      <c r="UK42">
        <f t="shared" si="48"/>
        <v>0</v>
      </c>
      <c r="UL42">
        <f t="shared" si="48"/>
        <v>0</v>
      </c>
      <c r="UM42">
        <f t="shared" si="48"/>
        <v>0</v>
      </c>
      <c r="UN42">
        <f t="shared" si="48"/>
        <v>0</v>
      </c>
      <c r="UO42">
        <f t="shared" si="48"/>
        <v>0</v>
      </c>
      <c r="UP42">
        <f t="shared" si="48"/>
        <v>0</v>
      </c>
      <c r="UQ42">
        <f t="shared" si="48"/>
        <v>0</v>
      </c>
      <c r="UR42">
        <f t="shared" si="48"/>
        <v>0</v>
      </c>
      <c r="US42">
        <f t="shared" si="48"/>
        <v>0</v>
      </c>
      <c r="UT42">
        <f t="shared" si="48"/>
        <v>0</v>
      </c>
      <c r="UU42">
        <f t="shared" si="48"/>
        <v>0</v>
      </c>
      <c r="UV42">
        <f t="shared" si="48"/>
        <v>0</v>
      </c>
      <c r="UW42">
        <f t="shared" si="48"/>
        <v>0</v>
      </c>
      <c r="UX42">
        <f t="shared" si="48"/>
        <v>0</v>
      </c>
      <c r="UY42">
        <f t="shared" si="48"/>
        <v>0</v>
      </c>
      <c r="UZ42">
        <f t="shared" si="48"/>
        <v>0</v>
      </c>
      <c r="VA42">
        <f t="shared" si="48"/>
        <v>0</v>
      </c>
      <c r="VB42">
        <f t="shared" ref="VB42:XM43" si="49">VB41*1.6*1.2</f>
        <v>0</v>
      </c>
      <c r="VC42">
        <f t="shared" si="49"/>
        <v>0</v>
      </c>
      <c r="VD42">
        <f t="shared" si="49"/>
        <v>0</v>
      </c>
      <c r="VE42">
        <f t="shared" si="49"/>
        <v>0</v>
      </c>
      <c r="VF42">
        <f t="shared" si="49"/>
        <v>0</v>
      </c>
      <c r="VG42">
        <f t="shared" si="49"/>
        <v>0</v>
      </c>
      <c r="VH42">
        <f t="shared" si="49"/>
        <v>0</v>
      </c>
      <c r="VI42">
        <f t="shared" si="49"/>
        <v>0</v>
      </c>
      <c r="VJ42">
        <f t="shared" si="49"/>
        <v>0</v>
      </c>
      <c r="VK42">
        <f t="shared" si="49"/>
        <v>0</v>
      </c>
      <c r="VL42">
        <f t="shared" si="49"/>
        <v>0</v>
      </c>
      <c r="VM42">
        <f t="shared" si="49"/>
        <v>0</v>
      </c>
      <c r="VN42">
        <f t="shared" si="49"/>
        <v>0</v>
      </c>
      <c r="VO42">
        <f t="shared" si="49"/>
        <v>0</v>
      </c>
      <c r="VP42">
        <f t="shared" si="49"/>
        <v>0</v>
      </c>
      <c r="VQ42">
        <f t="shared" si="49"/>
        <v>0</v>
      </c>
      <c r="VR42">
        <f t="shared" si="49"/>
        <v>0</v>
      </c>
      <c r="VS42">
        <f t="shared" si="49"/>
        <v>0</v>
      </c>
      <c r="VT42">
        <f t="shared" si="49"/>
        <v>0</v>
      </c>
      <c r="VU42">
        <f t="shared" si="49"/>
        <v>0</v>
      </c>
      <c r="VV42">
        <f t="shared" si="49"/>
        <v>0</v>
      </c>
      <c r="VW42">
        <f t="shared" si="49"/>
        <v>0</v>
      </c>
      <c r="VX42">
        <f t="shared" si="49"/>
        <v>0</v>
      </c>
      <c r="VY42">
        <f t="shared" si="49"/>
        <v>0</v>
      </c>
      <c r="VZ42">
        <f t="shared" si="49"/>
        <v>0</v>
      </c>
      <c r="WA42">
        <f t="shared" si="49"/>
        <v>0</v>
      </c>
      <c r="WB42">
        <f t="shared" si="49"/>
        <v>0</v>
      </c>
      <c r="WC42">
        <f t="shared" si="49"/>
        <v>0</v>
      </c>
      <c r="WD42">
        <f t="shared" si="49"/>
        <v>0</v>
      </c>
      <c r="WE42">
        <f t="shared" si="49"/>
        <v>0</v>
      </c>
      <c r="WF42">
        <f t="shared" si="49"/>
        <v>0</v>
      </c>
      <c r="WG42">
        <f t="shared" si="49"/>
        <v>0</v>
      </c>
      <c r="WH42">
        <f t="shared" si="49"/>
        <v>0</v>
      </c>
      <c r="WI42">
        <f t="shared" si="49"/>
        <v>0</v>
      </c>
      <c r="WJ42">
        <f t="shared" si="49"/>
        <v>0</v>
      </c>
      <c r="WK42">
        <f t="shared" si="49"/>
        <v>0</v>
      </c>
      <c r="WL42">
        <f t="shared" si="49"/>
        <v>0</v>
      </c>
      <c r="WM42">
        <f t="shared" si="49"/>
        <v>0</v>
      </c>
      <c r="WN42">
        <f t="shared" si="49"/>
        <v>0</v>
      </c>
      <c r="WO42">
        <f t="shared" si="49"/>
        <v>0</v>
      </c>
      <c r="WP42">
        <f t="shared" si="49"/>
        <v>0</v>
      </c>
      <c r="WQ42">
        <f t="shared" si="49"/>
        <v>0</v>
      </c>
      <c r="WR42">
        <f t="shared" si="49"/>
        <v>0</v>
      </c>
      <c r="WS42">
        <f t="shared" si="49"/>
        <v>0</v>
      </c>
      <c r="WT42">
        <f t="shared" si="49"/>
        <v>0</v>
      </c>
      <c r="WU42">
        <f t="shared" si="49"/>
        <v>0</v>
      </c>
      <c r="WV42">
        <f t="shared" si="49"/>
        <v>0</v>
      </c>
      <c r="WW42">
        <f t="shared" si="49"/>
        <v>0</v>
      </c>
      <c r="WX42">
        <f t="shared" si="49"/>
        <v>0</v>
      </c>
      <c r="WY42">
        <f t="shared" si="49"/>
        <v>0</v>
      </c>
      <c r="WZ42">
        <f t="shared" si="49"/>
        <v>0</v>
      </c>
      <c r="XA42">
        <f t="shared" si="49"/>
        <v>0</v>
      </c>
      <c r="XB42">
        <f t="shared" si="49"/>
        <v>0</v>
      </c>
      <c r="XC42">
        <f t="shared" si="49"/>
        <v>0</v>
      </c>
      <c r="XD42">
        <f t="shared" si="49"/>
        <v>0</v>
      </c>
      <c r="XE42">
        <f t="shared" si="49"/>
        <v>0</v>
      </c>
      <c r="XF42">
        <f t="shared" si="49"/>
        <v>0</v>
      </c>
      <c r="XG42">
        <f t="shared" si="49"/>
        <v>0</v>
      </c>
      <c r="XH42">
        <f t="shared" si="49"/>
        <v>0</v>
      </c>
      <c r="XI42">
        <f t="shared" si="49"/>
        <v>0</v>
      </c>
      <c r="XJ42">
        <f t="shared" si="49"/>
        <v>0</v>
      </c>
      <c r="XK42">
        <f t="shared" si="49"/>
        <v>0</v>
      </c>
      <c r="XL42">
        <f t="shared" si="49"/>
        <v>0</v>
      </c>
      <c r="XM42">
        <f t="shared" si="49"/>
        <v>0</v>
      </c>
      <c r="XN42">
        <f t="shared" ref="XN42:ZY43" si="50">XN41*1.6*1.2</f>
        <v>0</v>
      </c>
      <c r="XO42">
        <f t="shared" si="50"/>
        <v>0</v>
      </c>
      <c r="XP42">
        <f t="shared" si="50"/>
        <v>0</v>
      </c>
      <c r="XQ42">
        <f t="shared" si="50"/>
        <v>0</v>
      </c>
      <c r="XR42">
        <f t="shared" si="50"/>
        <v>0</v>
      </c>
      <c r="XS42">
        <f t="shared" si="50"/>
        <v>0</v>
      </c>
      <c r="XT42">
        <f t="shared" si="50"/>
        <v>0</v>
      </c>
      <c r="XU42">
        <f t="shared" si="50"/>
        <v>0</v>
      </c>
      <c r="XV42">
        <f t="shared" si="50"/>
        <v>0</v>
      </c>
      <c r="XW42">
        <f t="shared" si="50"/>
        <v>0</v>
      </c>
      <c r="XX42">
        <f t="shared" si="50"/>
        <v>0</v>
      </c>
      <c r="XY42">
        <f t="shared" si="50"/>
        <v>0</v>
      </c>
      <c r="XZ42">
        <f t="shared" si="50"/>
        <v>0</v>
      </c>
      <c r="YA42">
        <f t="shared" si="50"/>
        <v>0</v>
      </c>
      <c r="YB42">
        <f t="shared" si="50"/>
        <v>0</v>
      </c>
      <c r="YC42">
        <f t="shared" si="50"/>
        <v>0</v>
      </c>
      <c r="YD42">
        <f t="shared" si="50"/>
        <v>0</v>
      </c>
      <c r="YE42">
        <f t="shared" si="50"/>
        <v>0</v>
      </c>
      <c r="YF42">
        <f t="shared" si="50"/>
        <v>0</v>
      </c>
      <c r="YG42">
        <f t="shared" si="50"/>
        <v>0</v>
      </c>
      <c r="YH42">
        <f t="shared" si="50"/>
        <v>0</v>
      </c>
      <c r="YI42">
        <f t="shared" si="50"/>
        <v>0</v>
      </c>
      <c r="YJ42">
        <f t="shared" si="50"/>
        <v>0</v>
      </c>
      <c r="YK42">
        <f t="shared" si="50"/>
        <v>0</v>
      </c>
      <c r="YL42">
        <f t="shared" si="50"/>
        <v>0</v>
      </c>
      <c r="YM42">
        <f t="shared" si="50"/>
        <v>0</v>
      </c>
      <c r="YN42">
        <f t="shared" si="50"/>
        <v>0</v>
      </c>
      <c r="YO42">
        <f t="shared" si="50"/>
        <v>0</v>
      </c>
      <c r="YP42">
        <f t="shared" si="50"/>
        <v>0</v>
      </c>
      <c r="YQ42">
        <f t="shared" si="50"/>
        <v>0</v>
      </c>
      <c r="YR42">
        <f t="shared" si="50"/>
        <v>0</v>
      </c>
      <c r="YS42">
        <f t="shared" si="50"/>
        <v>0</v>
      </c>
      <c r="YT42">
        <f t="shared" si="50"/>
        <v>0</v>
      </c>
      <c r="YU42">
        <f t="shared" si="50"/>
        <v>0</v>
      </c>
      <c r="YV42">
        <f t="shared" si="50"/>
        <v>0</v>
      </c>
      <c r="YW42">
        <f t="shared" si="50"/>
        <v>0</v>
      </c>
      <c r="YX42">
        <f t="shared" si="50"/>
        <v>0</v>
      </c>
      <c r="YY42">
        <f t="shared" si="50"/>
        <v>0</v>
      </c>
      <c r="YZ42">
        <f t="shared" si="50"/>
        <v>0</v>
      </c>
      <c r="ZA42">
        <f t="shared" si="50"/>
        <v>0</v>
      </c>
      <c r="ZB42">
        <f t="shared" si="50"/>
        <v>0</v>
      </c>
      <c r="ZC42">
        <f t="shared" si="50"/>
        <v>0</v>
      </c>
      <c r="ZD42">
        <f t="shared" si="50"/>
        <v>0</v>
      </c>
      <c r="ZE42">
        <f t="shared" si="50"/>
        <v>0</v>
      </c>
      <c r="ZF42">
        <f t="shared" si="50"/>
        <v>0</v>
      </c>
      <c r="ZG42">
        <f t="shared" si="50"/>
        <v>0</v>
      </c>
      <c r="ZH42">
        <f t="shared" si="50"/>
        <v>0</v>
      </c>
      <c r="ZI42">
        <f t="shared" si="50"/>
        <v>0</v>
      </c>
      <c r="ZJ42">
        <f t="shared" si="50"/>
        <v>0</v>
      </c>
      <c r="ZK42">
        <f t="shared" si="50"/>
        <v>0</v>
      </c>
      <c r="ZL42">
        <f t="shared" si="50"/>
        <v>0</v>
      </c>
      <c r="ZM42">
        <f t="shared" si="50"/>
        <v>0</v>
      </c>
      <c r="ZN42">
        <f t="shared" si="50"/>
        <v>0</v>
      </c>
      <c r="ZO42">
        <f t="shared" si="50"/>
        <v>0</v>
      </c>
      <c r="ZP42">
        <f t="shared" si="50"/>
        <v>0</v>
      </c>
      <c r="ZQ42">
        <f t="shared" si="50"/>
        <v>0</v>
      </c>
      <c r="ZR42">
        <f t="shared" si="50"/>
        <v>0</v>
      </c>
      <c r="ZS42">
        <f t="shared" si="50"/>
        <v>0</v>
      </c>
      <c r="ZT42">
        <f t="shared" si="50"/>
        <v>0</v>
      </c>
      <c r="ZU42">
        <f t="shared" si="50"/>
        <v>0</v>
      </c>
      <c r="ZV42">
        <f t="shared" si="50"/>
        <v>0</v>
      </c>
      <c r="ZW42">
        <f t="shared" si="50"/>
        <v>0</v>
      </c>
      <c r="ZX42">
        <f t="shared" si="50"/>
        <v>0</v>
      </c>
      <c r="ZY42">
        <f t="shared" si="50"/>
        <v>0</v>
      </c>
      <c r="ZZ42">
        <f t="shared" ref="ZZ42:ACK43" si="51">ZZ41*1.6*1.2</f>
        <v>0</v>
      </c>
      <c r="AAA42">
        <f t="shared" si="51"/>
        <v>0</v>
      </c>
      <c r="AAB42">
        <f t="shared" si="51"/>
        <v>0</v>
      </c>
      <c r="AAC42">
        <f t="shared" si="51"/>
        <v>0</v>
      </c>
      <c r="AAD42">
        <f t="shared" si="51"/>
        <v>0</v>
      </c>
      <c r="AAE42">
        <f t="shared" si="51"/>
        <v>0</v>
      </c>
      <c r="AAF42">
        <f t="shared" si="51"/>
        <v>0</v>
      </c>
      <c r="AAG42">
        <f t="shared" si="51"/>
        <v>0</v>
      </c>
      <c r="AAH42">
        <f t="shared" si="51"/>
        <v>0</v>
      </c>
      <c r="AAI42">
        <f t="shared" si="51"/>
        <v>0</v>
      </c>
      <c r="AAJ42">
        <f t="shared" si="51"/>
        <v>0</v>
      </c>
      <c r="AAK42">
        <f t="shared" si="51"/>
        <v>0</v>
      </c>
      <c r="AAL42">
        <f t="shared" si="51"/>
        <v>0</v>
      </c>
      <c r="AAM42">
        <f t="shared" si="51"/>
        <v>0</v>
      </c>
      <c r="AAN42">
        <f t="shared" si="51"/>
        <v>0</v>
      </c>
      <c r="AAO42">
        <f t="shared" si="51"/>
        <v>0</v>
      </c>
      <c r="AAP42">
        <f t="shared" si="51"/>
        <v>0</v>
      </c>
      <c r="AAQ42">
        <f t="shared" si="51"/>
        <v>0</v>
      </c>
      <c r="AAR42">
        <f t="shared" si="51"/>
        <v>0</v>
      </c>
      <c r="AAS42">
        <f t="shared" si="51"/>
        <v>0</v>
      </c>
      <c r="AAT42">
        <f t="shared" si="51"/>
        <v>0</v>
      </c>
      <c r="AAU42">
        <f t="shared" si="51"/>
        <v>0</v>
      </c>
      <c r="AAV42">
        <f t="shared" si="51"/>
        <v>0</v>
      </c>
      <c r="AAW42">
        <f t="shared" si="51"/>
        <v>0</v>
      </c>
      <c r="AAX42">
        <f t="shared" si="51"/>
        <v>0</v>
      </c>
      <c r="AAY42">
        <f t="shared" si="51"/>
        <v>0</v>
      </c>
      <c r="AAZ42">
        <f t="shared" si="51"/>
        <v>0</v>
      </c>
      <c r="ABA42">
        <f t="shared" si="51"/>
        <v>0</v>
      </c>
      <c r="ABB42">
        <f t="shared" si="51"/>
        <v>0</v>
      </c>
      <c r="ABC42">
        <f t="shared" si="51"/>
        <v>0</v>
      </c>
      <c r="ABD42">
        <f t="shared" si="51"/>
        <v>0</v>
      </c>
      <c r="ABE42">
        <f t="shared" si="51"/>
        <v>0</v>
      </c>
      <c r="ABF42">
        <f t="shared" si="51"/>
        <v>0</v>
      </c>
      <c r="ABG42">
        <f t="shared" si="51"/>
        <v>0</v>
      </c>
      <c r="ABH42">
        <f t="shared" si="51"/>
        <v>0</v>
      </c>
      <c r="ABI42">
        <f t="shared" si="51"/>
        <v>0</v>
      </c>
      <c r="ABJ42">
        <f t="shared" si="51"/>
        <v>0</v>
      </c>
      <c r="ABK42">
        <f t="shared" si="51"/>
        <v>0</v>
      </c>
      <c r="ABL42">
        <f t="shared" si="51"/>
        <v>0</v>
      </c>
      <c r="ABM42">
        <f t="shared" si="51"/>
        <v>0</v>
      </c>
      <c r="ABN42">
        <f t="shared" si="51"/>
        <v>0</v>
      </c>
      <c r="ABO42">
        <f t="shared" si="51"/>
        <v>0</v>
      </c>
      <c r="ABP42">
        <f t="shared" si="51"/>
        <v>0</v>
      </c>
      <c r="ABQ42">
        <f t="shared" si="51"/>
        <v>0</v>
      </c>
      <c r="ABR42">
        <f t="shared" si="51"/>
        <v>0</v>
      </c>
      <c r="ABS42">
        <f t="shared" si="51"/>
        <v>0</v>
      </c>
      <c r="ABT42">
        <f t="shared" si="51"/>
        <v>0</v>
      </c>
      <c r="ABU42">
        <f t="shared" si="51"/>
        <v>0</v>
      </c>
      <c r="ABV42">
        <f t="shared" si="51"/>
        <v>0</v>
      </c>
      <c r="ABW42">
        <f t="shared" si="51"/>
        <v>0</v>
      </c>
      <c r="ABX42">
        <f t="shared" si="51"/>
        <v>0</v>
      </c>
      <c r="ABY42">
        <f t="shared" si="51"/>
        <v>0</v>
      </c>
      <c r="ABZ42">
        <f t="shared" si="51"/>
        <v>0</v>
      </c>
      <c r="ACA42">
        <f t="shared" si="51"/>
        <v>0</v>
      </c>
      <c r="ACB42">
        <f t="shared" si="51"/>
        <v>0</v>
      </c>
      <c r="ACC42">
        <f t="shared" si="51"/>
        <v>0</v>
      </c>
      <c r="ACD42">
        <f t="shared" si="51"/>
        <v>0</v>
      </c>
      <c r="ACE42">
        <f t="shared" si="51"/>
        <v>0</v>
      </c>
      <c r="ACF42">
        <f t="shared" si="51"/>
        <v>0</v>
      </c>
      <c r="ACG42">
        <f t="shared" si="51"/>
        <v>0</v>
      </c>
      <c r="ACH42">
        <f t="shared" si="51"/>
        <v>0</v>
      </c>
      <c r="ACI42">
        <f t="shared" si="51"/>
        <v>0</v>
      </c>
      <c r="ACJ42">
        <f t="shared" si="51"/>
        <v>0</v>
      </c>
      <c r="ACK42">
        <f t="shared" si="51"/>
        <v>0</v>
      </c>
      <c r="ACL42">
        <f t="shared" ref="ACL42:AEW43" si="52">ACL41*1.6*1.2</f>
        <v>0</v>
      </c>
      <c r="ACM42">
        <f t="shared" si="52"/>
        <v>0</v>
      </c>
      <c r="ACN42">
        <f t="shared" si="52"/>
        <v>0</v>
      </c>
      <c r="ACO42">
        <f t="shared" si="52"/>
        <v>0</v>
      </c>
      <c r="ACP42">
        <f t="shared" si="52"/>
        <v>0</v>
      </c>
      <c r="ACQ42">
        <f t="shared" si="52"/>
        <v>0</v>
      </c>
      <c r="ACR42">
        <f t="shared" si="52"/>
        <v>0</v>
      </c>
      <c r="ACS42">
        <f t="shared" si="52"/>
        <v>0</v>
      </c>
      <c r="ACT42">
        <f t="shared" si="52"/>
        <v>0</v>
      </c>
      <c r="ACU42">
        <f t="shared" si="52"/>
        <v>0</v>
      </c>
      <c r="ACV42">
        <f t="shared" si="52"/>
        <v>0</v>
      </c>
      <c r="ACW42">
        <f t="shared" si="52"/>
        <v>0</v>
      </c>
      <c r="ACX42">
        <f t="shared" si="52"/>
        <v>0</v>
      </c>
      <c r="ACY42">
        <f t="shared" si="52"/>
        <v>0</v>
      </c>
      <c r="ACZ42">
        <f t="shared" si="52"/>
        <v>0</v>
      </c>
      <c r="ADA42">
        <f t="shared" si="52"/>
        <v>0</v>
      </c>
      <c r="ADB42">
        <f t="shared" si="52"/>
        <v>0</v>
      </c>
      <c r="ADC42">
        <f t="shared" si="52"/>
        <v>0</v>
      </c>
      <c r="ADD42">
        <f t="shared" si="52"/>
        <v>0</v>
      </c>
      <c r="ADE42">
        <f t="shared" si="52"/>
        <v>0</v>
      </c>
      <c r="ADF42">
        <f t="shared" si="52"/>
        <v>0</v>
      </c>
      <c r="ADG42">
        <f t="shared" si="52"/>
        <v>0</v>
      </c>
      <c r="ADH42">
        <f t="shared" si="52"/>
        <v>0</v>
      </c>
      <c r="ADI42">
        <f t="shared" si="52"/>
        <v>0</v>
      </c>
      <c r="ADJ42">
        <f t="shared" si="52"/>
        <v>0</v>
      </c>
      <c r="ADK42">
        <f t="shared" si="52"/>
        <v>0</v>
      </c>
      <c r="ADL42">
        <f t="shared" si="52"/>
        <v>0</v>
      </c>
      <c r="ADM42">
        <f t="shared" si="52"/>
        <v>0</v>
      </c>
      <c r="ADN42">
        <f t="shared" si="52"/>
        <v>0</v>
      </c>
      <c r="ADO42">
        <f t="shared" si="52"/>
        <v>0</v>
      </c>
      <c r="ADP42">
        <f t="shared" si="52"/>
        <v>0</v>
      </c>
      <c r="ADQ42">
        <f t="shared" si="52"/>
        <v>0</v>
      </c>
      <c r="ADR42">
        <f t="shared" si="52"/>
        <v>0</v>
      </c>
      <c r="ADS42">
        <f t="shared" si="52"/>
        <v>0</v>
      </c>
      <c r="ADT42">
        <f t="shared" si="52"/>
        <v>0</v>
      </c>
      <c r="ADU42">
        <f t="shared" si="52"/>
        <v>0</v>
      </c>
      <c r="ADV42">
        <f t="shared" si="52"/>
        <v>0</v>
      </c>
      <c r="ADW42">
        <f t="shared" si="52"/>
        <v>0</v>
      </c>
      <c r="ADX42">
        <f t="shared" si="52"/>
        <v>0</v>
      </c>
      <c r="ADY42">
        <f t="shared" si="52"/>
        <v>0</v>
      </c>
      <c r="ADZ42">
        <f t="shared" si="52"/>
        <v>0</v>
      </c>
      <c r="AEA42">
        <f t="shared" si="52"/>
        <v>0</v>
      </c>
      <c r="AEB42">
        <f t="shared" si="52"/>
        <v>0</v>
      </c>
      <c r="AEC42">
        <f t="shared" si="52"/>
        <v>0</v>
      </c>
      <c r="AED42">
        <f t="shared" si="52"/>
        <v>0</v>
      </c>
      <c r="AEE42">
        <f t="shared" si="52"/>
        <v>0</v>
      </c>
      <c r="AEF42">
        <f t="shared" si="52"/>
        <v>0</v>
      </c>
      <c r="AEG42">
        <f t="shared" si="52"/>
        <v>0</v>
      </c>
      <c r="AEH42">
        <f t="shared" si="52"/>
        <v>0</v>
      </c>
      <c r="AEI42">
        <f t="shared" si="52"/>
        <v>0</v>
      </c>
      <c r="AEJ42">
        <f t="shared" si="52"/>
        <v>0</v>
      </c>
      <c r="AEK42">
        <f t="shared" si="52"/>
        <v>0</v>
      </c>
      <c r="AEL42">
        <f t="shared" si="52"/>
        <v>0</v>
      </c>
      <c r="AEM42">
        <f t="shared" si="52"/>
        <v>0</v>
      </c>
      <c r="AEN42">
        <f t="shared" si="52"/>
        <v>0</v>
      </c>
      <c r="AEO42">
        <f t="shared" si="52"/>
        <v>0</v>
      </c>
      <c r="AEP42">
        <f t="shared" si="52"/>
        <v>0</v>
      </c>
      <c r="AEQ42">
        <f t="shared" si="52"/>
        <v>0</v>
      </c>
      <c r="AER42">
        <f t="shared" si="52"/>
        <v>0</v>
      </c>
      <c r="AES42">
        <f t="shared" si="52"/>
        <v>0</v>
      </c>
      <c r="AET42">
        <f t="shared" si="52"/>
        <v>0</v>
      </c>
      <c r="AEU42">
        <f t="shared" si="52"/>
        <v>0</v>
      </c>
      <c r="AEV42">
        <f t="shared" si="52"/>
        <v>0</v>
      </c>
      <c r="AEW42">
        <f t="shared" si="52"/>
        <v>0</v>
      </c>
      <c r="AEX42">
        <f t="shared" ref="AEX42:AHI43" si="53">AEX41*1.6*1.2</f>
        <v>0</v>
      </c>
      <c r="AEY42">
        <f t="shared" si="53"/>
        <v>0</v>
      </c>
      <c r="AEZ42">
        <f t="shared" si="53"/>
        <v>0</v>
      </c>
      <c r="AFA42">
        <f t="shared" si="53"/>
        <v>0</v>
      </c>
      <c r="AFB42">
        <f t="shared" si="53"/>
        <v>0</v>
      </c>
      <c r="AFC42">
        <f t="shared" si="53"/>
        <v>0</v>
      </c>
      <c r="AFD42">
        <f t="shared" si="53"/>
        <v>0</v>
      </c>
      <c r="AFE42">
        <f t="shared" si="53"/>
        <v>0</v>
      </c>
      <c r="AFF42">
        <f t="shared" si="53"/>
        <v>0</v>
      </c>
      <c r="AFG42">
        <f t="shared" si="53"/>
        <v>0</v>
      </c>
      <c r="AFH42">
        <f t="shared" si="53"/>
        <v>0</v>
      </c>
      <c r="AFI42">
        <f t="shared" si="53"/>
        <v>0</v>
      </c>
      <c r="AFJ42">
        <f t="shared" si="53"/>
        <v>0</v>
      </c>
      <c r="AFK42">
        <f t="shared" si="53"/>
        <v>0</v>
      </c>
      <c r="AFL42">
        <f t="shared" si="53"/>
        <v>0</v>
      </c>
      <c r="AFM42">
        <f t="shared" si="53"/>
        <v>0</v>
      </c>
      <c r="AFN42">
        <f t="shared" si="53"/>
        <v>0</v>
      </c>
      <c r="AFO42">
        <f t="shared" si="53"/>
        <v>0</v>
      </c>
      <c r="AFP42">
        <f t="shared" si="53"/>
        <v>0</v>
      </c>
      <c r="AFQ42">
        <f t="shared" si="53"/>
        <v>0</v>
      </c>
      <c r="AFR42">
        <f t="shared" si="53"/>
        <v>0</v>
      </c>
      <c r="AFS42">
        <f t="shared" si="53"/>
        <v>0</v>
      </c>
      <c r="AFT42">
        <f t="shared" si="53"/>
        <v>0</v>
      </c>
      <c r="AFU42">
        <f t="shared" si="53"/>
        <v>0</v>
      </c>
      <c r="AFV42">
        <f t="shared" si="53"/>
        <v>0</v>
      </c>
      <c r="AFW42">
        <f t="shared" si="53"/>
        <v>0</v>
      </c>
      <c r="AFX42">
        <f t="shared" si="53"/>
        <v>0</v>
      </c>
      <c r="AFY42">
        <f t="shared" si="53"/>
        <v>0</v>
      </c>
      <c r="AFZ42">
        <f t="shared" si="53"/>
        <v>0</v>
      </c>
      <c r="AGA42">
        <f t="shared" si="53"/>
        <v>0</v>
      </c>
      <c r="AGB42">
        <f t="shared" si="53"/>
        <v>0</v>
      </c>
      <c r="AGC42">
        <f t="shared" si="53"/>
        <v>0</v>
      </c>
      <c r="AGD42">
        <f t="shared" si="53"/>
        <v>0</v>
      </c>
      <c r="AGE42">
        <f t="shared" si="53"/>
        <v>0</v>
      </c>
      <c r="AGF42">
        <f t="shared" si="53"/>
        <v>0</v>
      </c>
      <c r="AGG42">
        <f t="shared" si="53"/>
        <v>0</v>
      </c>
      <c r="AGH42">
        <f t="shared" si="53"/>
        <v>0</v>
      </c>
      <c r="AGI42">
        <f t="shared" si="53"/>
        <v>0</v>
      </c>
      <c r="AGJ42">
        <f t="shared" si="53"/>
        <v>0</v>
      </c>
      <c r="AGK42">
        <f t="shared" si="53"/>
        <v>0</v>
      </c>
      <c r="AGL42">
        <f t="shared" si="53"/>
        <v>0</v>
      </c>
      <c r="AGM42">
        <f t="shared" si="53"/>
        <v>0</v>
      </c>
      <c r="AGN42">
        <f t="shared" si="53"/>
        <v>0</v>
      </c>
      <c r="AGO42">
        <f t="shared" si="53"/>
        <v>0</v>
      </c>
      <c r="AGP42">
        <f t="shared" si="53"/>
        <v>0</v>
      </c>
      <c r="AGQ42">
        <f t="shared" si="53"/>
        <v>0</v>
      </c>
      <c r="AGR42">
        <f t="shared" si="53"/>
        <v>0</v>
      </c>
      <c r="AGS42">
        <f t="shared" si="53"/>
        <v>0</v>
      </c>
      <c r="AGT42">
        <f t="shared" si="53"/>
        <v>0</v>
      </c>
      <c r="AGU42">
        <f t="shared" si="53"/>
        <v>0</v>
      </c>
      <c r="AGV42">
        <f t="shared" si="53"/>
        <v>0</v>
      </c>
      <c r="AGW42">
        <f t="shared" si="53"/>
        <v>0</v>
      </c>
      <c r="AGX42">
        <f t="shared" si="53"/>
        <v>0</v>
      </c>
      <c r="AGY42">
        <f t="shared" si="53"/>
        <v>0</v>
      </c>
      <c r="AGZ42">
        <f t="shared" si="53"/>
        <v>0</v>
      </c>
      <c r="AHA42">
        <f t="shared" si="53"/>
        <v>0</v>
      </c>
      <c r="AHB42">
        <f t="shared" si="53"/>
        <v>0</v>
      </c>
      <c r="AHC42">
        <f t="shared" si="53"/>
        <v>0</v>
      </c>
      <c r="AHD42">
        <f t="shared" si="53"/>
        <v>0</v>
      </c>
      <c r="AHE42">
        <f t="shared" si="53"/>
        <v>0</v>
      </c>
      <c r="AHF42">
        <f t="shared" si="53"/>
        <v>0</v>
      </c>
      <c r="AHG42">
        <f t="shared" si="53"/>
        <v>0</v>
      </c>
      <c r="AHH42">
        <f t="shared" si="53"/>
        <v>0</v>
      </c>
      <c r="AHI42">
        <f t="shared" si="53"/>
        <v>0</v>
      </c>
      <c r="AHJ42">
        <f t="shared" ref="AHJ42:AJU43" si="54">AHJ41*1.6*1.2</f>
        <v>0</v>
      </c>
      <c r="AHK42">
        <f t="shared" si="54"/>
        <v>0</v>
      </c>
      <c r="AHL42">
        <f t="shared" si="54"/>
        <v>0</v>
      </c>
      <c r="AHM42">
        <f t="shared" si="54"/>
        <v>0</v>
      </c>
      <c r="AHN42">
        <f t="shared" si="54"/>
        <v>0</v>
      </c>
      <c r="AHO42">
        <f t="shared" si="54"/>
        <v>0</v>
      </c>
      <c r="AHP42">
        <f t="shared" si="54"/>
        <v>0</v>
      </c>
      <c r="AHQ42">
        <f t="shared" si="54"/>
        <v>0</v>
      </c>
      <c r="AHR42">
        <f t="shared" si="54"/>
        <v>0</v>
      </c>
      <c r="AHS42">
        <f t="shared" si="54"/>
        <v>0</v>
      </c>
      <c r="AHT42">
        <f t="shared" si="54"/>
        <v>0</v>
      </c>
      <c r="AHU42">
        <f t="shared" si="54"/>
        <v>0</v>
      </c>
      <c r="AHV42">
        <f t="shared" si="54"/>
        <v>0</v>
      </c>
      <c r="AHW42">
        <f t="shared" si="54"/>
        <v>0</v>
      </c>
      <c r="AHX42">
        <f t="shared" si="54"/>
        <v>0</v>
      </c>
      <c r="AHY42">
        <f t="shared" si="54"/>
        <v>0</v>
      </c>
      <c r="AHZ42">
        <f t="shared" si="54"/>
        <v>0</v>
      </c>
      <c r="AIA42">
        <f t="shared" si="54"/>
        <v>0</v>
      </c>
      <c r="AIB42">
        <f t="shared" si="54"/>
        <v>0</v>
      </c>
      <c r="AIC42">
        <f t="shared" si="54"/>
        <v>0</v>
      </c>
      <c r="AID42">
        <f t="shared" si="54"/>
        <v>0</v>
      </c>
      <c r="AIE42">
        <f t="shared" si="54"/>
        <v>0</v>
      </c>
      <c r="AIF42">
        <f t="shared" si="54"/>
        <v>0</v>
      </c>
      <c r="AIG42">
        <f t="shared" si="54"/>
        <v>0</v>
      </c>
      <c r="AIH42">
        <f t="shared" si="54"/>
        <v>0</v>
      </c>
      <c r="AII42">
        <f t="shared" si="54"/>
        <v>0</v>
      </c>
      <c r="AIJ42">
        <f t="shared" si="54"/>
        <v>0</v>
      </c>
      <c r="AIK42">
        <f t="shared" si="54"/>
        <v>0</v>
      </c>
      <c r="AIL42">
        <f t="shared" si="54"/>
        <v>0</v>
      </c>
      <c r="AIM42">
        <f t="shared" si="54"/>
        <v>0</v>
      </c>
      <c r="AIN42">
        <f t="shared" si="54"/>
        <v>0</v>
      </c>
      <c r="AIO42">
        <f t="shared" si="54"/>
        <v>0</v>
      </c>
      <c r="AIP42">
        <f t="shared" si="54"/>
        <v>0</v>
      </c>
      <c r="AIQ42">
        <f t="shared" si="54"/>
        <v>0</v>
      </c>
      <c r="AIR42">
        <f t="shared" si="54"/>
        <v>0</v>
      </c>
      <c r="AIS42">
        <f t="shared" si="54"/>
        <v>0</v>
      </c>
      <c r="AIT42">
        <f t="shared" si="54"/>
        <v>0</v>
      </c>
      <c r="AIU42">
        <f t="shared" si="54"/>
        <v>0</v>
      </c>
      <c r="AIV42">
        <f t="shared" si="54"/>
        <v>0</v>
      </c>
      <c r="AIW42">
        <f t="shared" si="54"/>
        <v>0</v>
      </c>
      <c r="AIX42">
        <f t="shared" si="54"/>
        <v>0</v>
      </c>
      <c r="AIY42">
        <f t="shared" si="54"/>
        <v>0</v>
      </c>
      <c r="AIZ42">
        <f t="shared" si="54"/>
        <v>0</v>
      </c>
      <c r="AJA42">
        <f t="shared" si="54"/>
        <v>0</v>
      </c>
      <c r="AJB42">
        <f t="shared" si="54"/>
        <v>0</v>
      </c>
      <c r="AJC42">
        <f t="shared" si="54"/>
        <v>0</v>
      </c>
      <c r="AJD42">
        <f t="shared" si="54"/>
        <v>0</v>
      </c>
      <c r="AJE42">
        <f t="shared" si="54"/>
        <v>0</v>
      </c>
      <c r="AJF42">
        <f t="shared" si="54"/>
        <v>0</v>
      </c>
      <c r="AJG42">
        <f t="shared" si="54"/>
        <v>0</v>
      </c>
      <c r="AJH42">
        <f t="shared" si="54"/>
        <v>0</v>
      </c>
      <c r="AJI42">
        <f t="shared" si="54"/>
        <v>0</v>
      </c>
      <c r="AJJ42">
        <f t="shared" si="54"/>
        <v>0</v>
      </c>
      <c r="AJK42">
        <f t="shared" si="54"/>
        <v>0</v>
      </c>
      <c r="AJL42">
        <f t="shared" si="54"/>
        <v>0</v>
      </c>
      <c r="AJM42">
        <f t="shared" si="54"/>
        <v>0</v>
      </c>
      <c r="AJN42">
        <f t="shared" si="54"/>
        <v>0</v>
      </c>
      <c r="AJO42">
        <f t="shared" si="54"/>
        <v>0</v>
      </c>
      <c r="AJP42">
        <f t="shared" si="54"/>
        <v>0</v>
      </c>
      <c r="AJQ42">
        <f t="shared" si="54"/>
        <v>0</v>
      </c>
      <c r="AJR42">
        <f t="shared" si="54"/>
        <v>0</v>
      </c>
      <c r="AJS42">
        <f t="shared" si="54"/>
        <v>0</v>
      </c>
      <c r="AJT42">
        <f t="shared" si="54"/>
        <v>0</v>
      </c>
      <c r="AJU42">
        <f t="shared" si="54"/>
        <v>0</v>
      </c>
      <c r="AJV42">
        <f t="shared" ref="AJV42:AMG43" si="55">AJV41*1.6*1.2</f>
        <v>0</v>
      </c>
      <c r="AJW42">
        <f t="shared" si="55"/>
        <v>0</v>
      </c>
      <c r="AJX42">
        <f t="shared" si="55"/>
        <v>0</v>
      </c>
      <c r="AJY42">
        <f t="shared" si="55"/>
        <v>0</v>
      </c>
      <c r="AJZ42">
        <f t="shared" si="55"/>
        <v>0</v>
      </c>
      <c r="AKA42">
        <f t="shared" si="55"/>
        <v>0</v>
      </c>
      <c r="AKB42">
        <f t="shared" si="55"/>
        <v>0</v>
      </c>
      <c r="AKC42">
        <f t="shared" si="55"/>
        <v>0</v>
      </c>
      <c r="AKD42">
        <f t="shared" si="55"/>
        <v>0</v>
      </c>
      <c r="AKE42">
        <f t="shared" si="55"/>
        <v>0</v>
      </c>
      <c r="AKF42">
        <f t="shared" si="55"/>
        <v>0</v>
      </c>
      <c r="AKG42">
        <f t="shared" si="55"/>
        <v>0</v>
      </c>
      <c r="AKH42">
        <f t="shared" si="55"/>
        <v>0</v>
      </c>
      <c r="AKI42">
        <f t="shared" si="55"/>
        <v>0</v>
      </c>
      <c r="AKJ42">
        <f t="shared" si="55"/>
        <v>0</v>
      </c>
      <c r="AKK42">
        <f t="shared" si="55"/>
        <v>0</v>
      </c>
      <c r="AKL42">
        <f t="shared" si="55"/>
        <v>0</v>
      </c>
      <c r="AKM42">
        <f t="shared" si="55"/>
        <v>0</v>
      </c>
      <c r="AKN42">
        <f t="shared" si="55"/>
        <v>0</v>
      </c>
      <c r="AKO42">
        <f t="shared" si="55"/>
        <v>0</v>
      </c>
      <c r="AKP42">
        <f t="shared" si="55"/>
        <v>0</v>
      </c>
      <c r="AKQ42">
        <f t="shared" si="55"/>
        <v>0</v>
      </c>
      <c r="AKR42">
        <f t="shared" si="55"/>
        <v>0</v>
      </c>
      <c r="AKS42">
        <f t="shared" si="55"/>
        <v>0</v>
      </c>
      <c r="AKT42">
        <f t="shared" si="55"/>
        <v>0</v>
      </c>
      <c r="AKU42">
        <f t="shared" si="55"/>
        <v>0</v>
      </c>
      <c r="AKV42">
        <f t="shared" si="55"/>
        <v>0</v>
      </c>
      <c r="AKW42">
        <f t="shared" si="55"/>
        <v>0</v>
      </c>
      <c r="AKX42">
        <f t="shared" si="55"/>
        <v>0</v>
      </c>
      <c r="AKY42">
        <f t="shared" si="55"/>
        <v>0</v>
      </c>
      <c r="AKZ42">
        <f t="shared" si="55"/>
        <v>0</v>
      </c>
      <c r="ALA42">
        <f t="shared" si="55"/>
        <v>0</v>
      </c>
      <c r="ALB42">
        <f t="shared" si="55"/>
        <v>0</v>
      </c>
      <c r="ALC42">
        <f t="shared" si="55"/>
        <v>0</v>
      </c>
      <c r="ALD42">
        <f t="shared" si="55"/>
        <v>0</v>
      </c>
      <c r="ALE42">
        <f t="shared" si="55"/>
        <v>0</v>
      </c>
      <c r="ALF42">
        <f t="shared" si="55"/>
        <v>0</v>
      </c>
      <c r="ALG42">
        <f t="shared" si="55"/>
        <v>0</v>
      </c>
      <c r="ALH42">
        <f t="shared" si="55"/>
        <v>0</v>
      </c>
      <c r="ALI42">
        <f t="shared" si="55"/>
        <v>0</v>
      </c>
      <c r="ALJ42">
        <f t="shared" si="55"/>
        <v>0</v>
      </c>
      <c r="ALK42">
        <f t="shared" si="55"/>
        <v>0</v>
      </c>
      <c r="ALL42">
        <f t="shared" si="55"/>
        <v>0</v>
      </c>
      <c r="ALM42">
        <f t="shared" si="55"/>
        <v>0</v>
      </c>
      <c r="ALN42">
        <f t="shared" si="55"/>
        <v>0</v>
      </c>
      <c r="ALO42">
        <f t="shared" si="55"/>
        <v>0</v>
      </c>
      <c r="ALP42">
        <f t="shared" si="55"/>
        <v>0</v>
      </c>
      <c r="ALQ42">
        <f t="shared" si="55"/>
        <v>0</v>
      </c>
      <c r="ALR42">
        <f t="shared" si="55"/>
        <v>0</v>
      </c>
      <c r="ALS42">
        <f t="shared" si="55"/>
        <v>0</v>
      </c>
      <c r="ALT42">
        <f t="shared" si="55"/>
        <v>0</v>
      </c>
      <c r="ALU42">
        <f t="shared" si="55"/>
        <v>0</v>
      </c>
      <c r="ALV42">
        <f t="shared" si="55"/>
        <v>0</v>
      </c>
      <c r="ALW42">
        <f t="shared" si="55"/>
        <v>0</v>
      </c>
      <c r="ALX42">
        <f t="shared" si="55"/>
        <v>0</v>
      </c>
      <c r="ALY42">
        <f t="shared" si="55"/>
        <v>0</v>
      </c>
      <c r="ALZ42">
        <f t="shared" si="55"/>
        <v>0</v>
      </c>
      <c r="AMA42">
        <f t="shared" si="55"/>
        <v>0</v>
      </c>
      <c r="AMB42">
        <f t="shared" si="55"/>
        <v>0</v>
      </c>
      <c r="AMC42">
        <f t="shared" si="55"/>
        <v>0</v>
      </c>
      <c r="AMD42">
        <f t="shared" si="55"/>
        <v>0</v>
      </c>
      <c r="AME42">
        <f t="shared" si="55"/>
        <v>0</v>
      </c>
      <c r="AMF42">
        <f t="shared" si="55"/>
        <v>0</v>
      </c>
      <c r="AMG42">
        <f t="shared" si="55"/>
        <v>0</v>
      </c>
      <c r="AMH42">
        <f t="shared" ref="AMH42:AOS43" si="56">AMH41*1.6*1.2</f>
        <v>0</v>
      </c>
      <c r="AMI42">
        <f t="shared" si="56"/>
        <v>0</v>
      </c>
      <c r="AMJ42">
        <f t="shared" si="56"/>
        <v>0</v>
      </c>
      <c r="AMK42">
        <f t="shared" si="56"/>
        <v>0</v>
      </c>
      <c r="AML42">
        <f t="shared" si="56"/>
        <v>0</v>
      </c>
      <c r="AMM42">
        <f t="shared" si="56"/>
        <v>0</v>
      </c>
      <c r="AMN42">
        <f t="shared" si="56"/>
        <v>0</v>
      </c>
      <c r="AMO42">
        <f t="shared" si="56"/>
        <v>0</v>
      </c>
      <c r="AMP42">
        <f t="shared" si="56"/>
        <v>0</v>
      </c>
      <c r="AMQ42">
        <f t="shared" si="56"/>
        <v>0</v>
      </c>
      <c r="AMR42">
        <f t="shared" si="56"/>
        <v>0</v>
      </c>
      <c r="AMS42">
        <f t="shared" si="56"/>
        <v>0</v>
      </c>
      <c r="AMT42">
        <f t="shared" si="56"/>
        <v>0</v>
      </c>
      <c r="AMU42">
        <f t="shared" si="56"/>
        <v>0</v>
      </c>
      <c r="AMV42">
        <f t="shared" si="56"/>
        <v>0</v>
      </c>
      <c r="AMW42">
        <f t="shared" si="56"/>
        <v>0</v>
      </c>
      <c r="AMX42">
        <f t="shared" si="56"/>
        <v>0</v>
      </c>
      <c r="AMY42">
        <f t="shared" si="56"/>
        <v>0</v>
      </c>
      <c r="AMZ42">
        <f t="shared" si="56"/>
        <v>0</v>
      </c>
      <c r="ANA42">
        <f t="shared" si="56"/>
        <v>0</v>
      </c>
      <c r="ANB42">
        <f t="shared" si="56"/>
        <v>0</v>
      </c>
      <c r="ANC42">
        <f t="shared" si="56"/>
        <v>0</v>
      </c>
      <c r="AND42">
        <f t="shared" si="56"/>
        <v>0</v>
      </c>
      <c r="ANE42">
        <f t="shared" si="56"/>
        <v>0</v>
      </c>
      <c r="ANF42">
        <f t="shared" si="56"/>
        <v>0</v>
      </c>
      <c r="ANG42">
        <f t="shared" si="56"/>
        <v>0</v>
      </c>
      <c r="ANH42">
        <f t="shared" si="56"/>
        <v>0</v>
      </c>
      <c r="ANI42">
        <f t="shared" si="56"/>
        <v>0</v>
      </c>
      <c r="ANJ42">
        <f t="shared" si="56"/>
        <v>0</v>
      </c>
      <c r="ANK42">
        <f t="shared" si="56"/>
        <v>0</v>
      </c>
      <c r="ANL42">
        <f t="shared" si="56"/>
        <v>0</v>
      </c>
      <c r="ANM42">
        <f t="shared" si="56"/>
        <v>0</v>
      </c>
      <c r="ANN42">
        <f t="shared" si="56"/>
        <v>0</v>
      </c>
      <c r="ANO42">
        <f t="shared" si="56"/>
        <v>0</v>
      </c>
      <c r="ANP42">
        <f t="shared" si="56"/>
        <v>0</v>
      </c>
      <c r="ANQ42">
        <f t="shared" si="56"/>
        <v>0</v>
      </c>
      <c r="ANR42">
        <f t="shared" si="56"/>
        <v>0</v>
      </c>
      <c r="ANS42">
        <f t="shared" si="56"/>
        <v>0</v>
      </c>
      <c r="ANT42">
        <f t="shared" si="56"/>
        <v>0</v>
      </c>
      <c r="ANU42">
        <f t="shared" si="56"/>
        <v>0</v>
      </c>
      <c r="ANV42">
        <f t="shared" si="56"/>
        <v>0</v>
      </c>
      <c r="ANW42">
        <f t="shared" si="56"/>
        <v>0</v>
      </c>
      <c r="ANX42">
        <f t="shared" si="56"/>
        <v>0</v>
      </c>
      <c r="ANY42">
        <f t="shared" si="56"/>
        <v>0</v>
      </c>
      <c r="ANZ42">
        <f t="shared" si="56"/>
        <v>0</v>
      </c>
      <c r="AOA42">
        <f t="shared" si="56"/>
        <v>0</v>
      </c>
      <c r="AOB42">
        <f t="shared" si="56"/>
        <v>0</v>
      </c>
      <c r="AOC42">
        <f t="shared" si="56"/>
        <v>0</v>
      </c>
      <c r="AOD42">
        <f t="shared" si="56"/>
        <v>0</v>
      </c>
      <c r="AOE42">
        <f t="shared" si="56"/>
        <v>0</v>
      </c>
      <c r="AOF42">
        <f t="shared" si="56"/>
        <v>0</v>
      </c>
      <c r="AOG42">
        <f t="shared" si="56"/>
        <v>0</v>
      </c>
      <c r="AOH42">
        <f t="shared" si="56"/>
        <v>0</v>
      </c>
      <c r="AOI42">
        <f t="shared" si="56"/>
        <v>0</v>
      </c>
      <c r="AOJ42">
        <f t="shared" si="56"/>
        <v>0</v>
      </c>
      <c r="AOK42">
        <f t="shared" si="56"/>
        <v>0</v>
      </c>
      <c r="AOL42">
        <f t="shared" si="56"/>
        <v>0</v>
      </c>
      <c r="AOM42">
        <f t="shared" si="56"/>
        <v>0</v>
      </c>
      <c r="AON42">
        <f t="shared" si="56"/>
        <v>0</v>
      </c>
      <c r="AOO42">
        <f t="shared" si="56"/>
        <v>0</v>
      </c>
      <c r="AOP42">
        <f t="shared" si="56"/>
        <v>0</v>
      </c>
      <c r="AOQ42">
        <f t="shared" si="56"/>
        <v>0</v>
      </c>
      <c r="AOR42">
        <f t="shared" si="56"/>
        <v>0</v>
      </c>
      <c r="AOS42">
        <f t="shared" si="56"/>
        <v>0</v>
      </c>
      <c r="AOT42">
        <f t="shared" ref="AOT42:ARE43" si="57">AOT41*1.6*1.2</f>
        <v>0</v>
      </c>
      <c r="AOU42">
        <f t="shared" si="57"/>
        <v>0</v>
      </c>
      <c r="AOV42">
        <f t="shared" si="57"/>
        <v>0</v>
      </c>
      <c r="AOW42">
        <f t="shared" si="57"/>
        <v>0</v>
      </c>
      <c r="AOX42">
        <f t="shared" si="57"/>
        <v>0</v>
      </c>
      <c r="AOY42">
        <f t="shared" si="57"/>
        <v>0</v>
      </c>
      <c r="AOZ42">
        <f t="shared" si="57"/>
        <v>0</v>
      </c>
      <c r="APA42">
        <f t="shared" si="57"/>
        <v>0</v>
      </c>
      <c r="APB42">
        <f t="shared" si="57"/>
        <v>0</v>
      </c>
      <c r="APC42">
        <f t="shared" si="57"/>
        <v>0</v>
      </c>
      <c r="APD42">
        <f t="shared" si="57"/>
        <v>0</v>
      </c>
      <c r="APE42">
        <f t="shared" si="57"/>
        <v>0</v>
      </c>
      <c r="APF42">
        <f t="shared" si="57"/>
        <v>0</v>
      </c>
      <c r="APG42">
        <f t="shared" si="57"/>
        <v>0</v>
      </c>
      <c r="APH42">
        <f t="shared" si="57"/>
        <v>0</v>
      </c>
      <c r="API42">
        <f t="shared" si="57"/>
        <v>0</v>
      </c>
      <c r="APJ42">
        <f t="shared" si="57"/>
        <v>0</v>
      </c>
      <c r="APK42">
        <f t="shared" si="57"/>
        <v>0</v>
      </c>
      <c r="APL42">
        <f t="shared" si="57"/>
        <v>0</v>
      </c>
      <c r="APM42">
        <f t="shared" si="57"/>
        <v>0</v>
      </c>
      <c r="APN42">
        <f t="shared" si="57"/>
        <v>0</v>
      </c>
      <c r="APO42">
        <f t="shared" si="57"/>
        <v>0</v>
      </c>
      <c r="APP42">
        <f t="shared" si="57"/>
        <v>0</v>
      </c>
      <c r="APQ42">
        <f t="shared" si="57"/>
        <v>0</v>
      </c>
      <c r="APR42">
        <f t="shared" si="57"/>
        <v>0</v>
      </c>
      <c r="APS42">
        <f t="shared" si="57"/>
        <v>0</v>
      </c>
      <c r="APT42">
        <f t="shared" si="57"/>
        <v>0</v>
      </c>
      <c r="APU42">
        <f t="shared" si="57"/>
        <v>0</v>
      </c>
      <c r="APV42">
        <f t="shared" si="57"/>
        <v>0</v>
      </c>
      <c r="APW42">
        <f t="shared" si="57"/>
        <v>0</v>
      </c>
      <c r="APX42">
        <f t="shared" si="57"/>
        <v>0</v>
      </c>
      <c r="APY42">
        <f t="shared" si="57"/>
        <v>0</v>
      </c>
      <c r="APZ42">
        <f t="shared" si="57"/>
        <v>0</v>
      </c>
      <c r="AQA42">
        <f t="shared" si="57"/>
        <v>0</v>
      </c>
      <c r="AQB42">
        <f t="shared" si="57"/>
        <v>0</v>
      </c>
      <c r="AQC42">
        <f t="shared" si="57"/>
        <v>0</v>
      </c>
      <c r="AQD42">
        <f t="shared" si="57"/>
        <v>0</v>
      </c>
      <c r="AQE42">
        <f t="shared" si="57"/>
        <v>0</v>
      </c>
      <c r="AQF42">
        <f t="shared" si="57"/>
        <v>0</v>
      </c>
      <c r="AQG42">
        <f t="shared" si="57"/>
        <v>0</v>
      </c>
      <c r="AQH42">
        <f t="shared" si="57"/>
        <v>0</v>
      </c>
      <c r="AQI42">
        <f t="shared" si="57"/>
        <v>0</v>
      </c>
      <c r="AQJ42">
        <f t="shared" si="57"/>
        <v>0</v>
      </c>
      <c r="AQK42">
        <f t="shared" si="57"/>
        <v>0</v>
      </c>
      <c r="AQL42">
        <f t="shared" si="57"/>
        <v>0</v>
      </c>
      <c r="AQM42">
        <f t="shared" si="57"/>
        <v>0</v>
      </c>
      <c r="AQN42">
        <f t="shared" si="57"/>
        <v>0</v>
      </c>
      <c r="AQO42">
        <f t="shared" si="57"/>
        <v>0</v>
      </c>
      <c r="AQP42">
        <f t="shared" si="57"/>
        <v>0</v>
      </c>
      <c r="AQQ42">
        <f t="shared" si="57"/>
        <v>0</v>
      </c>
      <c r="AQR42">
        <f t="shared" si="57"/>
        <v>0</v>
      </c>
      <c r="AQS42">
        <f t="shared" si="57"/>
        <v>0</v>
      </c>
      <c r="AQT42">
        <f t="shared" si="57"/>
        <v>0</v>
      </c>
      <c r="AQU42">
        <f t="shared" si="57"/>
        <v>0</v>
      </c>
      <c r="AQV42">
        <f t="shared" si="57"/>
        <v>0</v>
      </c>
      <c r="AQW42">
        <f t="shared" si="57"/>
        <v>0</v>
      </c>
      <c r="AQX42">
        <f t="shared" si="57"/>
        <v>0</v>
      </c>
      <c r="AQY42">
        <f t="shared" si="57"/>
        <v>0</v>
      </c>
      <c r="AQZ42">
        <f t="shared" si="57"/>
        <v>0</v>
      </c>
      <c r="ARA42">
        <f t="shared" si="57"/>
        <v>0</v>
      </c>
      <c r="ARB42">
        <f t="shared" si="57"/>
        <v>0</v>
      </c>
      <c r="ARC42">
        <f t="shared" si="57"/>
        <v>0</v>
      </c>
      <c r="ARD42">
        <f t="shared" si="57"/>
        <v>0</v>
      </c>
      <c r="ARE42">
        <f t="shared" si="57"/>
        <v>0</v>
      </c>
      <c r="ARF42">
        <f t="shared" ref="ARF42:ATQ43" si="58">ARF41*1.6*1.2</f>
        <v>0</v>
      </c>
      <c r="ARG42">
        <f t="shared" si="58"/>
        <v>0</v>
      </c>
      <c r="ARH42">
        <f t="shared" si="58"/>
        <v>0</v>
      </c>
      <c r="ARI42">
        <f t="shared" si="58"/>
        <v>0</v>
      </c>
      <c r="ARJ42">
        <f t="shared" si="58"/>
        <v>0</v>
      </c>
      <c r="ARK42">
        <f t="shared" si="58"/>
        <v>0</v>
      </c>
      <c r="ARL42">
        <f t="shared" si="58"/>
        <v>0</v>
      </c>
      <c r="ARM42">
        <f t="shared" si="58"/>
        <v>0</v>
      </c>
      <c r="ARN42">
        <f t="shared" si="58"/>
        <v>0</v>
      </c>
      <c r="ARO42">
        <f t="shared" si="58"/>
        <v>0</v>
      </c>
      <c r="ARP42">
        <f t="shared" si="58"/>
        <v>0</v>
      </c>
      <c r="ARQ42">
        <f t="shared" si="58"/>
        <v>0</v>
      </c>
      <c r="ARR42">
        <f t="shared" si="58"/>
        <v>0</v>
      </c>
      <c r="ARS42">
        <f t="shared" si="58"/>
        <v>0</v>
      </c>
      <c r="ART42">
        <f t="shared" si="58"/>
        <v>0</v>
      </c>
      <c r="ARU42">
        <f t="shared" si="58"/>
        <v>0</v>
      </c>
      <c r="ARV42">
        <f t="shared" si="58"/>
        <v>0</v>
      </c>
      <c r="ARW42">
        <f t="shared" si="58"/>
        <v>0</v>
      </c>
      <c r="ARX42">
        <f t="shared" si="58"/>
        <v>0</v>
      </c>
      <c r="ARY42">
        <f t="shared" si="58"/>
        <v>0</v>
      </c>
      <c r="ARZ42">
        <f t="shared" si="58"/>
        <v>0</v>
      </c>
      <c r="ASA42">
        <f t="shared" si="58"/>
        <v>0</v>
      </c>
      <c r="ASB42">
        <f t="shared" si="58"/>
        <v>0</v>
      </c>
      <c r="ASC42">
        <f t="shared" si="58"/>
        <v>0</v>
      </c>
      <c r="ASD42">
        <f t="shared" si="58"/>
        <v>0</v>
      </c>
      <c r="ASE42">
        <f t="shared" si="58"/>
        <v>0</v>
      </c>
      <c r="ASF42">
        <f t="shared" si="58"/>
        <v>0</v>
      </c>
      <c r="ASG42">
        <f t="shared" si="58"/>
        <v>0</v>
      </c>
      <c r="ASH42">
        <f t="shared" si="58"/>
        <v>0</v>
      </c>
      <c r="ASI42">
        <f t="shared" si="58"/>
        <v>0</v>
      </c>
      <c r="ASJ42">
        <f t="shared" si="58"/>
        <v>0</v>
      </c>
      <c r="ASK42">
        <f t="shared" si="58"/>
        <v>0</v>
      </c>
      <c r="ASL42">
        <f t="shared" si="58"/>
        <v>0</v>
      </c>
      <c r="ASM42">
        <f t="shared" si="58"/>
        <v>0</v>
      </c>
      <c r="ASN42">
        <f t="shared" si="58"/>
        <v>0</v>
      </c>
      <c r="ASO42">
        <f t="shared" si="58"/>
        <v>0</v>
      </c>
      <c r="ASP42">
        <f t="shared" si="58"/>
        <v>0</v>
      </c>
      <c r="ASQ42">
        <f t="shared" si="58"/>
        <v>0</v>
      </c>
      <c r="ASR42">
        <f t="shared" si="58"/>
        <v>0</v>
      </c>
      <c r="ASS42">
        <f t="shared" si="58"/>
        <v>0</v>
      </c>
      <c r="AST42">
        <f t="shared" si="58"/>
        <v>0</v>
      </c>
      <c r="ASU42">
        <f t="shared" si="58"/>
        <v>0</v>
      </c>
      <c r="ASV42">
        <f t="shared" si="58"/>
        <v>0</v>
      </c>
      <c r="ASW42">
        <f t="shared" si="58"/>
        <v>0</v>
      </c>
      <c r="ASX42">
        <f t="shared" si="58"/>
        <v>0</v>
      </c>
      <c r="ASY42">
        <f t="shared" si="58"/>
        <v>0</v>
      </c>
      <c r="ASZ42">
        <f t="shared" si="58"/>
        <v>0</v>
      </c>
      <c r="ATA42">
        <f t="shared" si="58"/>
        <v>0</v>
      </c>
      <c r="ATB42">
        <f t="shared" si="58"/>
        <v>0</v>
      </c>
      <c r="ATC42">
        <f t="shared" si="58"/>
        <v>0</v>
      </c>
      <c r="ATD42">
        <f t="shared" si="58"/>
        <v>0</v>
      </c>
      <c r="ATE42">
        <f t="shared" si="58"/>
        <v>0</v>
      </c>
      <c r="ATF42">
        <f t="shared" si="58"/>
        <v>0</v>
      </c>
      <c r="ATG42">
        <f t="shared" si="58"/>
        <v>0</v>
      </c>
      <c r="ATH42">
        <f t="shared" si="58"/>
        <v>0</v>
      </c>
      <c r="ATI42">
        <f t="shared" si="58"/>
        <v>0</v>
      </c>
      <c r="ATJ42">
        <f t="shared" si="58"/>
        <v>0</v>
      </c>
      <c r="ATK42">
        <f t="shared" si="58"/>
        <v>0</v>
      </c>
      <c r="ATL42">
        <f t="shared" si="58"/>
        <v>0</v>
      </c>
      <c r="ATM42">
        <f t="shared" si="58"/>
        <v>0</v>
      </c>
      <c r="ATN42">
        <f t="shared" si="58"/>
        <v>0</v>
      </c>
      <c r="ATO42">
        <f t="shared" si="58"/>
        <v>0</v>
      </c>
      <c r="ATP42">
        <f t="shared" si="58"/>
        <v>0</v>
      </c>
      <c r="ATQ42">
        <f t="shared" si="58"/>
        <v>0</v>
      </c>
      <c r="ATR42">
        <f t="shared" ref="ATR42:AWC43" si="59">ATR41*1.6*1.2</f>
        <v>0</v>
      </c>
      <c r="ATS42">
        <f t="shared" si="59"/>
        <v>0</v>
      </c>
      <c r="ATT42">
        <f t="shared" si="59"/>
        <v>0</v>
      </c>
      <c r="ATU42">
        <f t="shared" si="59"/>
        <v>0</v>
      </c>
      <c r="ATV42">
        <f t="shared" si="59"/>
        <v>0</v>
      </c>
      <c r="ATW42">
        <f t="shared" si="59"/>
        <v>0</v>
      </c>
      <c r="ATX42">
        <f t="shared" si="59"/>
        <v>0</v>
      </c>
      <c r="ATY42">
        <f t="shared" si="59"/>
        <v>0</v>
      </c>
      <c r="ATZ42">
        <f t="shared" si="59"/>
        <v>0</v>
      </c>
      <c r="AUA42">
        <f t="shared" si="59"/>
        <v>0</v>
      </c>
      <c r="AUB42">
        <f t="shared" si="59"/>
        <v>0</v>
      </c>
      <c r="AUC42">
        <f t="shared" si="59"/>
        <v>0</v>
      </c>
      <c r="AUD42">
        <f t="shared" si="59"/>
        <v>0</v>
      </c>
      <c r="AUE42">
        <f t="shared" si="59"/>
        <v>0</v>
      </c>
      <c r="AUF42">
        <f t="shared" si="59"/>
        <v>0</v>
      </c>
      <c r="AUG42">
        <f t="shared" si="59"/>
        <v>0</v>
      </c>
      <c r="AUH42">
        <f t="shared" si="59"/>
        <v>0</v>
      </c>
      <c r="AUI42">
        <f t="shared" si="59"/>
        <v>0</v>
      </c>
      <c r="AUJ42">
        <f t="shared" si="59"/>
        <v>0</v>
      </c>
      <c r="AUK42">
        <f t="shared" si="59"/>
        <v>0</v>
      </c>
      <c r="AUL42">
        <f t="shared" si="59"/>
        <v>0</v>
      </c>
      <c r="AUM42">
        <f t="shared" si="59"/>
        <v>0</v>
      </c>
      <c r="AUN42">
        <f t="shared" si="59"/>
        <v>0</v>
      </c>
      <c r="AUO42">
        <f t="shared" si="59"/>
        <v>0</v>
      </c>
      <c r="AUP42">
        <f t="shared" si="59"/>
        <v>0</v>
      </c>
      <c r="AUQ42">
        <f t="shared" si="59"/>
        <v>0</v>
      </c>
      <c r="AUR42">
        <f t="shared" si="59"/>
        <v>0</v>
      </c>
      <c r="AUS42">
        <f t="shared" si="59"/>
        <v>0</v>
      </c>
      <c r="AUT42">
        <f t="shared" si="59"/>
        <v>0</v>
      </c>
      <c r="AUU42">
        <f t="shared" si="59"/>
        <v>0</v>
      </c>
      <c r="AUV42">
        <f t="shared" si="59"/>
        <v>0</v>
      </c>
      <c r="AUW42">
        <f t="shared" si="59"/>
        <v>0</v>
      </c>
      <c r="AUX42">
        <f t="shared" si="59"/>
        <v>0</v>
      </c>
      <c r="AUY42">
        <f t="shared" si="59"/>
        <v>0</v>
      </c>
      <c r="AUZ42">
        <f t="shared" si="59"/>
        <v>0</v>
      </c>
      <c r="AVA42">
        <f t="shared" si="59"/>
        <v>0</v>
      </c>
      <c r="AVB42">
        <f t="shared" si="59"/>
        <v>0</v>
      </c>
      <c r="AVC42">
        <f t="shared" si="59"/>
        <v>0</v>
      </c>
      <c r="AVD42">
        <f t="shared" si="59"/>
        <v>0</v>
      </c>
      <c r="AVE42">
        <f t="shared" si="59"/>
        <v>0</v>
      </c>
      <c r="AVF42">
        <f t="shared" si="59"/>
        <v>0</v>
      </c>
      <c r="AVG42">
        <f t="shared" si="59"/>
        <v>0</v>
      </c>
      <c r="AVH42">
        <f t="shared" si="59"/>
        <v>0</v>
      </c>
      <c r="AVI42">
        <f t="shared" si="59"/>
        <v>0</v>
      </c>
      <c r="AVJ42">
        <f t="shared" si="59"/>
        <v>0</v>
      </c>
      <c r="AVK42">
        <f t="shared" si="59"/>
        <v>0</v>
      </c>
      <c r="AVL42">
        <f t="shared" si="59"/>
        <v>0</v>
      </c>
      <c r="AVM42">
        <f t="shared" si="59"/>
        <v>0</v>
      </c>
      <c r="AVN42">
        <f t="shared" si="59"/>
        <v>0</v>
      </c>
      <c r="AVO42">
        <f t="shared" si="59"/>
        <v>0</v>
      </c>
      <c r="AVP42">
        <f t="shared" si="59"/>
        <v>0</v>
      </c>
      <c r="AVQ42">
        <f t="shared" si="59"/>
        <v>0</v>
      </c>
      <c r="AVR42">
        <f t="shared" si="59"/>
        <v>0</v>
      </c>
      <c r="AVS42">
        <f t="shared" si="59"/>
        <v>0</v>
      </c>
      <c r="AVT42">
        <f t="shared" si="59"/>
        <v>0</v>
      </c>
      <c r="AVU42">
        <f t="shared" si="59"/>
        <v>0</v>
      </c>
      <c r="AVV42">
        <f t="shared" si="59"/>
        <v>0</v>
      </c>
      <c r="AVW42">
        <f t="shared" si="59"/>
        <v>0</v>
      </c>
      <c r="AVX42">
        <f t="shared" si="59"/>
        <v>0</v>
      </c>
      <c r="AVY42">
        <f t="shared" si="59"/>
        <v>0</v>
      </c>
      <c r="AVZ42">
        <f t="shared" si="59"/>
        <v>0</v>
      </c>
      <c r="AWA42">
        <f t="shared" si="59"/>
        <v>0</v>
      </c>
      <c r="AWB42">
        <f t="shared" si="59"/>
        <v>0</v>
      </c>
      <c r="AWC42">
        <f t="shared" si="59"/>
        <v>0</v>
      </c>
      <c r="AWD42">
        <f t="shared" ref="AWD42:AYO43" si="60">AWD41*1.6*1.2</f>
        <v>0</v>
      </c>
      <c r="AWE42">
        <f t="shared" si="60"/>
        <v>0</v>
      </c>
      <c r="AWF42">
        <f t="shared" si="60"/>
        <v>0</v>
      </c>
      <c r="AWG42">
        <f t="shared" si="60"/>
        <v>0</v>
      </c>
      <c r="AWH42">
        <f t="shared" si="60"/>
        <v>0</v>
      </c>
      <c r="AWI42">
        <f t="shared" si="60"/>
        <v>0</v>
      </c>
      <c r="AWJ42">
        <f t="shared" si="60"/>
        <v>0</v>
      </c>
      <c r="AWK42">
        <f t="shared" si="60"/>
        <v>0</v>
      </c>
      <c r="AWL42">
        <f t="shared" si="60"/>
        <v>0</v>
      </c>
      <c r="AWM42">
        <f t="shared" si="60"/>
        <v>0</v>
      </c>
      <c r="AWN42">
        <f t="shared" si="60"/>
        <v>0</v>
      </c>
      <c r="AWO42">
        <f t="shared" si="60"/>
        <v>0</v>
      </c>
      <c r="AWP42">
        <f t="shared" si="60"/>
        <v>0</v>
      </c>
      <c r="AWQ42">
        <f t="shared" si="60"/>
        <v>0</v>
      </c>
      <c r="AWR42">
        <f t="shared" si="60"/>
        <v>0</v>
      </c>
      <c r="AWS42">
        <f t="shared" si="60"/>
        <v>0</v>
      </c>
      <c r="AWT42">
        <f t="shared" si="60"/>
        <v>0</v>
      </c>
      <c r="AWU42">
        <f t="shared" si="60"/>
        <v>0</v>
      </c>
      <c r="AWV42">
        <f t="shared" si="60"/>
        <v>0</v>
      </c>
      <c r="AWW42">
        <f t="shared" si="60"/>
        <v>0</v>
      </c>
      <c r="AWX42">
        <f t="shared" si="60"/>
        <v>0</v>
      </c>
      <c r="AWY42">
        <f t="shared" si="60"/>
        <v>0</v>
      </c>
      <c r="AWZ42">
        <f t="shared" si="60"/>
        <v>0</v>
      </c>
      <c r="AXA42">
        <f t="shared" si="60"/>
        <v>0</v>
      </c>
      <c r="AXB42">
        <f t="shared" si="60"/>
        <v>0</v>
      </c>
      <c r="AXC42">
        <f t="shared" si="60"/>
        <v>0</v>
      </c>
      <c r="AXD42">
        <f t="shared" si="60"/>
        <v>0</v>
      </c>
      <c r="AXE42">
        <f t="shared" si="60"/>
        <v>0</v>
      </c>
      <c r="AXF42">
        <f t="shared" si="60"/>
        <v>0</v>
      </c>
      <c r="AXG42">
        <f t="shared" si="60"/>
        <v>0</v>
      </c>
      <c r="AXH42">
        <f t="shared" si="60"/>
        <v>0</v>
      </c>
      <c r="AXI42">
        <f t="shared" si="60"/>
        <v>0</v>
      </c>
      <c r="AXJ42">
        <f t="shared" si="60"/>
        <v>0</v>
      </c>
      <c r="AXK42">
        <f t="shared" si="60"/>
        <v>0</v>
      </c>
      <c r="AXL42">
        <f t="shared" si="60"/>
        <v>0</v>
      </c>
      <c r="AXM42">
        <f t="shared" si="60"/>
        <v>0</v>
      </c>
      <c r="AXN42">
        <f t="shared" si="60"/>
        <v>0</v>
      </c>
      <c r="AXO42">
        <f t="shared" si="60"/>
        <v>0</v>
      </c>
      <c r="AXP42">
        <f t="shared" si="60"/>
        <v>0</v>
      </c>
      <c r="AXQ42">
        <f t="shared" si="60"/>
        <v>0</v>
      </c>
      <c r="AXR42">
        <f t="shared" si="60"/>
        <v>0</v>
      </c>
      <c r="AXS42">
        <f t="shared" si="60"/>
        <v>0</v>
      </c>
      <c r="AXT42">
        <f t="shared" si="60"/>
        <v>0</v>
      </c>
      <c r="AXU42">
        <f t="shared" si="60"/>
        <v>0</v>
      </c>
      <c r="AXV42">
        <f t="shared" si="60"/>
        <v>0</v>
      </c>
      <c r="AXW42">
        <f t="shared" si="60"/>
        <v>0</v>
      </c>
      <c r="AXX42">
        <f t="shared" si="60"/>
        <v>0</v>
      </c>
      <c r="AXY42">
        <f t="shared" si="60"/>
        <v>0</v>
      </c>
      <c r="AXZ42">
        <f t="shared" si="60"/>
        <v>0</v>
      </c>
      <c r="AYA42">
        <f t="shared" si="60"/>
        <v>0</v>
      </c>
      <c r="AYB42">
        <f t="shared" si="60"/>
        <v>0</v>
      </c>
      <c r="AYC42">
        <f t="shared" si="60"/>
        <v>0</v>
      </c>
      <c r="AYD42">
        <f t="shared" si="60"/>
        <v>0</v>
      </c>
      <c r="AYE42">
        <f t="shared" si="60"/>
        <v>0</v>
      </c>
      <c r="AYF42">
        <f t="shared" si="60"/>
        <v>0</v>
      </c>
      <c r="AYG42">
        <f t="shared" si="60"/>
        <v>0</v>
      </c>
      <c r="AYH42">
        <f t="shared" si="60"/>
        <v>0</v>
      </c>
      <c r="AYI42">
        <f t="shared" si="60"/>
        <v>0</v>
      </c>
      <c r="AYJ42">
        <f t="shared" si="60"/>
        <v>0</v>
      </c>
      <c r="AYK42">
        <f t="shared" si="60"/>
        <v>0</v>
      </c>
      <c r="AYL42">
        <f t="shared" si="60"/>
        <v>0</v>
      </c>
      <c r="AYM42">
        <f t="shared" si="60"/>
        <v>0</v>
      </c>
      <c r="AYN42">
        <f t="shared" si="60"/>
        <v>0</v>
      </c>
      <c r="AYO42">
        <f t="shared" si="60"/>
        <v>0</v>
      </c>
      <c r="AYP42">
        <f t="shared" ref="AYP42:BBA43" si="61">AYP41*1.6*1.2</f>
        <v>0</v>
      </c>
      <c r="AYQ42">
        <f t="shared" si="61"/>
        <v>0</v>
      </c>
      <c r="AYR42">
        <f t="shared" si="61"/>
        <v>0</v>
      </c>
      <c r="AYS42">
        <f t="shared" si="61"/>
        <v>0</v>
      </c>
      <c r="AYT42">
        <f t="shared" si="61"/>
        <v>0</v>
      </c>
      <c r="AYU42">
        <f t="shared" si="61"/>
        <v>0</v>
      </c>
      <c r="AYV42">
        <f t="shared" si="61"/>
        <v>0</v>
      </c>
      <c r="AYW42">
        <f t="shared" si="61"/>
        <v>0</v>
      </c>
      <c r="AYX42">
        <f t="shared" si="61"/>
        <v>0</v>
      </c>
      <c r="AYY42">
        <f t="shared" si="61"/>
        <v>0</v>
      </c>
      <c r="AYZ42">
        <f t="shared" si="61"/>
        <v>0</v>
      </c>
      <c r="AZA42">
        <f t="shared" si="61"/>
        <v>0</v>
      </c>
      <c r="AZB42">
        <f t="shared" si="61"/>
        <v>0</v>
      </c>
      <c r="AZC42">
        <f t="shared" si="61"/>
        <v>0</v>
      </c>
      <c r="AZD42">
        <f t="shared" si="61"/>
        <v>0</v>
      </c>
      <c r="AZE42">
        <f t="shared" si="61"/>
        <v>0</v>
      </c>
      <c r="AZF42">
        <f t="shared" si="61"/>
        <v>0</v>
      </c>
      <c r="AZG42">
        <f t="shared" si="61"/>
        <v>0</v>
      </c>
      <c r="AZH42">
        <f t="shared" si="61"/>
        <v>0</v>
      </c>
      <c r="AZI42">
        <f t="shared" si="61"/>
        <v>0</v>
      </c>
      <c r="AZJ42">
        <f t="shared" si="61"/>
        <v>0</v>
      </c>
      <c r="AZK42">
        <f t="shared" si="61"/>
        <v>0</v>
      </c>
      <c r="AZL42">
        <f t="shared" si="61"/>
        <v>0</v>
      </c>
      <c r="AZM42">
        <f t="shared" si="61"/>
        <v>0</v>
      </c>
      <c r="AZN42">
        <f t="shared" si="61"/>
        <v>0</v>
      </c>
      <c r="AZO42">
        <f t="shared" si="61"/>
        <v>0</v>
      </c>
      <c r="AZP42">
        <f t="shared" si="61"/>
        <v>0</v>
      </c>
      <c r="AZQ42">
        <f t="shared" si="61"/>
        <v>0</v>
      </c>
      <c r="AZR42">
        <f t="shared" si="61"/>
        <v>0</v>
      </c>
      <c r="AZS42">
        <f t="shared" si="61"/>
        <v>0</v>
      </c>
      <c r="AZT42">
        <f t="shared" si="61"/>
        <v>0</v>
      </c>
      <c r="AZU42">
        <f t="shared" si="61"/>
        <v>0</v>
      </c>
      <c r="AZV42">
        <f t="shared" si="61"/>
        <v>0</v>
      </c>
      <c r="AZW42">
        <f t="shared" si="61"/>
        <v>0</v>
      </c>
      <c r="AZX42">
        <f t="shared" si="61"/>
        <v>0</v>
      </c>
      <c r="AZY42">
        <f t="shared" si="61"/>
        <v>0</v>
      </c>
      <c r="AZZ42">
        <f t="shared" si="61"/>
        <v>0</v>
      </c>
      <c r="BAA42">
        <f t="shared" si="61"/>
        <v>0</v>
      </c>
      <c r="BAB42">
        <f t="shared" si="61"/>
        <v>0</v>
      </c>
      <c r="BAC42">
        <f t="shared" si="61"/>
        <v>0</v>
      </c>
      <c r="BAD42">
        <f t="shared" si="61"/>
        <v>0</v>
      </c>
      <c r="BAE42">
        <f t="shared" si="61"/>
        <v>0</v>
      </c>
      <c r="BAF42">
        <f t="shared" si="61"/>
        <v>0</v>
      </c>
      <c r="BAG42">
        <f t="shared" si="61"/>
        <v>0</v>
      </c>
      <c r="BAH42">
        <f t="shared" si="61"/>
        <v>0</v>
      </c>
      <c r="BAI42">
        <f t="shared" si="61"/>
        <v>0</v>
      </c>
      <c r="BAJ42">
        <f t="shared" si="61"/>
        <v>0</v>
      </c>
      <c r="BAK42">
        <f t="shared" si="61"/>
        <v>0</v>
      </c>
      <c r="BAL42">
        <f t="shared" si="61"/>
        <v>0</v>
      </c>
      <c r="BAM42">
        <f t="shared" si="61"/>
        <v>0</v>
      </c>
      <c r="BAN42">
        <f t="shared" si="61"/>
        <v>0</v>
      </c>
      <c r="BAO42">
        <f t="shared" si="61"/>
        <v>0</v>
      </c>
      <c r="BAP42">
        <f t="shared" si="61"/>
        <v>0</v>
      </c>
      <c r="BAQ42">
        <f t="shared" si="61"/>
        <v>0</v>
      </c>
      <c r="BAR42">
        <f t="shared" si="61"/>
        <v>0</v>
      </c>
      <c r="BAS42">
        <f t="shared" si="61"/>
        <v>0</v>
      </c>
      <c r="BAT42">
        <f t="shared" si="61"/>
        <v>0</v>
      </c>
      <c r="BAU42">
        <f t="shared" si="61"/>
        <v>0</v>
      </c>
      <c r="BAV42">
        <f t="shared" si="61"/>
        <v>0</v>
      </c>
      <c r="BAW42">
        <f t="shared" si="61"/>
        <v>0</v>
      </c>
      <c r="BAX42">
        <f t="shared" si="61"/>
        <v>0</v>
      </c>
      <c r="BAY42">
        <f t="shared" si="61"/>
        <v>0</v>
      </c>
      <c r="BAZ42">
        <f t="shared" si="61"/>
        <v>0</v>
      </c>
      <c r="BBA42">
        <f t="shared" si="61"/>
        <v>0</v>
      </c>
      <c r="BBB42">
        <f t="shared" ref="BBB42:BDM43" si="62">BBB41*1.6*1.2</f>
        <v>0</v>
      </c>
      <c r="BBC42">
        <f t="shared" si="62"/>
        <v>0</v>
      </c>
      <c r="BBD42">
        <f t="shared" si="62"/>
        <v>0</v>
      </c>
      <c r="BBE42">
        <f t="shared" si="62"/>
        <v>0</v>
      </c>
      <c r="BBF42">
        <f t="shared" si="62"/>
        <v>0</v>
      </c>
      <c r="BBG42">
        <f t="shared" si="62"/>
        <v>0</v>
      </c>
      <c r="BBH42">
        <f t="shared" si="62"/>
        <v>0</v>
      </c>
      <c r="BBI42">
        <f t="shared" si="62"/>
        <v>0</v>
      </c>
      <c r="BBJ42">
        <f t="shared" si="62"/>
        <v>0</v>
      </c>
      <c r="BBK42">
        <f t="shared" si="62"/>
        <v>0</v>
      </c>
      <c r="BBL42">
        <f t="shared" si="62"/>
        <v>0</v>
      </c>
      <c r="BBM42">
        <f t="shared" si="62"/>
        <v>0</v>
      </c>
      <c r="BBN42">
        <f t="shared" si="62"/>
        <v>0</v>
      </c>
      <c r="BBO42">
        <f t="shared" si="62"/>
        <v>0</v>
      </c>
      <c r="BBP42">
        <f t="shared" si="62"/>
        <v>0</v>
      </c>
      <c r="BBQ42">
        <f t="shared" si="62"/>
        <v>0</v>
      </c>
      <c r="BBR42">
        <f t="shared" si="62"/>
        <v>0</v>
      </c>
      <c r="BBS42">
        <f t="shared" si="62"/>
        <v>0</v>
      </c>
      <c r="BBT42">
        <f t="shared" si="62"/>
        <v>0</v>
      </c>
      <c r="BBU42">
        <f t="shared" si="62"/>
        <v>0</v>
      </c>
      <c r="BBV42">
        <f t="shared" si="62"/>
        <v>0</v>
      </c>
      <c r="BBW42">
        <f t="shared" si="62"/>
        <v>0</v>
      </c>
      <c r="BBX42">
        <f t="shared" si="62"/>
        <v>0</v>
      </c>
      <c r="BBY42">
        <f t="shared" si="62"/>
        <v>0</v>
      </c>
      <c r="BBZ42">
        <f t="shared" si="62"/>
        <v>0</v>
      </c>
      <c r="BCA42">
        <f t="shared" si="62"/>
        <v>0</v>
      </c>
      <c r="BCB42">
        <f t="shared" si="62"/>
        <v>0</v>
      </c>
      <c r="BCC42">
        <f t="shared" si="62"/>
        <v>0</v>
      </c>
      <c r="BCD42">
        <f t="shared" si="62"/>
        <v>0</v>
      </c>
      <c r="BCE42">
        <f t="shared" si="62"/>
        <v>0</v>
      </c>
      <c r="BCF42">
        <f t="shared" si="62"/>
        <v>0</v>
      </c>
      <c r="BCG42">
        <f t="shared" si="62"/>
        <v>0</v>
      </c>
      <c r="BCH42">
        <f t="shared" si="62"/>
        <v>0</v>
      </c>
      <c r="BCI42">
        <f t="shared" si="62"/>
        <v>0</v>
      </c>
      <c r="BCJ42">
        <f t="shared" si="62"/>
        <v>0</v>
      </c>
      <c r="BCK42">
        <f t="shared" si="62"/>
        <v>0</v>
      </c>
      <c r="BCL42">
        <f t="shared" si="62"/>
        <v>0</v>
      </c>
      <c r="BCM42">
        <f t="shared" si="62"/>
        <v>0</v>
      </c>
      <c r="BCN42">
        <f t="shared" si="62"/>
        <v>0</v>
      </c>
      <c r="BCO42">
        <f t="shared" si="62"/>
        <v>0</v>
      </c>
      <c r="BCP42">
        <f t="shared" si="62"/>
        <v>0</v>
      </c>
      <c r="BCQ42">
        <f t="shared" si="62"/>
        <v>0</v>
      </c>
      <c r="BCR42">
        <f t="shared" si="62"/>
        <v>0</v>
      </c>
      <c r="BCS42">
        <f t="shared" si="62"/>
        <v>0</v>
      </c>
      <c r="BCT42">
        <f t="shared" si="62"/>
        <v>0</v>
      </c>
      <c r="BCU42">
        <f t="shared" si="62"/>
        <v>0</v>
      </c>
      <c r="BCV42">
        <f t="shared" si="62"/>
        <v>0</v>
      </c>
      <c r="BCW42">
        <f t="shared" si="62"/>
        <v>0</v>
      </c>
      <c r="BCX42">
        <f t="shared" si="62"/>
        <v>0</v>
      </c>
      <c r="BCY42">
        <f t="shared" si="62"/>
        <v>0</v>
      </c>
      <c r="BCZ42">
        <f t="shared" si="62"/>
        <v>0</v>
      </c>
      <c r="BDA42">
        <f t="shared" si="62"/>
        <v>0</v>
      </c>
      <c r="BDB42">
        <f t="shared" si="62"/>
        <v>0</v>
      </c>
      <c r="BDC42">
        <f t="shared" si="62"/>
        <v>0</v>
      </c>
      <c r="BDD42">
        <f t="shared" si="62"/>
        <v>0</v>
      </c>
      <c r="BDE42">
        <f t="shared" si="62"/>
        <v>0</v>
      </c>
      <c r="BDF42">
        <f t="shared" si="62"/>
        <v>0</v>
      </c>
      <c r="BDG42">
        <f t="shared" si="62"/>
        <v>0</v>
      </c>
      <c r="BDH42">
        <f t="shared" si="62"/>
        <v>0</v>
      </c>
      <c r="BDI42">
        <f t="shared" si="62"/>
        <v>0</v>
      </c>
      <c r="BDJ42">
        <f t="shared" si="62"/>
        <v>0</v>
      </c>
      <c r="BDK42">
        <f t="shared" si="62"/>
        <v>0</v>
      </c>
      <c r="BDL42">
        <f t="shared" si="62"/>
        <v>0</v>
      </c>
      <c r="BDM42">
        <f t="shared" si="62"/>
        <v>0</v>
      </c>
      <c r="BDN42">
        <f t="shared" ref="BDN42:BFY43" si="63">BDN41*1.6*1.2</f>
        <v>0</v>
      </c>
      <c r="BDO42">
        <f t="shared" si="63"/>
        <v>0</v>
      </c>
      <c r="BDP42">
        <f t="shared" si="63"/>
        <v>0</v>
      </c>
      <c r="BDQ42">
        <f t="shared" si="63"/>
        <v>0</v>
      </c>
      <c r="BDR42">
        <f t="shared" si="63"/>
        <v>0</v>
      </c>
      <c r="BDS42">
        <f t="shared" si="63"/>
        <v>0</v>
      </c>
      <c r="BDT42">
        <f t="shared" si="63"/>
        <v>0</v>
      </c>
      <c r="BDU42">
        <f t="shared" si="63"/>
        <v>0</v>
      </c>
      <c r="BDV42">
        <f t="shared" si="63"/>
        <v>0</v>
      </c>
      <c r="BDW42">
        <f t="shared" si="63"/>
        <v>0</v>
      </c>
      <c r="BDX42">
        <f t="shared" si="63"/>
        <v>0</v>
      </c>
      <c r="BDY42">
        <f t="shared" si="63"/>
        <v>0</v>
      </c>
      <c r="BDZ42">
        <f t="shared" si="63"/>
        <v>0</v>
      </c>
      <c r="BEA42">
        <f t="shared" si="63"/>
        <v>0</v>
      </c>
      <c r="BEB42">
        <f t="shared" si="63"/>
        <v>0</v>
      </c>
      <c r="BEC42">
        <f t="shared" si="63"/>
        <v>0</v>
      </c>
      <c r="BED42">
        <f t="shared" si="63"/>
        <v>0</v>
      </c>
      <c r="BEE42">
        <f t="shared" si="63"/>
        <v>0</v>
      </c>
      <c r="BEF42">
        <f t="shared" si="63"/>
        <v>0</v>
      </c>
      <c r="BEG42">
        <f t="shared" si="63"/>
        <v>0</v>
      </c>
      <c r="BEH42">
        <f t="shared" si="63"/>
        <v>0</v>
      </c>
      <c r="BEI42">
        <f t="shared" si="63"/>
        <v>0</v>
      </c>
      <c r="BEJ42">
        <f t="shared" si="63"/>
        <v>0</v>
      </c>
      <c r="BEK42">
        <f t="shared" si="63"/>
        <v>0</v>
      </c>
      <c r="BEL42">
        <f t="shared" si="63"/>
        <v>0</v>
      </c>
      <c r="BEM42">
        <f t="shared" si="63"/>
        <v>0</v>
      </c>
      <c r="BEN42">
        <f t="shared" si="63"/>
        <v>0</v>
      </c>
      <c r="BEO42">
        <f t="shared" si="63"/>
        <v>0</v>
      </c>
      <c r="BEP42">
        <f t="shared" si="63"/>
        <v>0</v>
      </c>
      <c r="BEQ42">
        <f t="shared" si="63"/>
        <v>0</v>
      </c>
      <c r="BER42">
        <f t="shared" si="63"/>
        <v>0</v>
      </c>
      <c r="BES42">
        <f t="shared" si="63"/>
        <v>0</v>
      </c>
      <c r="BET42">
        <f t="shared" si="63"/>
        <v>0</v>
      </c>
      <c r="BEU42">
        <f t="shared" si="63"/>
        <v>0</v>
      </c>
      <c r="BEV42">
        <f t="shared" si="63"/>
        <v>0</v>
      </c>
      <c r="BEW42">
        <f t="shared" si="63"/>
        <v>0</v>
      </c>
      <c r="BEX42">
        <f t="shared" si="63"/>
        <v>0</v>
      </c>
      <c r="BEY42">
        <f t="shared" si="63"/>
        <v>0</v>
      </c>
      <c r="BEZ42">
        <f t="shared" si="63"/>
        <v>0</v>
      </c>
      <c r="BFA42">
        <f t="shared" si="63"/>
        <v>0</v>
      </c>
      <c r="BFB42">
        <f t="shared" si="63"/>
        <v>0</v>
      </c>
      <c r="BFC42">
        <f t="shared" si="63"/>
        <v>0</v>
      </c>
      <c r="BFD42">
        <f t="shared" si="63"/>
        <v>0</v>
      </c>
      <c r="BFE42">
        <f t="shared" si="63"/>
        <v>0</v>
      </c>
      <c r="BFF42">
        <f t="shared" si="63"/>
        <v>0</v>
      </c>
      <c r="BFG42">
        <f t="shared" si="63"/>
        <v>0</v>
      </c>
      <c r="BFH42">
        <f t="shared" si="63"/>
        <v>0</v>
      </c>
      <c r="BFI42">
        <f t="shared" si="63"/>
        <v>0</v>
      </c>
      <c r="BFJ42">
        <f t="shared" si="63"/>
        <v>0</v>
      </c>
      <c r="BFK42">
        <f t="shared" si="63"/>
        <v>0</v>
      </c>
      <c r="BFL42">
        <f t="shared" si="63"/>
        <v>0</v>
      </c>
      <c r="BFM42">
        <f t="shared" si="63"/>
        <v>0</v>
      </c>
      <c r="BFN42">
        <f t="shared" si="63"/>
        <v>0</v>
      </c>
      <c r="BFO42">
        <f t="shared" si="63"/>
        <v>0</v>
      </c>
      <c r="BFP42">
        <f t="shared" si="63"/>
        <v>0</v>
      </c>
      <c r="BFQ42">
        <f t="shared" si="63"/>
        <v>0</v>
      </c>
      <c r="BFR42">
        <f t="shared" si="63"/>
        <v>0</v>
      </c>
      <c r="BFS42">
        <f t="shared" si="63"/>
        <v>0</v>
      </c>
      <c r="BFT42">
        <f t="shared" si="63"/>
        <v>0</v>
      </c>
      <c r="BFU42">
        <f t="shared" si="63"/>
        <v>0</v>
      </c>
      <c r="BFV42">
        <f t="shared" si="63"/>
        <v>0</v>
      </c>
      <c r="BFW42">
        <f t="shared" si="63"/>
        <v>0</v>
      </c>
      <c r="BFX42">
        <f t="shared" si="63"/>
        <v>0</v>
      </c>
      <c r="BFY42">
        <f t="shared" si="63"/>
        <v>0</v>
      </c>
      <c r="BFZ42">
        <f t="shared" ref="BFZ42:BIK43" si="64">BFZ41*1.6*1.2</f>
        <v>0</v>
      </c>
      <c r="BGA42">
        <f t="shared" si="64"/>
        <v>0</v>
      </c>
      <c r="BGB42">
        <f t="shared" si="64"/>
        <v>0</v>
      </c>
      <c r="BGC42">
        <f t="shared" si="64"/>
        <v>0</v>
      </c>
      <c r="BGD42">
        <f t="shared" si="64"/>
        <v>0</v>
      </c>
      <c r="BGE42">
        <f t="shared" si="64"/>
        <v>0</v>
      </c>
      <c r="BGF42">
        <f t="shared" si="64"/>
        <v>0</v>
      </c>
      <c r="BGG42">
        <f t="shared" si="64"/>
        <v>0</v>
      </c>
      <c r="BGH42">
        <f t="shared" si="64"/>
        <v>0</v>
      </c>
      <c r="BGI42">
        <f t="shared" si="64"/>
        <v>0</v>
      </c>
      <c r="BGJ42">
        <f t="shared" si="64"/>
        <v>0</v>
      </c>
      <c r="BGK42">
        <f t="shared" si="64"/>
        <v>0</v>
      </c>
      <c r="BGL42">
        <f t="shared" si="64"/>
        <v>0</v>
      </c>
      <c r="BGM42">
        <f t="shared" si="64"/>
        <v>0</v>
      </c>
      <c r="BGN42">
        <f t="shared" si="64"/>
        <v>0</v>
      </c>
      <c r="BGO42">
        <f t="shared" si="64"/>
        <v>0</v>
      </c>
      <c r="BGP42">
        <f t="shared" si="64"/>
        <v>0</v>
      </c>
      <c r="BGQ42">
        <f t="shared" si="64"/>
        <v>0</v>
      </c>
      <c r="BGR42">
        <f t="shared" si="64"/>
        <v>0</v>
      </c>
      <c r="BGS42">
        <f t="shared" si="64"/>
        <v>0</v>
      </c>
      <c r="BGT42">
        <f t="shared" si="64"/>
        <v>0</v>
      </c>
      <c r="BGU42">
        <f t="shared" si="64"/>
        <v>0</v>
      </c>
      <c r="BGV42">
        <f t="shared" si="64"/>
        <v>0</v>
      </c>
      <c r="BGW42">
        <f t="shared" si="64"/>
        <v>0</v>
      </c>
      <c r="BGX42">
        <f t="shared" si="64"/>
        <v>0</v>
      </c>
      <c r="BGY42">
        <f t="shared" si="64"/>
        <v>0</v>
      </c>
      <c r="BGZ42">
        <f t="shared" si="64"/>
        <v>0</v>
      </c>
      <c r="BHA42">
        <f t="shared" si="64"/>
        <v>0</v>
      </c>
      <c r="BHB42">
        <f t="shared" si="64"/>
        <v>0</v>
      </c>
      <c r="BHC42">
        <f t="shared" si="64"/>
        <v>0</v>
      </c>
      <c r="BHD42">
        <f t="shared" si="64"/>
        <v>0</v>
      </c>
      <c r="BHE42">
        <f t="shared" si="64"/>
        <v>0</v>
      </c>
      <c r="BHF42">
        <f t="shared" si="64"/>
        <v>0</v>
      </c>
      <c r="BHG42">
        <f t="shared" si="64"/>
        <v>0</v>
      </c>
      <c r="BHH42">
        <f t="shared" si="64"/>
        <v>0</v>
      </c>
      <c r="BHI42">
        <f t="shared" si="64"/>
        <v>0</v>
      </c>
      <c r="BHJ42">
        <f t="shared" si="64"/>
        <v>0</v>
      </c>
      <c r="BHK42">
        <f t="shared" si="64"/>
        <v>0</v>
      </c>
      <c r="BHL42">
        <f t="shared" si="64"/>
        <v>0</v>
      </c>
      <c r="BHM42">
        <f t="shared" si="64"/>
        <v>0</v>
      </c>
      <c r="BHN42">
        <f t="shared" si="64"/>
        <v>0</v>
      </c>
      <c r="BHO42">
        <f t="shared" si="64"/>
        <v>0</v>
      </c>
      <c r="BHP42">
        <f t="shared" si="64"/>
        <v>0</v>
      </c>
      <c r="BHQ42">
        <f t="shared" si="64"/>
        <v>0</v>
      </c>
      <c r="BHR42">
        <f t="shared" si="64"/>
        <v>0</v>
      </c>
      <c r="BHS42">
        <f t="shared" si="64"/>
        <v>0</v>
      </c>
      <c r="BHT42">
        <f t="shared" si="64"/>
        <v>0</v>
      </c>
      <c r="BHU42">
        <f t="shared" si="64"/>
        <v>0</v>
      </c>
      <c r="BHV42">
        <f t="shared" si="64"/>
        <v>0</v>
      </c>
      <c r="BHW42">
        <f t="shared" si="64"/>
        <v>0</v>
      </c>
      <c r="BHX42">
        <f t="shared" si="64"/>
        <v>0</v>
      </c>
      <c r="BHY42">
        <f t="shared" si="64"/>
        <v>0</v>
      </c>
      <c r="BHZ42">
        <f t="shared" si="64"/>
        <v>0</v>
      </c>
      <c r="BIA42">
        <f t="shared" si="64"/>
        <v>0</v>
      </c>
      <c r="BIB42">
        <f t="shared" si="64"/>
        <v>0</v>
      </c>
      <c r="BIC42">
        <f t="shared" si="64"/>
        <v>0</v>
      </c>
      <c r="BID42">
        <f t="shared" si="64"/>
        <v>0</v>
      </c>
      <c r="BIE42">
        <f t="shared" si="64"/>
        <v>0</v>
      </c>
      <c r="BIF42">
        <f t="shared" si="64"/>
        <v>0</v>
      </c>
      <c r="BIG42">
        <f t="shared" si="64"/>
        <v>0</v>
      </c>
      <c r="BIH42">
        <f t="shared" si="64"/>
        <v>0</v>
      </c>
      <c r="BII42">
        <f t="shared" si="64"/>
        <v>0</v>
      </c>
      <c r="BIJ42">
        <f t="shared" si="64"/>
        <v>0</v>
      </c>
      <c r="BIK42">
        <f t="shared" si="64"/>
        <v>0</v>
      </c>
      <c r="BIL42">
        <f t="shared" ref="BIL42:BKW43" si="65">BIL41*1.6*1.2</f>
        <v>0</v>
      </c>
      <c r="BIM42">
        <f t="shared" si="65"/>
        <v>0</v>
      </c>
      <c r="BIN42">
        <f t="shared" si="65"/>
        <v>0</v>
      </c>
      <c r="BIO42">
        <f t="shared" si="65"/>
        <v>0</v>
      </c>
      <c r="BIP42">
        <f t="shared" si="65"/>
        <v>0</v>
      </c>
      <c r="BIQ42">
        <f t="shared" si="65"/>
        <v>0</v>
      </c>
      <c r="BIR42">
        <f t="shared" si="65"/>
        <v>0</v>
      </c>
      <c r="BIS42">
        <f t="shared" si="65"/>
        <v>0</v>
      </c>
      <c r="BIT42">
        <f t="shared" si="65"/>
        <v>0</v>
      </c>
      <c r="BIU42">
        <f t="shared" si="65"/>
        <v>0</v>
      </c>
      <c r="BIV42">
        <f t="shared" si="65"/>
        <v>0</v>
      </c>
      <c r="BIW42">
        <f t="shared" si="65"/>
        <v>0</v>
      </c>
      <c r="BIX42">
        <f t="shared" si="65"/>
        <v>0</v>
      </c>
      <c r="BIY42">
        <f t="shared" si="65"/>
        <v>0</v>
      </c>
      <c r="BIZ42">
        <f t="shared" si="65"/>
        <v>0</v>
      </c>
      <c r="BJA42">
        <f t="shared" si="65"/>
        <v>0</v>
      </c>
      <c r="BJB42">
        <f t="shared" si="65"/>
        <v>0</v>
      </c>
      <c r="BJC42">
        <f t="shared" si="65"/>
        <v>0</v>
      </c>
      <c r="BJD42">
        <f t="shared" si="65"/>
        <v>0</v>
      </c>
      <c r="BJE42">
        <f t="shared" si="65"/>
        <v>0</v>
      </c>
      <c r="BJF42">
        <f t="shared" si="65"/>
        <v>0</v>
      </c>
      <c r="BJG42">
        <f t="shared" si="65"/>
        <v>0</v>
      </c>
      <c r="BJH42">
        <f t="shared" si="65"/>
        <v>0</v>
      </c>
      <c r="BJI42">
        <f t="shared" si="65"/>
        <v>0</v>
      </c>
      <c r="BJJ42">
        <f t="shared" si="65"/>
        <v>0</v>
      </c>
      <c r="BJK42">
        <f t="shared" si="65"/>
        <v>0</v>
      </c>
      <c r="BJL42">
        <f t="shared" si="65"/>
        <v>0</v>
      </c>
      <c r="BJM42">
        <f t="shared" si="65"/>
        <v>0</v>
      </c>
      <c r="BJN42">
        <f t="shared" si="65"/>
        <v>0</v>
      </c>
      <c r="BJO42">
        <f t="shared" si="65"/>
        <v>0</v>
      </c>
      <c r="BJP42">
        <f t="shared" si="65"/>
        <v>0</v>
      </c>
      <c r="BJQ42">
        <f t="shared" si="65"/>
        <v>0</v>
      </c>
      <c r="BJR42">
        <f t="shared" si="65"/>
        <v>0</v>
      </c>
      <c r="BJS42">
        <f t="shared" si="65"/>
        <v>0</v>
      </c>
      <c r="BJT42">
        <f t="shared" si="65"/>
        <v>0</v>
      </c>
      <c r="BJU42">
        <f t="shared" si="65"/>
        <v>0</v>
      </c>
      <c r="BJV42">
        <f t="shared" si="65"/>
        <v>0</v>
      </c>
      <c r="BJW42">
        <f t="shared" si="65"/>
        <v>0</v>
      </c>
      <c r="BJX42">
        <f t="shared" si="65"/>
        <v>0</v>
      </c>
      <c r="BJY42">
        <f t="shared" si="65"/>
        <v>0</v>
      </c>
      <c r="BJZ42">
        <f t="shared" si="65"/>
        <v>0</v>
      </c>
      <c r="BKA42">
        <f t="shared" si="65"/>
        <v>0</v>
      </c>
      <c r="BKB42">
        <f t="shared" si="65"/>
        <v>0</v>
      </c>
      <c r="BKC42">
        <f t="shared" si="65"/>
        <v>0</v>
      </c>
      <c r="BKD42">
        <f t="shared" si="65"/>
        <v>0</v>
      </c>
      <c r="BKE42">
        <f t="shared" si="65"/>
        <v>0</v>
      </c>
      <c r="BKF42">
        <f t="shared" si="65"/>
        <v>0</v>
      </c>
      <c r="BKG42">
        <f t="shared" si="65"/>
        <v>0</v>
      </c>
      <c r="BKH42">
        <f t="shared" si="65"/>
        <v>0</v>
      </c>
      <c r="BKI42">
        <f t="shared" si="65"/>
        <v>0</v>
      </c>
      <c r="BKJ42">
        <f t="shared" si="65"/>
        <v>0</v>
      </c>
      <c r="BKK42">
        <f t="shared" si="65"/>
        <v>0</v>
      </c>
      <c r="BKL42">
        <f t="shared" si="65"/>
        <v>0</v>
      </c>
      <c r="BKM42">
        <f t="shared" si="65"/>
        <v>0</v>
      </c>
      <c r="BKN42">
        <f t="shared" si="65"/>
        <v>0</v>
      </c>
      <c r="BKO42">
        <f t="shared" si="65"/>
        <v>0</v>
      </c>
      <c r="BKP42">
        <f t="shared" si="65"/>
        <v>0</v>
      </c>
      <c r="BKQ42">
        <f t="shared" si="65"/>
        <v>0</v>
      </c>
      <c r="BKR42">
        <f t="shared" si="65"/>
        <v>0</v>
      </c>
      <c r="BKS42">
        <f t="shared" si="65"/>
        <v>0</v>
      </c>
      <c r="BKT42">
        <f t="shared" si="65"/>
        <v>0</v>
      </c>
      <c r="BKU42">
        <f t="shared" si="65"/>
        <v>0</v>
      </c>
      <c r="BKV42">
        <f t="shared" si="65"/>
        <v>0</v>
      </c>
      <c r="BKW42">
        <f t="shared" si="65"/>
        <v>0</v>
      </c>
      <c r="BKX42">
        <f t="shared" ref="BKX42:BNI43" si="66">BKX41*1.6*1.2</f>
        <v>0</v>
      </c>
      <c r="BKY42">
        <f t="shared" si="66"/>
        <v>0</v>
      </c>
      <c r="BKZ42">
        <f t="shared" si="66"/>
        <v>0</v>
      </c>
      <c r="BLA42">
        <f t="shared" si="66"/>
        <v>0</v>
      </c>
      <c r="BLB42">
        <f t="shared" si="66"/>
        <v>0</v>
      </c>
      <c r="BLC42">
        <f t="shared" si="66"/>
        <v>0</v>
      </c>
      <c r="BLD42">
        <f t="shared" si="66"/>
        <v>0</v>
      </c>
      <c r="BLE42">
        <f t="shared" si="66"/>
        <v>0</v>
      </c>
      <c r="BLF42">
        <f t="shared" si="66"/>
        <v>0</v>
      </c>
      <c r="BLG42">
        <f t="shared" si="66"/>
        <v>0</v>
      </c>
      <c r="BLH42">
        <f t="shared" si="66"/>
        <v>0</v>
      </c>
      <c r="BLI42">
        <f t="shared" si="66"/>
        <v>0</v>
      </c>
      <c r="BLJ42">
        <f t="shared" si="66"/>
        <v>0</v>
      </c>
      <c r="BLK42">
        <f t="shared" si="66"/>
        <v>0</v>
      </c>
      <c r="BLL42">
        <f t="shared" si="66"/>
        <v>0</v>
      </c>
      <c r="BLM42">
        <f t="shared" si="66"/>
        <v>0</v>
      </c>
      <c r="BLN42">
        <f t="shared" si="66"/>
        <v>0</v>
      </c>
      <c r="BLO42">
        <f t="shared" si="66"/>
        <v>0</v>
      </c>
      <c r="BLP42">
        <f t="shared" si="66"/>
        <v>0</v>
      </c>
      <c r="BLQ42">
        <f t="shared" si="66"/>
        <v>0</v>
      </c>
      <c r="BLR42">
        <f t="shared" si="66"/>
        <v>0</v>
      </c>
      <c r="BLS42">
        <f t="shared" si="66"/>
        <v>0</v>
      </c>
      <c r="BLT42">
        <f t="shared" si="66"/>
        <v>0</v>
      </c>
      <c r="BLU42">
        <f t="shared" si="66"/>
        <v>0</v>
      </c>
      <c r="BLV42">
        <f t="shared" si="66"/>
        <v>0</v>
      </c>
      <c r="BLW42">
        <f t="shared" si="66"/>
        <v>0</v>
      </c>
      <c r="BLX42">
        <f t="shared" si="66"/>
        <v>0</v>
      </c>
      <c r="BLY42">
        <f t="shared" si="66"/>
        <v>0</v>
      </c>
      <c r="BLZ42">
        <f t="shared" si="66"/>
        <v>0</v>
      </c>
      <c r="BMA42">
        <f t="shared" si="66"/>
        <v>0</v>
      </c>
      <c r="BMB42">
        <f t="shared" si="66"/>
        <v>0</v>
      </c>
      <c r="BMC42">
        <f t="shared" si="66"/>
        <v>0</v>
      </c>
      <c r="BMD42">
        <f t="shared" si="66"/>
        <v>0</v>
      </c>
      <c r="BME42">
        <f t="shared" si="66"/>
        <v>0</v>
      </c>
      <c r="BMF42">
        <f t="shared" si="66"/>
        <v>0</v>
      </c>
      <c r="BMG42">
        <f t="shared" si="66"/>
        <v>0</v>
      </c>
      <c r="BMH42">
        <f t="shared" si="66"/>
        <v>0</v>
      </c>
      <c r="BMI42">
        <f t="shared" si="66"/>
        <v>0</v>
      </c>
      <c r="BMJ42">
        <f t="shared" si="66"/>
        <v>0</v>
      </c>
      <c r="BMK42">
        <f t="shared" si="66"/>
        <v>0</v>
      </c>
      <c r="BML42">
        <f t="shared" si="66"/>
        <v>0</v>
      </c>
      <c r="BMM42">
        <f t="shared" si="66"/>
        <v>0</v>
      </c>
      <c r="BMN42">
        <f t="shared" si="66"/>
        <v>0</v>
      </c>
      <c r="BMO42">
        <f t="shared" si="66"/>
        <v>0</v>
      </c>
      <c r="BMP42">
        <f t="shared" si="66"/>
        <v>0</v>
      </c>
      <c r="BMQ42">
        <f t="shared" si="66"/>
        <v>0</v>
      </c>
      <c r="BMR42">
        <f t="shared" si="66"/>
        <v>0</v>
      </c>
      <c r="BMS42">
        <f t="shared" si="66"/>
        <v>0</v>
      </c>
      <c r="BMT42">
        <f t="shared" si="66"/>
        <v>0</v>
      </c>
      <c r="BMU42">
        <f t="shared" si="66"/>
        <v>0</v>
      </c>
      <c r="BMV42">
        <f t="shared" si="66"/>
        <v>0</v>
      </c>
      <c r="BMW42">
        <f t="shared" si="66"/>
        <v>0</v>
      </c>
      <c r="BMX42">
        <f t="shared" si="66"/>
        <v>0</v>
      </c>
      <c r="BMY42">
        <f t="shared" si="66"/>
        <v>0</v>
      </c>
      <c r="BMZ42">
        <f t="shared" si="66"/>
        <v>0</v>
      </c>
      <c r="BNA42">
        <f t="shared" si="66"/>
        <v>0</v>
      </c>
      <c r="BNB42">
        <f t="shared" si="66"/>
        <v>0</v>
      </c>
      <c r="BNC42">
        <f t="shared" si="66"/>
        <v>0</v>
      </c>
      <c r="BND42">
        <f t="shared" si="66"/>
        <v>0</v>
      </c>
      <c r="BNE42">
        <f t="shared" si="66"/>
        <v>0</v>
      </c>
      <c r="BNF42">
        <f t="shared" si="66"/>
        <v>0</v>
      </c>
      <c r="BNG42">
        <f t="shared" si="66"/>
        <v>0</v>
      </c>
      <c r="BNH42">
        <f t="shared" si="66"/>
        <v>0</v>
      </c>
      <c r="BNI42">
        <f t="shared" si="66"/>
        <v>0</v>
      </c>
      <c r="BNJ42">
        <f t="shared" ref="BNJ42:BPU43" si="67">BNJ41*1.6*1.2</f>
        <v>0</v>
      </c>
      <c r="BNK42">
        <f t="shared" si="67"/>
        <v>0</v>
      </c>
      <c r="BNL42">
        <f t="shared" si="67"/>
        <v>0</v>
      </c>
      <c r="BNM42">
        <f t="shared" si="67"/>
        <v>0</v>
      </c>
      <c r="BNN42">
        <f t="shared" si="67"/>
        <v>0</v>
      </c>
      <c r="BNO42">
        <f t="shared" si="67"/>
        <v>0</v>
      </c>
      <c r="BNP42">
        <f t="shared" si="67"/>
        <v>0</v>
      </c>
      <c r="BNQ42">
        <f t="shared" si="67"/>
        <v>0</v>
      </c>
      <c r="BNR42">
        <f t="shared" si="67"/>
        <v>0</v>
      </c>
      <c r="BNS42">
        <f t="shared" si="67"/>
        <v>0</v>
      </c>
      <c r="BNT42">
        <f t="shared" si="67"/>
        <v>0</v>
      </c>
      <c r="BNU42">
        <f t="shared" si="67"/>
        <v>0</v>
      </c>
      <c r="BNV42">
        <f t="shared" si="67"/>
        <v>0</v>
      </c>
      <c r="BNW42">
        <f t="shared" si="67"/>
        <v>0</v>
      </c>
      <c r="BNX42">
        <f t="shared" si="67"/>
        <v>0</v>
      </c>
      <c r="BNY42">
        <f t="shared" si="67"/>
        <v>0</v>
      </c>
      <c r="BNZ42">
        <f t="shared" si="67"/>
        <v>0</v>
      </c>
      <c r="BOA42">
        <f t="shared" si="67"/>
        <v>0</v>
      </c>
      <c r="BOB42">
        <f t="shared" si="67"/>
        <v>0</v>
      </c>
      <c r="BOC42">
        <f t="shared" si="67"/>
        <v>0</v>
      </c>
      <c r="BOD42">
        <f t="shared" si="67"/>
        <v>0</v>
      </c>
      <c r="BOE42">
        <f t="shared" si="67"/>
        <v>0</v>
      </c>
      <c r="BOF42">
        <f t="shared" si="67"/>
        <v>0</v>
      </c>
      <c r="BOG42">
        <f t="shared" si="67"/>
        <v>0</v>
      </c>
      <c r="BOH42">
        <f t="shared" si="67"/>
        <v>0</v>
      </c>
      <c r="BOI42">
        <f t="shared" si="67"/>
        <v>0</v>
      </c>
      <c r="BOJ42">
        <f t="shared" si="67"/>
        <v>0</v>
      </c>
      <c r="BOK42">
        <f t="shared" si="67"/>
        <v>0</v>
      </c>
      <c r="BOL42">
        <f t="shared" si="67"/>
        <v>0</v>
      </c>
      <c r="BOM42">
        <f t="shared" si="67"/>
        <v>0</v>
      </c>
      <c r="BON42">
        <f t="shared" si="67"/>
        <v>0</v>
      </c>
      <c r="BOO42">
        <f t="shared" si="67"/>
        <v>0</v>
      </c>
      <c r="BOP42">
        <f t="shared" si="67"/>
        <v>0</v>
      </c>
      <c r="BOQ42">
        <f t="shared" si="67"/>
        <v>0</v>
      </c>
      <c r="BOR42">
        <f t="shared" si="67"/>
        <v>0</v>
      </c>
      <c r="BOS42">
        <f t="shared" si="67"/>
        <v>0</v>
      </c>
      <c r="BOT42">
        <f t="shared" si="67"/>
        <v>0</v>
      </c>
      <c r="BOU42">
        <f t="shared" si="67"/>
        <v>0</v>
      </c>
      <c r="BOV42">
        <f t="shared" si="67"/>
        <v>0</v>
      </c>
      <c r="BOW42">
        <f t="shared" si="67"/>
        <v>0</v>
      </c>
      <c r="BOX42">
        <f t="shared" si="67"/>
        <v>0</v>
      </c>
      <c r="BOY42">
        <f t="shared" si="67"/>
        <v>0</v>
      </c>
      <c r="BOZ42">
        <f t="shared" si="67"/>
        <v>0</v>
      </c>
      <c r="BPA42">
        <f t="shared" si="67"/>
        <v>0</v>
      </c>
      <c r="BPB42">
        <f t="shared" si="67"/>
        <v>0</v>
      </c>
      <c r="BPC42">
        <f t="shared" si="67"/>
        <v>0</v>
      </c>
      <c r="BPD42">
        <f t="shared" si="67"/>
        <v>0</v>
      </c>
      <c r="BPE42">
        <f t="shared" si="67"/>
        <v>0</v>
      </c>
      <c r="BPF42">
        <f t="shared" si="67"/>
        <v>0</v>
      </c>
      <c r="BPG42">
        <f t="shared" si="67"/>
        <v>0</v>
      </c>
      <c r="BPH42">
        <f t="shared" si="67"/>
        <v>0</v>
      </c>
      <c r="BPI42">
        <f t="shared" si="67"/>
        <v>0</v>
      </c>
      <c r="BPJ42">
        <f t="shared" si="67"/>
        <v>0</v>
      </c>
      <c r="BPK42">
        <f t="shared" si="67"/>
        <v>0</v>
      </c>
      <c r="BPL42">
        <f t="shared" si="67"/>
        <v>0</v>
      </c>
      <c r="BPM42">
        <f t="shared" si="67"/>
        <v>0</v>
      </c>
      <c r="BPN42">
        <f t="shared" si="67"/>
        <v>0</v>
      </c>
      <c r="BPO42">
        <f t="shared" si="67"/>
        <v>0</v>
      </c>
      <c r="BPP42">
        <f t="shared" si="67"/>
        <v>0</v>
      </c>
      <c r="BPQ42">
        <f t="shared" si="67"/>
        <v>0</v>
      </c>
      <c r="BPR42">
        <f t="shared" si="67"/>
        <v>0</v>
      </c>
      <c r="BPS42">
        <f t="shared" si="67"/>
        <v>0</v>
      </c>
      <c r="BPT42">
        <f t="shared" si="67"/>
        <v>0</v>
      </c>
      <c r="BPU42">
        <f t="shared" si="67"/>
        <v>0</v>
      </c>
      <c r="BPV42">
        <f t="shared" ref="BPV42:BSG43" si="68">BPV41*1.6*1.2</f>
        <v>0</v>
      </c>
      <c r="BPW42">
        <f t="shared" si="68"/>
        <v>0</v>
      </c>
      <c r="BPX42">
        <f t="shared" si="68"/>
        <v>0</v>
      </c>
      <c r="BPY42">
        <f t="shared" si="68"/>
        <v>0</v>
      </c>
      <c r="BPZ42">
        <f t="shared" si="68"/>
        <v>0</v>
      </c>
      <c r="BQA42">
        <f t="shared" si="68"/>
        <v>0</v>
      </c>
      <c r="BQB42">
        <f t="shared" si="68"/>
        <v>0</v>
      </c>
      <c r="BQC42">
        <f t="shared" si="68"/>
        <v>0</v>
      </c>
      <c r="BQD42">
        <f t="shared" si="68"/>
        <v>0</v>
      </c>
      <c r="BQE42">
        <f t="shared" si="68"/>
        <v>0</v>
      </c>
      <c r="BQF42">
        <f t="shared" si="68"/>
        <v>0</v>
      </c>
      <c r="BQG42">
        <f t="shared" si="68"/>
        <v>0</v>
      </c>
      <c r="BQH42">
        <f t="shared" si="68"/>
        <v>0</v>
      </c>
      <c r="BQI42">
        <f t="shared" si="68"/>
        <v>0</v>
      </c>
      <c r="BQJ42">
        <f t="shared" si="68"/>
        <v>0</v>
      </c>
      <c r="BQK42">
        <f t="shared" si="68"/>
        <v>0</v>
      </c>
      <c r="BQL42">
        <f t="shared" si="68"/>
        <v>0</v>
      </c>
      <c r="BQM42">
        <f t="shared" si="68"/>
        <v>0</v>
      </c>
      <c r="BQN42">
        <f t="shared" si="68"/>
        <v>0</v>
      </c>
      <c r="BQO42">
        <f t="shared" si="68"/>
        <v>0</v>
      </c>
      <c r="BQP42">
        <f t="shared" si="68"/>
        <v>0</v>
      </c>
      <c r="BQQ42">
        <f t="shared" si="68"/>
        <v>0</v>
      </c>
      <c r="BQR42">
        <f t="shared" si="68"/>
        <v>0</v>
      </c>
      <c r="BQS42">
        <f t="shared" si="68"/>
        <v>0</v>
      </c>
      <c r="BQT42">
        <f t="shared" si="68"/>
        <v>0</v>
      </c>
      <c r="BQU42">
        <f t="shared" si="68"/>
        <v>0</v>
      </c>
      <c r="BQV42">
        <f t="shared" si="68"/>
        <v>0</v>
      </c>
      <c r="BQW42">
        <f t="shared" si="68"/>
        <v>0</v>
      </c>
      <c r="BQX42">
        <f t="shared" si="68"/>
        <v>0</v>
      </c>
      <c r="BQY42">
        <f t="shared" si="68"/>
        <v>0</v>
      </c>
      <c r="BQZ42">
        <f t="shared" si="68"/>
        <v>0</v>
      </c>
      <c r="BRA42">
        <f t="shared" si="68"/>
        <v>0</v>
      </c>
      <c r="BRB42">
        <f t="shared" si="68"/>
        <v>0</v>
      </c>
      <c r="BRC42">
        <f t="shared" si="68"/>
        <v>0</v>
      </c>
      <c r="BRD42">
        <f t="shared" si="68"/>
        <v>0</v>
      </c>
      <c r="BRE42">
        <f t="shared" si="68"/>
        <v>0</v>
      </c>
      <c r="BRF42">
        <f t="shared" si="68"/>
        <v>0</v>
      </c>
      <c r="BRG42">
        <f t="shared" si="68"/>
        <v>0</v>
      </c>
      <c r="BRH42">
        <f t="shared" si="68"/>
        <v>0</v>
      </c>
      <c r="BRI42">
        <f t="shared" si="68"/>
        <v>0</v>
      </c>
      <c r="BRJ42">
        <f t="shared" si="68"/>
        <v>0</v>
      </c>
      <c r="BRK42">
        <f t="shared" si="68"/>
        <v>0</v>
      </c>
      <c r="BRL42">
        <f t="shared" si="68"/>
        <v>0</v>
      </c>
      <c r="BRM42">
        <f t="shared" si="68"/>
        <v>0</v>
      </c>
      <c r="BRN42">
        <f t="shared" si="68"/>
        <v>0</v>
      </c>
      <c r="BRO42">
        <f t="shared" si="68"/>
        <v>0</v>
      </c>
      <c r="BRP42">
        <f t="shared" si="68"/>
        <v>0</v>
      </c>
      <c r="BRQ42">
        <f t="shared" si="68"/>
        <v>0</v>
      </c>
      <c r="BRR42">
        <f t="shared" si="68"/>
        <v>0</v>
      </c>
      <c r="BRS42">
        <f t="shared" si="68"/>
        <v>0</v>
      </c>
      <c r="BRT42">
        <f t="shared" si="68"/>
        <v>0</v>
      </c>
      <c r="BRU42">
        <f t="shared" si="68"/>
        <v>0</v>
      </c>
      <c r="BRV42">
        <f t="shared" si="68"/>
        <v>0</v>
      </c>
      <c r="BRW42">
        <f t="shared" si="68"/>
        <v>0</v>
      </c>
      <c r="BRX42">
        <f t="shared" si="68"/>
        <v>0</v>
      </c>
      <c r="BRY42">
        <f t="shared" si="68"/>
        <v>0</v>
      </c>
      <c r="BRZ42">
        <f t="shared" si="68"/>
        <v>0</v>
      </c>
      <c r="BSA42">
        <f t="shared" si="68"/>
        <v>0</v>
      </c>
      <c r="BSB42">
        <f t="shared" si="68"/>
        <v>0</v>
      </c>
      <c r="BSC42">
        <f t="shared" si="68"/>
        <v>0</v>
      </c>
      <c r="BSD42">
        <f t="shared" si="68"/>
        <v>0</v>
      </c>
      <c r="BSE42">
        <f t="shared" si="68"/>
        <v>0</v>
      </c>
      <c r="BSF42">
        <f t="shared" si="68"/>
        <v>0</v>
      </c>
      <c r="BSG42">
        <f t="shared" si="68"/>
        <v>0</v>
      </c>
      <c r="BSH42">
        <f t="shared" ref="BSH42:BUS43" si="69">BSH41*1.6*1.2</f>
        <v>0</v>
      </c>
      <c r="BSI42">
        <f t="shared" si="69"/>
        <v>0</v>
      </c>
      <c r="BSJ42">
        <f t="shared" si="69"/>
        <v>0</v>
      </c>
      <c r="BSK42">
        <f t="shared" si="69"/>
        <v>0</v>
      </c>
      <c r="BSL42">
        <f t="shared" si="69"/>
        <v>0</v>
      </c>
      <c r="BSM42">
        <f t="shared" si="69"/>
        <v>0</v>
      </c>
      <c r="BSN42">
        <f t="shared" si="69"/>
        <v>0</v>
      </c>
      <c r="BSO42">
        <f t="shared" si="69"/>
        <v>0</v>
      </c>
      <c r="BSP42">
        <f t="shared" si="69"/>
        <v>0</v>
      </c>
      <c r="BSQ42">
        <f t="shared" si="69"/>
        <v>0</v>
      </c>
      <c r="BSR42">
        <f t="shared" si="69"/>
        <v>0</v>
      </c>
      <c r="BSS42">
        <f t="shared" si="69"/>
        <v>0</v>
      </c>
      <c r="BST42">
        <f t="shared" si="69"/>
        <v>0</v>
      </c>
      <c r="BSU42">
        <f t="shared" si="69"/>
        <v>0</v>
      </c>
      <c r="BSV42">
        <f t="shared" si="69"/>
        <v>0</v>
      </c>
      <c r="BSW42">
        <f t="shared" si="69"/>
        <v>0</v>
      </c>
      <c r="BSX42">
        <f t="shared" si="69"/>
        <v>0</v>
      </c>
      <c r="BSY42">
        <f t="shared" si="69"/>
        <v>0</v>
      </c>
      <c r="BSZ42">
        <f t="shared" si="69"/>
        <v>0</v>
      </c>
      <c r="BTA42">
        <f t="shared" si="69"/>
        <v>0</v>
      </c>
      <c r="BTB42">
        <f t="shared" si="69"/>
        <v>0</v>
      </c>
      <c r="BTC42">
        <f t="shared" si="69"/>
        <v>0</v>
      </c>
      <c r="BTD42">
        <f t="shared" si="69"/>
        <v>0</v>
      </c>
      <c r="BTE42">
        <f t="shared" si="69"/>
        <v>0</v>
      </c>
      <c r="BTF42">
        <f t="shared" si="69"/>
        <v>0</v>
      </c>
      <c r="BTG42">
        <f t="shared" si="69"/>
        <v>0</v>
      </c>
      <c r="BTH42">
        <f t="shared" si="69"/>
        <v>0</v>
      </c>
      <c r="BTI42">
        <f t="shared" si="69"/>
        <v>0</v>
      </c>
      <c r="BTJ42">
        <f t="shared" si="69"/>
        <v>0</v>
      </c>
      <c r="BTK42">
        <f t="shared" si="69"/>
        <v>0</v>
      </c>
      <c r="BTL42">
        <f t="shared" si="69"/>
        <v>0</v>
      </c>
      <c r="BTM42">
        <f t="shared" si="69"/>
        <v>0</v>
      </c>
      <c r="BTN42">
        <f t="shared" si="69"/>
        <v>0</v>
      </c>
      <c r="BTO42">
        <f t="shared" si="69"/>
        <v>0</v>
      </c>
      <c r="BTP42">
        <f t="shared" si="69"/>
        <v>0</v>
      </c>
      <c r="BTQ42">
        <f t="shared" si="69"/>
        <v>0</v>
      </c>
      <c r="BTR42">
        <f t="shared" si="69"/>
        <v>0</v>
      </c>
      <c r="BTS42">
        <f t="shared" si="69"/>
        <v>0</v>
      </c>
      <c r="BTT42">
        <f t="shared" si="69"/>
        <v>0</v>
      </c>
      <c r="BTU42">
        <f t="shared" si="69"/>
        <v>0</v>
      </c>
      <c r="BTV42">
        <f t="shared" si="69"/>
        <v>0</v>
      </c>
      <c r="BTW42">
        <f t="shared" si="69"/>
        <v>0</v>
      </c>
      <c r="BTX42">
        <f t="shared" si="69"/>
        <v>0</v>
      </c>
      <c r="BTY42">
        <f t="shared" si="69"/>
        <v>0</v>
      </c>
      <c r="BTZ42">
        <f t="shared" si="69"/>
        <v>0</v>
      </c>
      <c r="BUA42">
        <f t="shared" si="69"/>
        <v>0</v>
      </c>
      <c r="BUB42">
        <f t="shared" si="69"/>
        <v>0</v>
      </c>
      <c r="BUC42">
        <f t="shared" si="69"/>
        <v>0</v>
      </c>
      <c r="BUD42">
        <f t="shared" si="69"/>
        <v>0</v>
      </c>
      <c r="BUE42">
        <f t="shared" si="69"/>
        <v>0</v>
      </c>
      <c r="BUF42">
        <f t="shared" si="69"/>
        <v>0</v>
      </c>
      <c r="BUG42">
        <f t="shared" si="69"/>
        <v>0</v>
      </c>
      <c r="BUH42">
        <f t="shared" si="69"/>
        <v>0</v>
      </c>
      <c r="BUI42">
        <f t="shared" si="69"/>
        <v>0</v>
      </c>
      <c r="BUJ42">
        <f t="shared" si="69"/>
        <v>0</v>
      </c>
      <c r="BUK42">
        <f t="shared" si="69"/>
        <v>0</v>
      </c>
      <c r="BUL42">
        <f t="shared" si="69"/>
        <v>0</v>
      </c>
      <c r="BUM42">
        <f t="shared" si="69"/>
        <v>0</v>
      </c>
      <c r="BUN42">
        <f t="shared" si="69"/>
        <v>0</v>
      </c>
      <c r="BUO42">
        <f t="shared" si="69"/>
        <v>0</v>
      </c>
      <c r="BUP42">
        <f t="shared" si="69"/>
        <v>0</v>
      </c>
      <c r="BUQ42">
        <f t="shared" si="69"/>
        <v>0</v>
      </c>
      <c r="BUR42">
        <f t="shared" si="69"/>
        <v>0</v>
      </c>
      <c r="BUS42">
        <f t="shared" si="69"/>
        <v>0</v>
      </c>
      <c r="BUT42">
        <f t="shared" ref="BUT42:BXE43" si="70">BUT41*1.6*1.2</f>
        <v>0</v>
      </c>
      <c r="BUU42">
        <f t="shared" si="70"/>
        <v>0</v>
      </c>
      <c r="BUV42">
        <f t="shared" si="70"/>
        <v>0</v>
      </c>
      <c r="BUW42">
        <f t="shared" si="70"/>
        <v>0</v>
      </c>
      <c r="BUX42">
        <f t="shared" si="70"/>
        <v>0</v>
      </c>
      <c r="BUY42">
        <f t="shared" si="70"/>
        <v>0</v>
      </c>
      <c r="BUZ42">
        <f t="shared" si="70"/>
        <v>0</v>
      </c>
      <c r="BVA42">
        <f t="shared" si="70"/>
        <v>0</v>
      </c>
      <c r="BVB42">
        <f t="shared" si="70"/>
        <v>0</v>
      </c>
      <c r="BVC42">
        <f t="shared" si="70"/>
        <v>0</v>
      </c>
      <c r="BVD42">
        <f t="shared" si="70"/>
        <v>0</v>
      </c>
      <c r="BVE42">
        <f t="shared" si="70"/>
        <v>0</v>
      </c>
      <c r="BVF42">
        <f t="shared" si="70"/>
        <v>0</v>
      </c>
      <c r="BVG42">
        <f t="shared" si="70"/>
        <v>0</v>
      </c>
      <c r="BVH42">
        <f t="shared" si="70"/>
        <v>0</v>
      </c>
      <c r="BVI42">
        <f t="shared" si="70"/>
        <v>0</v>
      </c>
      <c r="BVJ42">
        <f t="shared" si="70"/>
        <v>0</v>
      </c>
      <c r="BVK42">
        <f t="shared" si="70"/>
        <v>0</v>
      </c>
      <c r="BVL42">
        <f t="shared" si="70"/>
        <v>0</v>
      </c>
      <c r="BVM42">
        <f t="shared" si="70"/>
        <v>0</v>
      </c>
      <c r="BVN42">
        <f t="shared" si="70"/>
        <v>0</v>
      </c>
      <c r="BVO42">
        <f t="shared" si="70"/>
        <v>0</v>
      </c>
      <c r="BVP42">
        <f t="shared" si="70"/>
        <v>0</v>
      </c>
      <c r="BVQ42">
        <f t="shared" si="70"/>
        <v>0</v>
      </c>
      <c r="BVR42">
        <f t="shared" si="70"/>
        <v>0</v>
      </c>
      <c r="BVS42">
        <f t="shared" si="70"/>
        <v>0</v>
      </c>
      <c r="BVT42">
        <f t="shared" si="70"/>
        <v>0</v>
      </c>
      <c r="BVU42">
        <f t="shared" si="70"/>
        <v>0</v>
      </c>
      <c r="BVV42">
        <f t="shared" si="70"/>
        <v>0</v>
      </c>
      <c r="BVW42">
        <f t="shared" si="70"/>
        <v>0</v>
      </c>
      <c r="BVX42">
        <f t="shared" si="70"/>
        <v>0</v>
      </c>
      <c r="BVY42">
        <f t="shared" si="70"/>
        <v>0</v>
      </c>
      <c r="BVZ42">
        <f t="shared" si="70"/>
        <v>0</v>
      </c>
      <c r="BWA42">
        <f t="shared" si="70"/>
        <v>0</v>
      </c>
      <c r="BWB42">
        <f t="shared" si="70"/>
        <v>0</v>
      </c>
      <c r="BWC42">
        <f t="shared" si="70"/>
        <v>0</v>
      </c>
      <c r="BWD42">
        <f t="shared" si="70"/>
        <v>0</v>
      </c>
      <c r="BWE42">
        <f t="shared" si="70"/>
        <v>0</v>
      </c>
      <c r="BWF42">
        <f t="shared" si="70"/>
        <v>0</v>
      </c>
      <c r="BWG42">
        <f t="shared" si="70"/>
        <v>0</v>
      </c>
      <c r="BWH42">
        <f t="shared" si="70"/>
        <v>0</v>
      </c>
      <c r="BWI42">
        <f t="shared" si="70"/>
        <v>0</v>
      </c>
      <c r="BWJ42">
        <f t="shared" si="70"/>
        <v>0</v>
      </c>
      <c r="BWK42">
        <f t="shared" si="70"/>
        <v>0</v>
      </c>
      <c r="BWL42">
        <f t="shared" si="70"/>
        <v>0</v>
      </c>
      <c r="BWM42">
        <f t="shared" si="70"/>
        <v>0</v>
      </c>
      <c r="BWN42">
        <f t="shared" si="70"/>
        <v>0</v>
      </c>
      <c r="BWO42">
        <f t="shared" si="70"/>
        <v>0</v>
      </c>
      <c r="BWP42">
        <f t="shared" si="70"/>
        <v>0</v>
      </c>
      <c r="BWQ42">
        <f t="shared" si="70"/>
        <v>0</v>
      </c>
      <c r="BWR42">
        <f t="shared" si="70"/>
        <v>0</v>
      </c>
      <c r="BWS42">
        <f t="shared" si="70"/>
        <v>0</v>
      </c>
      <c r="BWT42">
        <f t="shared" si="70"/>
        <v>0</v>
      </c>
      <c r="BWU42">
        <f t="shared" si="70"/>
        <v>0</v>
      </c>
      <c r="BWV42">
        <f t="shared" si="70"/>
        <v>0</v>
      </c>
      <c r="BWW42">
        <f t="shared" si="70"/>
        <v>0</v>
      </c>
      <c r="BWX42">
        <f t="shared" si="70"/>
        <v>0</v>
      </c>
      <c r="BWY42">
        <f t="shared" si="70"/>
        <v>0</v>
      </c>
      <c r="BWZ42">
        <f t="shared" si="70"/>
        <v>0</v>
      </c>
      <c r="BXA42">
        <f t="shared" si="70"/>
        <v>0</v>
      </c>
      <c r="BXB42">
        <f t="shared" si="70"/>
        <v>0</v>
      </c>
      <c r="BXC42">
        <f t="shared" si="70"/>
        <v>0</v>
      </c>
      <c r="BXD42">
        <f t="shared" si="70"/>
        <v>0</v>
      </c>
      <c r="BXE42">
        <f t="shared" si="70"/>
        <v>0</v>
      </c>
      <c r="BXF42">
        <f t="shared" ref="BXF42:BZQ43" si="71">BXF41*1.6*1.2</f>
        <v>0</v>
      </c>
      <c r="BXG42">
        <f t="shared" si="71"/>
        <v>0</v>
      </c>
      <c r="BXH42">
        <f t="shared" si="71"/>
        <v>0</v>
      </c>
      <c r="BXI42">
        <f t="shared" si="71"/>
        <v>0</v>
      </c>
      <c r="BXJ42">
        <f t="shared" si="71"/>
        <v>0</v>
      </c>
      <c r="BXK42">
        <f t="shared" si="71"/>
        <v>0</v>
      </c>
      <c r="BXL42">
        <f t="shared" si="71"/>
        <v>0</v>
      </c>
      <c r="BXM42">
        <f t="shared" si="71"/>
        <v>0</v>
      </c>
      <c r="BXN42">
        <f t="shared" si="71"/>
        <v>0</v>
      </c>
      <c r="BXO42">
        <f t="shared" si="71"/>
        <v>0</v>
      </c>
      <c r="BXP42">
        <f t="shared" si="71"/>
        <v>0</v>
      </c>
      <c r="BXQ42">
        <f t="shared" si="71"/>
        <v>0</v>
      </c>
      <c r="BXR42">
        <f t="shared" si="71"/>
        <v>0</v>
      </c>
      <c r="BXS42">
        <f t="shared" si="71"/>
        <v>0</v>
      </c>
      <c r="BXT42">
        <f t="shared" si="71"/>
        <v>0</v>
      </c>
      <c r="BXU42">
        <f t="shared" si="71"/>
        <v>0</v>
      </c>
      <c r="BXV42">
        <f t="shared" si="71"/>
        <v>0</v>
      </c>
      <c r="BXW42">
        <f t="shared" si="71"/>
        <v>0</v>
      </c>
      <c r="BXX42">
        <f t="shared" si="71"/>
        <v>0</v>
      </c>
      <c r="BXY42">
        <f t="shared" si="71"/>
        <v>0</v>
      </c>
      <c r="BXZ42">
        <f t="shared" si="71"/>
        <v>0</v>
      </c>
      <c r="BYA42">
        <f t="shared" si="71"/>
        <v>0</v>
      </c>
      <c r="BYB42">
        <f t="shared" si="71"/>
        <v>0</v>
      </c>
      <c r="BYC42">
        <f t="shared" si="71"/>
        <v>0</v>
      </c>
      <c r="BYD42">
        <f t="shared" si="71"/>
        <v>0</v>
      </c>
      <c r="BYE42">
        <f t="shared" si="71"/>
        <v>0</v>
      </c>
      <c r="BYF42">
        <f t="shared" si="71"/>
        <v>0</v>
      </c>
      <c r="BYG42">
        <f t="shared" si="71"/>
        <v>0</v>
      </c>
      <c r="BYH42">
        <f t="shared" si="71"/>
        <v>0</v>
      </c>
      <c r="BYI42">
        <f t="shared" si="71"/>
        <v>0</v>
      </c>
      <c r="BYJ42">
        <f t="shared" si="71"/>
        <v>0</v>
      </c>
      <c r="BYK42">
        <f t="shared" si="71"/>
        <v>0</v>
      </c>
      <c r="BYL42">
        <f t="shared" si="71"/>
        <v>0</v>
      </c>
      <c r="BYM42">
        <f t="shared" si="71"/>
        <v>0</v>
      </c>
      <c r="BYN42">
        <f t="shared" si="71"/>
        <v>0</v>
      </c>
      <c r="BYO42">
        <f t="shared" si="71"/>
        <v>0</v>
      </c>
      <c r="BYP42">
        <f t="shared" si="71"/>
        <v>0</v>
      </c>
      <c r="BYQ42">
        <f t="shared" si="71"/>
        <v>0</v>
      </c>
      <c r="BYR42">
        <f t="shared" si="71"/>
        <v>0</v>
      </c>
      <c r="BYS42">
        <f t="shared" si="71"/>
        <v>0</v>
      </c>
      <c r="BYT42">
        <f t="shared" si="71"/>
        <v>0</v>
      </c>
      <c r="BYU42">
        <f t="shared" si="71"/>
        <v>0</v>
      </c>
      <c r="BYV42">
        <f t="shared" si="71"/>
        <v>0</v>
      </c>
      <c r="BYW42">
        <f t="shared" si="71"/>
        <v>0</v>
      </c>
      <c r="BYX42">
        <f t="shared" si="71"/>
        <v>0</v>
      </c>
      <c r="BYY42">
        <f t="shared" si="71"/>
        <v>0</v>
      </c>
      <c r="BYZ42">
        <f t="shared" si="71"/>
        <v>0</v>
      </c>
      <c r="BZA42">
        <f t="shared" si="71"/>
        <v>0</v>
      </c>
      <c r="BZB42">
        <f t="shared" si="71"/>
        <v>0</v>
      </c>
      <c r="BZC42">
        <f t="shared" si="71"/>
        <v>0</v>
      </c>
      <c r="BZD42">
        <f t="shared" si="71"/>
        <v>0</v>
      </c>
      <c r="BZE42">
        <f t="shared" si="71"/>
        <v>0</v>
      </c>
      <c r="BZF42">
        <f t="shared" si="71"/>
        <v>0</v>
      </c>
      <c r="BZG42">
        <f t="shared" si="71"/>
        <v>0</v>
      </c>
      <c r="BZH42">
        <f t="shared" si="71"/>
        <v>0</v>
      </c>
      <c r="BZI42">
        <f t="shared" si="71"/>
        <v>0</v>
      </c>
      <c r="BZJ42">
        <f t="shared" si="71"/>
        <v>0</v>
      </c>
      <c r="BZK42">
        <f t="shared" si="71"/>
        <v>0</v>
      </c>
      <c r="BZL42">
        <f t="shared" si="71"/>
        <v>0</v>
      </c>
      <c r="BZM42">
        <f t="shared" si="71"/>
        <v>0</v>
      </c>
      <c r="BZN42">
        <f t="shared" si="71"/>
        <v>0</v>
      </c>
      <c r="BZO42">
        <f t="shared" si="71"/>
        <v>0</v>
      </c>
      <c r="BZP42">
        <f t="shared" si="71"/>
        <v>0</v>
      </c>
      <c r="BZQ42">
        <f t="shared" si="71"/>
        <v>0</v>
      </c>
      <c r="BZR42">
        <f t="shared" ref="BZR42:CCC43" si="72">BZR41*1.6*1.2</f>
        <v>0</v>
      </c>
      <c r="BZS42">
        <f t="shared" si="72"/>
        <v>0</v>
      </c>
      <c r="BZT42">
        <f t="shared" si="72"/>
        <v>0</v>
      </c>
      <c r="BZU42">
        <f t="shared" si="72"/>
        <v>0</v>
      </c>
      <c r="BZV42">
        <f t="shared" si="72"/>
        <v>0</v>
      </c>
      <c r="BZW42">
        <f t="shared" si="72"/>
        <v>0</v>
      </c>
      <c r="BZX42">
        <f t="shared" si="72"/>
        <v>0</v>
      </c>
      <c r="BZY42">
        <f t="shared" si="72"/>
        <v>0</v>
      </c>
      <c r="BZZ42">
        <f t="shared" si="72"/>
        <v>0</v>
      </c>
      <c r="CAA42">
        <f t="shared" si="72"/>
        <v>0</v>
      </c>
      <c r="CAB42">
        <f t="shared" si="72"/>
        <v>0</v>
      </c>
      <c r="CAC42">
        <f t="shared" si="72"/>
        <v>0</v>
      </c>
      <c r="CAD42">
        <f t="shared" si="72"/>
        <v>0</v>
      </c>
      <c r="CAE42">
        <f t="shared" si="72"/>
        <v>0</v>
      </c>
      <c r="CAF42">
        <f t="shared" si="72"/>
        <v>0</v>
      </c>
      <c r="CAG42">
        <f t="shared" si="72"/>
        <v>0</v>
      </c>
      <c r="CAH42">
        <f t="shared" si="72"/>
        <v>0</v>
      </c>
      <c r="CAI42">
        <f t="shared" si="72"/>
        <v>0</v>
      </c>
      <c r="CAJ42">
        <f t="shared" si="72"/>
        <v>0</v>
      </c>
      <c r="CAK42">
        <f t="shared" si="72"/>
        <v>0</v>
      </c>
      <c r="CAL42">
        <f t="shared" si="72"/>
        <v>0</v>
      </c>
      <c r="CAM42">
        <f t="shared" si="72"/>
        <v>0</v>
      </c>
      <c r="CAN42">
        <f t="shared" si="72"/>
        <v>0</v>
      </c>
      <c r="CAO42">
        <f t="shared" si="72"/>
        <v>0</v>
      </c>
      <c r="CAP42">
        <f t="shared" si="72"/>
        <v>0</v>
      </c>
      <c r="CAQ42">
        <f t="shared" si="72"/>
        <v>0</v>
      </c>
      <c r="CAR42">
        <f t="shared" si="72"/>
        <v>0</v>
      </c>
      <c r="CAS42">
        <f t="shared" si="72"/>
        <v>0</v>
      </c>
      <c r="CAT42">
        <f t="shared" si="72"/>
        <v>0</v>
      </c>
      <c r="CAU42">
        <f t="shared" si="72"/>
        <v>0</v>
      </c>
      <c r="CAV42">
        <f t="shared" si="72"/>
        <v>0</v>
      </c>
      <c r="CAW42">
        <f t="shared" si="72"/>
        <v>0</v>
      </c>
      <c r="CAX42">
        <f t="shared" si="72"/>
        <v>0</v>
      </c>
      <c r="CAY42">
        <f t="shared" si="72"/>
        <v>0</v>
      </c>
      <c r="CAZ42">
        <f t="shared" si="72"/>
        <v>0</v>
      </c>
      <c r="CBA42">
        <f t="shared" si="72"/>
        <v>0</v>
      </c>
      <c r="CBB42">
        <f t="shared" si="72"/>
        <v>0</v>
      </c>
      <c r="CBC42">
        <f t="shared" si="72"/>
        <v>0</v>
      </c>
      <c r="CBD42">
        <f t="shared" si="72"/>
        <v>0</v>
      </c>
      <c r="CBE42">
        <f t="shared" si="72"/>
        <v>0</v>
      </c>
      <c r="CBF42">
        <f t="shared" si="72"/>
        <v>0</v>
      </c>
      <c r="CBG42">
        <f t="shared" si="72"/>
        <v>0</v>
      </c>
      <c r="CBH42">
        <f t="shared" si="72"/>
        <v>0</v>
      </c>
      <c r="CBI42">
        <f t="shared" si="72"/>
        <v>0</v>
      </c>
      <c r="CBJ42">
        <f t="shared" si="72"/>
        <v>0</v>
      </c>
      <c r="CBK42">
        <f t="shared" si="72"/>
        <v>0</v>
      </c>
      <c r="CBL42">
        <f t="shared" si="72"/>
        <v>0</v>
      </c>
      <c r="CBM42">
        <f t="shared" si="72"/>
        <v>0</v>
      </c>
      <c r="CBN42">
        <f t="shared" si="72"/>
        <v>0</v>
      </c>
      <c r="CBO42">
        <f t="shared" si="72"/>
        <v>0</v>
      </c>
      <c r="CBP42">
        <f t="shared" si="72"/>
        <v>0</v>
      </c>
      <c r="CBQ42">
        <f t="shared" si="72"/>
        <v>0</v>
      </c>
      <c r="CBR42">
        <f t="shared" si="72"/>
        <v>0</v>
      </c>
      <c r="CBS42">
        <f t="shared" si="72"/>
        <v>0</v>
      </c>
      <c r="CBT42">
        <f t="shared" si="72"/>
        <v>0</v>
      </c>
      <c r="CBU42">
        <f t="shared" si="72"/>
        <v>0</v>
      </c>
      <c r="CBV42">
        <f t="shared" si="72"/>
        <v>0</v>
      </c>
      <c r="CBW42">
        <f t="shared" si="72"/>
        <v>0</v>
      </c>
      <c r="CBX42">
        <f t="shared" si="72"/>
        <v>0</v>
      </c>
      <c r="CBY42">
        <f t="shared" si="72"/>
        <v>0</v>
      </c>
      <c r="CBZ42">
        <f t="shared" si="72"/>
        <v>0</v>
      </c>
      <c r="CCA42">
        <f t="shared" si="72"/>
        <v>0</v>
      </c>
      <c r="CCB42">
        <f t="shared" si="72"/>
        <v>0</v>
      </c>
      <c r="CCC42">
        <f t="shared" si="72"/>
        <v>0</v>
      </c>
      <c r="CCD42">
        <f t="shared" ref="CCD42:CEO43" si="73">CCD41*1.6*1.2</f>
        <v>0</v>
      </c>
      <c r="CCE42">
        <f t="shared" si="73"/>
        <v>0</v>
      </c>
      <c r="CCF42">
        <f t="shared" si="73"/>
        <v>0</v>
      </c>
      <c r="CCG42">
        <f t="shared" si="73"/>
        <v>0</v>
      </c>
      <c r="CCH42">
        <f t="shared" si="73"/>
        <v>0</v>
      </c>
      <c r="CCI42">
        <f t="shared" si="73"/>
        <v>0</v>
      </c>
      <c r="CCJ42">
        <f t="shared" si="73"/>
        <v>0</v>
      </c>
      <c r="CCK42">
        <f t="shared" si="73"/>
        <v>0</v>
      </c>
      <c r="CCL42">
        <f t="shared" si="73"/>
        <v>0</v>
      </c>
      <c r="CCM42">
        <f t="shared" si="73"/>
        <v>0</v>
      </c>
      <c r="CCN42">
        <f t="shared" si="73"/>
        <v>0</v>
      </c>
      <c r="CCO42">
        <f t="shared" si="73"/>
        <v>0</v>
      </c>
      <c r="CCP42">
        <f t="shared" si="73"/>
        <v>0</v>
      </c>
      <c r="CCQ42">
        <f t="shared" si="73"/>
        <v>0</v>
      </c>
      <c r="CCR42">
        <f t="shared" si="73"/>
        <v>0</v>
      </c>
      <c r="CCS42">
        <f t="shared" si="73"/>
        <v>0</v>
      </c>
      <c r="CCT42">
        <f t="shared" si="73"/>
        <v>0</v>
      </c>
      <c r="CCU42">
        <f t="shared" si="73"/>
        <v>0</v>
      </c>
      <c r="CCV42">
        <f t="shared" si="73"/>
        <v>0</v>
      </c>
      <c r="CCW42">
        <f t="shared" si="73"/>
        <v>0</v>
      </c>
      <c r="CCX42">
        <f t="shared" si="73"/>
        <v>0</v>
      </c>
      <c r="CCY42">
        <f t="shared" si="73"/>
        <v>0</v>
      </c>
      <c r="CCZ42">
        <f t="shared" si="73"/>
        <v>0</v>
      </c>
      <c r="CDA42">
        <f t="shared" si="73"/>
        <v>0</v>
      </c>
      <c r="CDB42">
        <f t="shared" si="73"/>
        <v>0</v>
      </c>
      <c r="CDC42">
        <f t="shared" si="73"/>
        <v>0</v>
      </c>
      <c r="CDD42">
        <f t="shared" si="73"/>
        <v>0</v>
      </c>
      <c r="CDE42">
        <f t="shared" si="73"/>
        <v>0</v>
      </c>
      <c r="CDF42">
        <f t="shared" si="73"/>
        <v>0</v>
      </c>
      <c r="CDG42">
        <f t="shared" si="73"/>
        <v>0</v>
      </c>
      <c r="CDH42">
        <f t="shared" si="73"/>
        <v>0</v>
      </c>
      <c r="CDI42">
        <f t="shared" si="73"/>
        <v>0</v>
      </c>
      <c r="CDJ42">
        <f t="shared" si="73"/>
        <v>0</v>
      </c>
      <c r="CDK42">
        <f t="shared" si="73"/>
        <v>0</v>
      </c>
      <c r="CDL42">
        <f t="shared" si="73"/>
        <v>0</v>
      </c>
      <c r="CDM42">
        <f t="shared" si="73"/>
        <v>0</v>
      </c>
      <c r="CDN42">
        <f t="shared" si="73"/>
        <v>0</v>
      </c>
      <c r="CDO42">
        <f t="shared" si="73"/>
        <v>0</v>
      </c>
      <c r="CDP42">
        <f t="shared" si="73"/>
        <v>0</v>
      </c>
      <c r="CDQ42">
        <f t="shared" si="73"/>
        <v>0</v>
      </c>
      <c r="CDR42">
        <f t="shared" si="73"/>
        <v>0</v>
      </c>
      <c r="CDS42">
        <f t="shared" si="73"/>
        <v>0</v>
      </c>
      <c r="CDT42">
        <f t="shared" si="73"/>
        <v>0</v>
      </c>
      <c r="CDU42">
        <f t="shared" si="73"/>
        <v>0</v>
      </c>
      <c r="CDV42">
        <f t="shared" si="73"/>
        <v>0</v>
      </c>
      <c r="CDW42">
        <f t="shared" si="73"/>
        <v>0</v>
      </c>
      <c r="CDX42">
        <f t="shared" si="73"/>
        <v>0</v>
      </c>
      <c r="CDY42">
        <f t="shared" si="73"/>
        <v>0</v>
      </c>
      <c r="CDZ42">
        <f t="shared" si="73"/>
        <v>0</v>
      </c>
      <c r="CEA42">
        <f t="shared" si="73"/>
        <v>0</v>
      </c>
      <c r="CEB42">
        <f t="shared" si="73"/>
        <v>0</v>
      </c>
      <c r="CEC42">
        <f t="shared" si="73"/>
        <v>0</v>
      </c>
      <c r="CED42">
        <f t="shared" si="73"/>
        <v>0</v>
      </c>
      <c r="CEE42">
        <f t="shared" si="73"/>
        <v>0</v>
      </c>
      <c r="CEF42">
        <f t="shared" si="73"/>
        <v>0</v>
      </c>
      <c r="CEG42">
        <f t="shared" si="73"/>
        <v>0</v>
      </c>
      <c r="CEH42">
        <f t="shared" si="73"/>
        <v>0</v>
      </c>
      <c r="CEI42">
        <f t="shared" si="73"/>
        <v>0</v>
      </c>
      <c r="CEJ42">
        <f t="shared" si="73"/>
        <v>0</v>
      </c>
      <c r="CEK42">
        <f t="shared" si="73"/>
        <v>0</v>
      </c>
      <c r="CEL42">
        <f t="shared" si="73"/>
        <v>0</v>
      </c>
      <c r="CEM42">
        <f t="shared" si="73"/>
        <v>0</v>
      </c>
      <c r="CEN42">
        <f t="shared" si="73"/>
        <v>0</v>
      </c>
      <c r="CEO42">
        <f t="shared" si="73"/>
        <v>0</v>
      </c>
      <c r="CEP42">
        <f t="shared" ref="CEP42:CHA43" si="74">CEP41*1.6*1.2</f>
        <v>0</v>
      </c>
      <c r="CEQ42">
        <f t="shared" si="74"/>
        <v>0</v>
      </c>
      <c r="CER42">
        <f t="shared" si="74"/>
        <v>0</v>
      </c>
      <c r="CES42">
        <f t="shared" si="74"/>
        <v>0</v>
      </c>
      <c r="CET42">
        <f t="shared" si="74"/>
        <v>0</v>
      </c>
      <c r="CEU42">
        <f t="shared" si="74"/>
        <v>0</v>
      </c>
      <c r="CEV42">
        <f t="shared" si="74"/>
        <v>0</v>
      </c>
      <c r="CEW42">
        <f t="shared" si="74"/>
        <v>0</v>
      </c>
      <c r="CEX42">
        <f t="shared" si="74"/>
        <v>0</v>
      </c>
      <c r="CEY42">
        <f t="shared" si="74"/>
        <v>0</v>
      </c>
      <c r="CEZ42">
        <f t="shared" si="74"/>
        <v>0</v>
      </c>
      <c r="CFA42">
        <f t="shared" si="74"/>
        <v>0</v>
      </c>
      <c r="CFB42">
        <f t="shared" si="74"/>
        <v>0</v>
      </c>
      <c r="CFC42">
        <f t="shared" si="74"/>
        <v>0</v>
      </c>
      <c r="CFD42">
        <f t="shared" si="74"/>
        <v>0</v>
      </c>
      <c r="CFE42">
        <f t="shared" si="74"/>
        <v>0</v>
      </c>
      <c r="CFF42">
        <f t="shared" si="74"/>
        <v>0</v>
      </c>
      <c r="CFG42">
        <f t="shared" si="74"/>
        <v>0</v>
      </c>
      <c r="CFH42">
        <f t="shared" si="74"/>
        <v>0</v>
      </c>
      <c r="CFI42">
        <f t="shared" si="74"/>
        <v>0</v>
      </c>
      <c r="CFJ42">
        <f t="shared" si="74"/>
        <v>0</v>
      </c>
      <c r="CFK42">
        <f t="shared" si="74"/>
        <v>0</v>
      </c>
      <c r="CFL42">
        <f t="shared" si="74"/>
        <v>0</v>
      </c>
      <c r="CFM42">
        <f t="shared" si="74"/>
        <v>0</v>
      </c>
      <c r="CFN42">
        <f t="shared" si="74"/>
        <v>0</v>
      </c>
      <c r="CFO42">
        <f t="shared" si="74"/>
        <v>0</v>
      </c>
      <c r="CFP42">
        <f t="shared" si="74"/>
        <v>0</v>
      </c>
      <c r="CFQ42">
        <f t="shared" si="74"/>
        <v>0</v>
      </c>
      <c r="CFR42">
        <f t="shared" si="74"/>
        <v>0</v>
      </c>
      <c r="CFS42">
        <f t="shared" si="74"/>
        <v>0</v>
      </c>
      <c r="CFT42">
        <f t="shared" si="74"/>
        <v>0</v>
      </c>
      <c r="CFU42">
        <f t="shared" si="74"/>
        <v>0</v>
      </c>
      <c r="CFV42">
        <f t="shared" si="74"/>
        <v>0</v>
      </c>
      <c r="CFW42">
        <f t="shared" si="74"/>
        <v>0</v>
      </c>
      <c r="CFX42">
        <f t="shared" si="74"/>
        <v>0</v>
      </c>
      <c r="CFY42">
        <f t="shared" si="74"/>
        <v>0</v>
      </c>
      <c r="CFZ42">
        <f t="shared" si="74"/>
        <v>0</v>
      </c>
      <c r="CGA42">
        <f t="shared" si="74"/>
        <v>0</v>
      </c>
      <c r="CGB42">
        <f t="shared" si="74"/>
        <v>0</v>
      </c>
      <c r="CGC42">
        <f t="shared" si="74"/>
        <v>0</v>
      </c>
      <c r="CGD42">
        <f t="shared" si="74"/>
        <v>0</v>
      </c>
      <c r="CGE42">
        <f t="shared" si="74"/>
        <v>0</v>
      </c>
      <c r="CGF42">
        <f t="shared" si="74"/>
        <v>0</v>
      </c>
      <c r="CGG42">
        <f t="shared" si="74"/>
        <v>0</v>
      </c>
      <c r="CGH42">
        <f t="shared" si="74"/>
        <v>0</v>
      </c>
      <c r="CGI42">
        <f t="shared" si="74"/>
        <v>0</v>
      </c>
      <c r="CGJ42">
        <f t="shared" si="74"/>
        <v>0</v>
      </c>
      <c r="CGK42">
        <f t="shared" si="74"/>
        <v>0</v>
      </c>
      <c r="CGL42">
        <f t="shared" si="74"/>
        <v>0</v>
      </c>
      <c r="CGM42">
        <f t="shared" si="74"/>
        <v>0</v>
      </c>
      <c r="CGN42">
        <f t="shared" si="74"/>
        <v>0</v>
      </c>
      <c r="CGO42">
        <f t="shared" si="74"/>
        <v>0</v>
      </c>
      <c r="CGP42">
        <f t="shared" si="74"/>
        <v>0</v>
      </c>
      <c r="CGQ42">
        <f t="shared" si="74"/>
        <v>0</v>
      </c>
      <c r="CGR42">
        <f t="shared" si="74"/>
        <v>0</v>
      </c>
      <c r="CGS42">
        <f t="shared" si="74"/>
        <v>0</v>
      </c>
      <c r="CGT42">
        <f t="shared" si="74"/>
        <v>0</v>
      </c>
      <c r="CGU42">
        <f t="shared" si="74"/>
        <v>0</v>
      </c>
      <c r="CGV42">
        <f t="shared" si="74"/>
        <v>0</v>
      </c>
      <c r="CGW42">
        <f t="shared" si="74"/>
        <v>0</v>
      </c>
      <c r="CGX42">
        <f t="shared" si="74"/>
        <v>0</v>
      </c>
      <c r="CGY42">
        <f t="shared" si="74"/>
        <v>0</v>
      </c>
      <c r="CGZ42">
        <f t="shared" si="74"/>
        <v>0</v>
      </c>
      <c r="CHA42">
        <f t="shared" si="74"/>
        <v>0</v>
      </c>
      <c r="CHB42">
        <f t="shared" ref="CHB42:CJM43" si="75">CHB41*1.6*1.2</f>
        <v>0</v>
      </c>
      <c r="CHC42">
        <f t="shared" si="75"/>
        <v>0</v>
      </c>
      <c r="CHD42">
        <f t="shared" si="75"/>
        <v>0</v>
      </c>
      <c r="CHE42">
        <f t="shared" si="75"/>
        <v>0</v>
      </c>
      <c r="CHF42">
        <f t="shared" si="75"/>
        <v>0</v>
      </c>
      <c r="CHG42">
        <f t="shared" si="75"/>
        <v>0</v>
      </c>
      <c r="CHH42">
        <f t="shared" si="75"/>
        <v>0</v>
      </c>
      <c r="CHI42">
        <f t="shared" si="75"/>
        <v>0</v>
      </c>
      <c r="CHJ42">
        <f t="shared" si="75"/>
        <v>0</v>
      </c>
      <c r="CHK42">
        <f t="shared" si="75"/>
        <v>0</v>
      </c>
      <c r="CHL42">
        <f t="shared" si="75"/>
        <v>0</v>
      </c>
      <c r="CHM42">
        <f t="shared" si="75"/>
        <v>0</v>
      </c>
      <c r="CHN42">
        <f t="shared" si="75"/>
        <v>0</v>
      </c>
      <c r="CHO42">
        <f t="shared" si="75"/>
        <v>0</v>
      </c>
      <c r="CHP42">
        <f t="shared" si="75"/>
        <v>0</v>
      </c>
      <c r="CHQ42">
        <f t="shared" si="75"/>
        <v>0</v>
      </c>
      <c r="CHR42">
        <f t="shared" si="75"/>
        <v>0</v>
      </c>
      <c r="CHS42">
        <f t="shared" si="75"/>
        <v>0</v>
      </c>
      <c r="CHT42">
        <f t="shared" si="75"/>
        <v>0</v>
      </c>
      <c r="CHU42">
        <f t="shared" si="75"/>
        <v>0</v>
      </c>
      <c r="CHV42">
        <f t="shared" si="75"/>
        <v>0</v>
      </c>
      <c r="CHW42">
        <f t="shared" si="75"/>
        <v>0</v>
      </c>
      <c r="CHX42">
        <f t="shared" si="75"/>
        <v>0</v>
      </c>
      <c r="CHY42">
        <f t="shared" si="75"/>
        <v>0</v>
      </c>
      <c r="CHZ42">
        <f t="shared" si="75"/>
        <v>0</v>
      </c>
      <c r="CIA42">
        <f t="shared" si="75"/>
        <v>0</v>
      </c>
      <c r="CIB42">
        <f t="shared" si="75"/>
        <v>0</v>
      </c>
      <c r="CIC42">
        <f t="shared" si="75"/>
        <v>0</v>
      </c>
      <c r="CID42">
        <f t="shared" si="75"/>
        <v>0</v>
      </c>
      <c r="CIE42">
        <f t="shared" si="75"/>
        <v>0</v>
      </c>
      <c r="CIF42">
        <f t="shared" si="75"/>
        <v>0</v>
      </c>
      <c r="CIG42">
        <f t="shared" si="75"/>
        <v>0</v>
      </c>
      <c r="CIH42">
        <f t="shared" si="75"/>
        <v>0</v>
      </c>
      <c r="CII42">
        <f t="shared" si="75"/>
        <v>0</v>
      </c>
      <c r="CIJ42">
        <f t="shared" si="75"/>
        <v>0</v>
      </c>
      <c r="CIK42">
        <f t="shared" si="75"/>
        <v>0</v>
      </c>
      <c r="CIL42">
        <f t="shared" si="75"/>
        <v>0</v>
      </c>
      <c r="CIM42">
        <f t="shared" si="75"/>
        <v>0</v>
      </c>
      <c r="CIN42">
        <f t="shared" si="75"/>
        <v>0</v>
      </c>
      <c r="CIO42">
        <f t="shared" si="75"/>
        <v>0</v>
      </c>
      <c r="CIP42">
        <f t="shared" si="75"/>
        <v>0</v>
      </c>
      <c r="CIQ42">
        <f t="shared" si="75"/>
        <v>0</v>
      </c>
      <c r="CIR42">
        <f t="shared" si="75"/>
        <v>0</v>
      </c>
      <c r="CIS42">
        <f t="shared" si="75"/>
        <v>0</v>
      </c>
      <c r="CIT42">
        <f t="shared" si="75"/>
        <v>0</v>
      </c>
      <c r="CIU42">
        <f t="shared" si="75"/>
        <v>0</v>
      </c>
      <c r="CIV42">
        <f t="shared" si="75"/>
        <v>0</v>
      </c>
      <c r="CIW42">
        <f t="shared" si="75"/>
        <v>0</v>
      </c>
      <c r="CIX42">
        <f t="shared" si="75"/>
        <v>0</v>
      </c>
      <c r="CIY42">
        <f t="shared" si="75"/>
        <v>0</v>
      </c>
      <c r="CIZ42">
        <f t="shared" si="75"/>
        <v>0</v>
      </c>
      <c r="CJA42">
        <f t="shared" si="75"/>
        <v>0</v>
      </c>
      <c r="CJB42">
        <f t="shared" si="75"/>
        <v>0</v>
      </c>
      <c r="CJC42">
        <f t="shared" si="75"/>
        <v>0</v>
      </c>
      <c r="CJD42">
        <f t="shared" si="75"/>
        <v>0</v>
      </c>
      <c r="CJE42">
        <f t="shared" si="75"/>
        <v>0</v>
      </c>
      <c r="CJF42">
        <f t="shared" si="75"/>
        <v>0</v>
      </c>
      <c r="CJG42">
        <f t="shared" si="75"/>
        <v>0</v>
      </c>
      <c r="CJH42">
        <f t="shared" si="75"/>
        <v>0</v>
      </c>
      <c r="CJI42">
        <f t="shared" si="75"/>
        <v>0</v>
      </c>
      <c r="CJJ42">
        <f t="shared" si="75"/>
        <v>0</v>
      </c>
      <c r="CJK42">
        <f t="shared" si="75"/>
        <v>0</v>
      </c>
      <c r="CJL42">
        <f t="shared" si="75"/>
        <v>0</v>
      </c>
      <c r="CJM42">
        <f t="shared" si="75"/>
        <v>0</v>
      </c>
      <c r="CJN42">
        <f t="shared" ref="CJN42:CLY43" si="76">CJN41*1.6*1.2</f>
        <v>0</v>
      </c>
      <c r="CJO42">
        <f t="shared" si="76"/>
        <v>0</v>
      </c>
      <c r="CJP42">
        <f t="shared" si="76"/>
        <v>0</v>
      </c>
      <c r="CJQ42">
        <f t="shared" si="76"/>
        <v>0</v>
      </c>
      <c r="CJR42">
        <f t="shared" si="76"/>
        <v>0</v>
      </c>
      <c r="CJS42">
        <f t="shared" si="76"/>
        <v>0</v>
      </c>
      <c r="CJT42">
        <f t="shared" si="76"/>
        <v>0</v>
      </c>
      <c r="CJU42">
        <f t="shared" si="76"/>
        <v>0</v>
      </c>
      <c r="CJV42">
        <f t="shared" si="76"/>
        <v>0</v>
      </c>
      <c r="CJW42">
        <f t="shared" si="76"/>
        <v>0</v>
      </c>
      <c r="CJX42">
        <f t="shared" si="76"/>
        <v>0</v>
      </c>
      <c r="CJY42">
        <f t="shared" si="76"/>
        <v>0</v>
      </c>
      <c r="CJZ42">
        <f t="shared" si="76"/>
        <v>0</v>
      </c>
      <c r="CKA42">
        <f t="shared" si="76"/>
        <v>0</v>
      </c>
      <c r="CKB42">
        <f t="shared" si="76"/>
        <v>0</v>
      </c>
      <c r="CKC42">
        <f t="shared" si="76"/>
        <v>0</v>
      </c>
      <c r="CKD42">
        <f t="shared" si="76"/>
        <v>0</v>
      </c>
      <c r="CKE42">
        <f t="shared" si="76"/>
        <v>0</v>
      </c>
      <c r="CKF42">
        <f t="shared" si="76"/>
        <v>0</v>
      </c>
      <c r="CKG42">
        <f t="shared" si="76"/>
        <v>0</v>
      </c>
      <c r="CKH42">
        <f t="shared" si="76"/>
        <v>0</v>
      </c>
      <c r="CKI42">
        <f t="shared" si="76"/>
        <v>0</v>
      </c>
      <c r="CKJ42">
        <f t="shared" si="76"/>
        <v>0</v>
      </c>
      <c r="CKK42">
        <f t="shared" si="76"/>
        <v>0</v>
      </c>
      <c r="CKL42">
        <f t="shared" si="76"/>
        <v>0</v>
      </c>
      <c r="CKM42">
        <f t="shared" si="76"/>
        <v>0</v>
      </c>
      <c r="CKN42">
        <f t="shared" si="76"/>
        <v>0</v>
      </c>
      <c r="CKO42">
        <f t="shared" si="76"/>
        <v>0</v>
      </c>
      <c r="CKP42">
        <f t="shared" si="76"/>
        <v>0</v>
      </c>
      <c r="CKQ42">
        <f t="shared" si="76"/>
        <v>0</v>
      </c>
      <c r="CKR42">
        <f t="shared" si="76"/>
        <v>0</v>
      </c>
      <c r="CKS42">
        <f t="shared" si="76"/>
        <v>0</v>
      </c>
      <c r="CKT42">
        <f t="shared" si="76"/>
        <v>0</v>
      </c>
      <c r="CKU42">
        <f t="shared" si="76"/>
        <v>0</v>
      </c>
      <c r="CKV42">
        <f t="shared" si="76"/>
        <v>0</v>
      </c>
      <c r="CKW42">
        <f t="shared" si="76"/>
        <v>0</v>
      </c>
      <c r="CKX42">
        <f t="shared" si="76"/>
        <v>0</v>
      </c>
      <c r="CKY42">
        <f t="shared" si="76"/>
        <v>0</v>
      </c>
      <c r="CKZ42">
        <f t="shared" si="76"/>
        <v>0</v>
      </c>
      <c r="CLA42">
        <f t="shared" si="76"/>
        <v>0</v>
      </c>
      <c r="CLB42">
        <f t="shared" si="76"/>
        <v>0</v>
      </c>
      <c r="CLC42">
        <f t="shared" si="76"/>
        <v>0</v>
      </c>
      <c r="CLD42">
        <f t="shared" si="76"/>
        <v>0</v>
      </c>
      <c r="CLE42">
        <f t="shared" si="76"/>
        <v>0</v>
      </c>
      <c r="CLF42">
        <f t="shared" si="76"/>
        <v>0</v>
      </c>
      <c r="CLG42">
        <f t="shared" si="76"/>
        <v>0</v>
      </c>
      <c r="CLH42">
        <f t="shared" si="76"/>
        <v>0</v>
      </c>
      <c r="CLI42">
        <f t="shared" si="76"/>
        <v>0</v>
      </c>
      <c r="CLJ42">
        <f t="shared" si="76"/>
        <v>0</v>
      </c>
      <c r="CLK42">
        <f t="shared" si="76"/>
        <v>0</v>
      </c>
      <c r="CLL42">
        <f t="shared" si="76"/>
        <v>0</v>
      </c>
      <c r="CLM42">
        <f t="shared" si="76"/>
        <v>0</v>
      </c>
      <c r="CLN42">
        <f t="shared" si="76"/>
        <v>0</v>
      </c>
      <c r="CLO42">
        <f t="shared" si="76"/>
        <v>0</v>
      </c>
      <c r="CLP42">
        <f t="shared" si="76"/>
        <v>0</v>
      </c>
      <c r="CLQ42">
        <f t="shared" si="76"/>
        <v>0</v>
      </c>
      <c r="CLR42">
        <f t="shared" si="76"/>
        <v>0</v>
      </c>
      <c r="CLS42">
        <f t="shared" si="76"/>
        <v>0</v>
      </c>
      <c r="CLT42">
        <f t="shared" si="76"/>
        <v>0</v>
      </c>
      <c r="CLU42">
        <f t="shared" si="76"/>
        <v>0</v>
      </c>
      <c r="CLV42">
        <f t="shared" si="76"/>
        <v>0</v>
      </c>
      <c r="CLW42">
        <f t="shared" si="76"/>
        <v>0</v>
      </c>
      <c r="CLX42">
        <f t="shared" si="76"/>
        <v>0</v>
      </c>
      <c r="CLY42">
        <f t="shared" si="76"/>
        <v>0</v>
      </c>
      <c r="CLZ42">
        <f t="shared" ref="CLZ42:COK43" si="77">CLZ41*1.6*1.2</f>
        <v>0</v>
      </c>
      <c r="CMA42">
        <f t="shared" si="77"/>
        <v>0</v>
      </c>
      <c r="CMB42">
        <f t="shared" si="77"/>
        <v>0</v>
      </c>
      <c r="CMC42">
        <f t="shared" si="77"/>
        <v>0</v>
      </c>
      <c r="CMD42">
        <f t="shared" si="77"/>
        <v>0</v>
      </c>
      <c r="CME42">
        <f t="shared" si="77"/>
        <v>0</v>
      </c>
      <c r="CMF42">
        <f t="shared" si="77"/>
        <v>0</v>
      </c>
      <c r="CMG42">
        <f t="shared" si="77"/>
        <v>0</v>
      </c>
      <c r="CMH42">
        <f t="shared" si="77"/>
        <v>0</v>
      </c>
      <c r="CMI42">
        <f t="shared" si="77"/>
        <v>0</v>
      </c>
      <c r="CMJ42">
        <f t="shared" si="77"/>
        <v>0</v>
      </c>
      <c r="CMK42">
        <f t="shared" si="77"/>
        <v>0</v>
      </c>
      <c r="CML42">
        <f t="shared" si="77"/>
        <v>0</v>
      </c>
      <c r="CMM42">
        <f t="shared" si="77"/>
        <v>0</v>
      </c>
      <c r="CMN42">
        <f t="shared" si="77"/>
        <v>0</v>
      </c>
      <c r="CMO42">
        <f t="shared" si="77"/>
        <v>0</v>
      </c>
      <c r="CMP42">
        <f t="shared" si="77"/>
        <v>0</v>
      </c>
      <c r="CMQ42">
        <f t="shared" si="77"/>
        <v>0</v>
      </c>
      <c r="CMR42">
        <f t="shared" si="77"/>
        <v>0</v>
      </c>
      <c r="CMS42">
        <f t="shared" si="77"/>
        <v>0</v>
      </c>
      <c r="CMT42">
        <f t="shared" si="77"/>
        <v>0</v>
      </c>
      <c r="CMU42">
        <f t="shared" si="77"/>
        <v>0</v>
      </c>
      <c r="CMV42">
        <f t="shared" si="77"/>
        <v>0</v>
      </c>
      <c r="CMW42">
        <f t="shared" si="77"/>
        <v>0</v>
      </c>
      <c r="CMX42">
        <f t="shared" si="77"/>
        <v>0</v>
      </c>
      <c r="CMY42">
        <f t="shared" si="77"/>
        <v>0</v>
      </c>
      <c r="CMZ42">
        <f t="shared" si="77"/>
        <v>0</v>
      </c>
      <c r="CNA42">
        <f t="shared" si="77"/>
        <v>0</v>
      </c>
      <c r="CNB42">
        <f t="shared" si="77"/>
        <v>0</v>
      </c>
      <c r="CNC42">
        <f t="shared" si="77"/>
        <v>0</v>
      </c>
      <c r="CND42">
        <f t="shared" si="77"/>
        <v>0</v>
      </c>
      <c r="CNE42">
        <f t="shared" si="77"/>
        <v>0</v>
      </c>
      <c r="CNF42">
        <f t="shared" si="77"/>
        <v>0</v>
      </c>
      <c r="CNG42">
        <f t="shared" si="77"/>
        <v>0</v>
      </c>
      <c r="CNH42">
        <f t="shared" si="77"/>
        <v>0</v>
      </c>
      <c r="CNI42">
        <f t="shared" si="77"/>
        <v>0</v>
      </c>
      <c r="CNJ42">
        <f t="shared" si="77"/>
        <v>0</v>
      </c>
      <c r="CNK42">
        <f t="shared" si="77"/>
        <v>0</v>
      </c>
      <c r="CNL42">
        <f t="shared" si="77"/>
        <v>0</v>
      </c>
      <c r="CNM42">
        <f t="shared" si="77"/>
        <v>0</v>
      </c>
      <c r="CNN42">
        <f t="shared" si="77"/>
        <v>0</v>
      </c>
      <c r="CNO42">
        <f t="shared" si="77"/>
        <v>0</v>
      </c>
      <c r="CNP42">
        <f t="shared" si="77"/>
        <v>0</v>
      </c>
      <c r="CNQ42">
        <f t="shared" si="77"/>
        <v>0</v>
      </c>
      <c r="CNR42">
        <f t="shared" si="77"/>
        <v>0</v>
      </c>
      <c r="CNS42">
        <f t="shared" si="77"/>
        <v>0</v>
      </c>
      <c r="CNT42">
        <f t="shared" si="77"/>
        <v>0</v>
      </c>
      <c r="CNU42">
        <f t="shared" si="77"/>
        <v>0</v>
      </c>
      <c r="CNV42">
        <f t="shared" si="77"/>
        <v>0</v>
      </c>
      <c r="CNW42">
        <f t="shared" si="77"/>
        <v>0</v>
      </c>
      <c r="CNX42">
        <f t="shared" si="77"/>
        <v>0</v>
      </c>
      <c r="CNY42">
        <f t="shared" si="77"/>
        <v>0</v>
      </c>
      <c r="CNZ42">
        <f t="shared" si="77"/>
        <v>0</v>
      </c>
      <c r="COA42">
        <f t="shared" si="77"/>
        <v>0</v>
      </c>
      <c r="COB42">
        <f t="shared" si="77"/>
        <v>0</v>
      </c>
      <c r="COC42">
        <f t="shared" si="77"/>
        <v>0</v>
      </c>
      <c r="COD42">
        <f t="shared" si="77"/>
        <v>0</v>
      </c>
      <c r="COE42">
        <f t="shared" si="77"/>
        <v>0</v>
      </c>
      <c r="COF42">
        <f t="shared" si="77"/>
        <v>0</v>
      </c>
      <c r="COG42">
        <f t="shared" si="77"/>
        <v>0</v>
      </c>
      <c r="COH42">
        <f t="shared" si="77"/>
        <v>0</v>
      </c>
      <c r="COI42">
        <f t="shared" si="77"/>
        <v>0</v>
      </c>
      <c r="COJ42">
        <f t="shared" si="77"/>
        <v>0</v>
      </c>
      <c r="COK42">
        <f t="shared" si="77"/>
        <v>0</v>
      </c>
      <c r="COL42">
        <f t="shared" ref="COL42:CQW43" si="78">COL41*1.6*1.2</f>
        <v>0</v>
      </c>
      <c r="COM42">
        <f t="shared" si="78"/>
        <v>0</v>
      </c>
      <c r="CON42">
        <f t="shared" si="78"/>
        <v>0</v>
      </c>
      <c r="COO42">
        <f t="shared" si="78"/>
        <v>0</v>
      </c>
      <c r="COP42">
        <f t="shared" si="78"/>
        <v>0</v>
      </c>
      <c r="COQ42">
        <f t="shared" si="78"/>
        <v>0</v>
      </c>
      <c r="COR42">
        <f t="shared" si="78"/>
        <v>0</v>
      </c>
      <c r="COS42">
        <f t="shared" si="78"/>
        <v>0</v>
      </c>
      <c r="COT42">
        <f t="shared" si="78"/>
        <v>0</v>
      </c>
      <c r="COU42">
        <f t="shared" si="78"/>
        <v>0</v>
      </c>
      <c r="COV42">
        <f t="shared" si="78"/>
        <v>0</v>
      </c>
      <c r="COW42">
        <f t="shared" si="78"/>
        <v>0</v>
      </c>
      <c r="COX42">
        <f t="shared" si="78"/>
        <v>0</v>
      </c>
      <c r="COY42">
        <f t="shared" si="78"/>
        <v>0</v>
      </c>
      <c r="COZ42">
        <f t="shared" si="78"/>
        <v>0</v>
      </c>
      <c r="CPA42">
        <f t="shared" si="78"/>
        <v>0</v>
      </c>
      <c r="CPB42">
        <f t="shared" si="78"/>
        <v>0</v>
      </c>
      <c r="CPC42">
        <f t="shared" si="78"/>
        <v>0</v>
      </c>
      <c r="CPD42">
        <f t="shared" si="78"/>
        <v>0</v>
      </c>
      <c r="CPE42">
        <f t="shared" si="78"/>
        <v>0</v>
      </c>
      <c r="CPF42">
        <f t="shared" si="78"/>
        <v>0</v>
      </c>
      <c r="CPG42">
        <f t="shared" si="78"/>
        <v>0</v>
      </c>
      <c r="CPH42">
        <f t="shared" si="78"/>
        <v>0</v>
      </c>
      <c r="CPI42">
        <f t="shared" si="78"/>
        <v>0</v>
      </c>
      <c r="CPJ42">
        <f t="shared" si="78"/>
        <v>0</v>
      </c>
      <c r="CPK42">
        <f t="shared" si="78"/>
        <v>0</v>
      </c>
      <c r="CPL42">
        <f t="shared" si="78"/>
        <v>0</v>
      </c>
      <c r="CPM42">
        <f t="shared" si="78"/>
        <v>0</v>
      </c>
      <c r="CPN42">
        <f t="shared" si="78"/>
        <v>0</v>
      </c>
      <c r="CPO42">
        <f t="shared" si="78"/>
        <v>0</v>
      </c>
      <c r="CPP42">
        <f t="shared" si="78"/>
        <v>0</v>
      </c>
      <c r="CPQ42">
        <f t="shared" si="78"/>
        <v>0</v>
      </c>
      <c r="CPR42">
        <f t="shared" si="78"/>
        <v>0</v>
      </c>
      <c r="CPS42">
        <f t="shared" si="78"/>
        <v>0</v>
      </c>
      <c r="CPT42">
        <f t="shared" si="78"/>
        <v>0</v>
      </c>
      <c r="CPU42">
        <f t="shared" si="78"/>
        <v>0</v>
      </c>
      <c r="CPV42">
        <f t="shared" si="78"/>
        <v>0</v>
      </c>
      <c r="CPW42">
        <f t="shared" si="78"/>
        <v>0</v>
      </c>
      <c r="CPX42">
        <f t="shared" si="78"/>
        <v>0</v>
      </c>
      <c r="CPY42">
        <f t="shared" si="78"/>
        <v>0</v>
      </c>
      <c r="CPZ42">
        <f t="shared" si="78"/>
        <v>0</v>
      </c>
      <c r="CQA42">
        <f t="shared" si="78"/>
        <v>0</v>
      </c>
      <c r="CQB42">
        <f t="shared" si="78"/>
        <v>0</v>
      </c>
      <c r="CQC42">
        <f t="shared" si="78"/>
        <v>0</v>
      </c>
      <c r="CQD42">
        <f t="shared" si="78"/>
        <v>0</v>
      </c>
      <c r="CQE42">
        <f t="shared" si="78"/>
        <v>0</v>
      </c>
      <c r="CQF42">
        <f t="shared" si="78"/>
        <v>0</v>
      </c>
      <c r="CQG42">
        <f t="shared" si="78"/>
        <v>0</v>
      </c>
      <c r="CQH42">
        <f t="shared" si="78"/>
        <v>0</v>
      </c>
      <c r="CQI42">
        <f t="shared" si="78"/>
        <v>0</v>
      </c>
      <c r="CQJ42">
        <f t="shared" si="78"/>
        <v>0</v>
      </c>
      <c r="CQK42">
        <f t="shared" si="78"/>
        <v>0</v>
      </c>
      <c r="CQL42">
        <f t="shared" si="78"/>
        <v>0</v>
      </c>
      <c r="CQM42">
        <f t="shared" si="78"/>
        <v>0</v>
      </c>
      <c r="CQN42">
        <f t="shared" si="78"/>
        <v>0</v>
      </c>
      <c r="CQO42">
        <f t="shared" si="78"/>
        <v>0</v>
      </c>
      <c r="CQP42">
        <f t="shared" si="78"/>
        <v>0</v>
      </c>
      <c r="CQQ42">
        <f t="shared" si="78"/>
        <v>0</v>
      </c>
      <c r="CQR42">
        <f t="shared" si="78"/>
        <v>0</v>
      </c>
      <c r="CQS42">
        <f t="shared" si="78"/>
        <v>0</v>
      </c>
      <c r="CQT42">
        <f t="shared" si="78"/>
        <v>0</v>
      </c>
      <c r="CQU42">
        <f t="shared" si="78"/>
        <v>0</v>
      </c>
      <c r="CQV42">
        <f t="shared" si="78"/>
        <v>0</v>
      </c>
      <c r="CQW42">
        <f t="shared" si="78"/>
        <v>0</v>
      </c>
      <c r="CQX42">
        <f t="shared" ref="CQX42:CTI43" si="79">CQX41*1.6*1.2</f>
        <v>0</v>
      </c>
      <c r="CQY42">
        <f t="shared" si="79"/>
        <v>0</v>
      </c>
      <c r="CQZ42">
        <f t="shared" si="79"/>
        <v>0</v>
      </c>
      <c r="CRA42">
        <f t="shared" si="79"/>
        <v>0</v>
      </c>
      <c r="CRB42">
        <f t="shared" si="79"/>
        <v>0</v>
      </c>
      <c r="CRC42">
        <f t="shared" si="79"/>
        <v>0</v>
      </c>
      <c r="CRD42">
        <f t="shared" si="79"/>
        <v>0</v>
      </c>
      <c r="CRE42">
        <f t="shared" si="79"/>
        <v>0</v>
      </c>
      <c r="CRF42">
        <f t="shared" si="79"/>
        <v>0</v>
      </c>
      <c r="CRG42">
        <f t="shared" si="79"/>
        <v>0</v>
      </c>
      <c r="CRH42">
        <f t="shared" si="79"/>
        <v>0</v>
      </c>
      <c r="CRI42">
        <f t="shared" si="79"/>
        <v>0</v>
      </c>
      <c r="CRJ42">
        <f t="shared" si="79"/>
        <v>0</v>
      </c>
      <c r="CRK42">
        <f t="shared" si="79"/>
        <v>0</v>
      </c>
      <c r="CRL42">
        <f t="shared" si="79"/>
        <v>0</v>
      </c>
      <c r="CRM42">
        <f t="shared" si="79"/>
        <v>0</v>
      </c>
      <c r="CRN42">
        <f t="shared" si="79"/>
        <v>0</v>
      </c>
      <c r="CRO42">
        <f t="shared" si="79"/>
        <v>0</v>
      </c>
      <c r="CRP42">
        <f t="shared" si="79"/>
        <v>0</v>
      </c>
      <c r="CRQ42">
        <f t="shared" si="79"/>
        <v>0</v>
      </c>
      <c r="CRR42">
        <f t="shared" si="79"/>
        <v>0</v>
      </c>
      <c r="CRS42">
        <f t="shared" si="79"/>
        <v>0</v>
      </c>
      <c r="CRT42">
        <f t="shared" si="79"/>
        <v>0</v>
      </c>
      <c r="CRU42">
        <f t="shared" si="79"/>
        <v>0</v>
      </c>
      <c r="CRV42">
        <f t="shared" si="79"/>
        <v>0</v>
      </c>
      <c r="CRW42">
        <f t="shared" si="79"/>
        <v>0</v>
      </c>
      <c r="CRX42">
        <f t="shared" si="79"/>
        <v>0</v>
      </c>
      <c r="CRY42">
        <f t="shared" si="79"/>
        <v>0</v>
      </c>
      <c r="CRZ42">
        <f t="shared" si="79"/>
        <v>0</v>
      </c>
      <c r="CSA42">
        <f t="shared" si="79"/>
        <v>0</v>
      </c>
      <c r="CSB42">
        <f t="shared" si="79"/>
        <v>0</v>
      </c>
      <c r="CSC42">
        <f t="shared" si="79"/>
        <v>0</v>
      </c>
      <c r="CSD42">
        <f t="shared" si="79"/>
        <v>0</v>
      </c>
      <c r="CSE42">
        <f t="shared" si="79"/>
        <v>0</v>
      </c>
      <c r="CSF42">
        <f t="shared" si="79"/>
        <v>0</v>
      </c>
      <c r="CSG42">
        <f t="shared" si="79"/>
        <v>0</v>
      </c>
      <c r="CSH42">
        <f t="shared" si="79"/>
        <v>0</v>
      </c>
      <c r="CSI42">
        <f t="shared" si="79"/>
        <v>0</v>
      </c>
      <c r="CSJ42">
        <f t="shared" si="79"/>
        <v>0</v>
      </c>
      <c r="CSK42">
        <f t="shared" si="79"/>
        <v>0</v>
      </c>
      <c r="CSL42">
        <f t="shared" si="79"/>
        <v>0</v>
      </c>
      <c r="CSM42">
        <f t="shared" si="79"/>
        <v>0</v>
      </c>
      <c r="CSN42">
        <f t="shared" si="79"/>
        <v>0</v>
      </c>
      <c r="CSO42">
        <f t="shared" si="79"/>
        <v>0</v>
      </c>
      <c r="CSP42">
        <f t="shared" si="79"/>
        <v>0</v>
      </c>
      <c r="CSQ42">
        <f t="shared" si="79"/>
        <v>0</v>
      </c>
      <c r="CSR42">
        <f t="shared" si="79"/>
        <v>0</v>
      </c>
      <c r="CSS42">
        <f t="shared" si="79"/>
        <v>0</v>
      </c>
      <c r="CST42">
        <f t="shared" si="79"/>
        <v>0</v>
      </c>
      <c r="CSU42">
        <f t="shared" si="79"/>
        <v>0</v>
      </c>
      <c r="CSV42">
        <f t="shared" si="79"/>
        <v>0</v>
      </c>
      <c r="CSW42">
        <f t="shared" si="79"/>
        <v>0</v>
      </c>
      <c r="CSX42">
        <f t="shared" si="79"/>
        <v>0</v>
      </c>
      <c r="CSY42">
        <f t="shared" si="79"/>
        <v>0</v>
      </c>
      <c r="CSZ42">
        <f t="shared" si="79"/>
        <v>0</v>
      </c>
      <c r="CTA42">
        <f t="shared" si="79"/>
        <v>0</v>
      </c>
      <c r="CTB42">
        <f t="shared" si="79"/>
        <v>0</v>
      </c>
      <c r="CTC42">
        <f t="shared" si="79"/>
        <v>0</v>
      </c>
      <c r="CTD42">
        <f t="shared" si="79"/>
        <v>0</v>
      </c>
      <c r="CTE42">
        <f t="shared" si="79"/>
        <v>0</v>
      </c>
      <c r="CTF42">
        <f t="shared" si="79"/>
        <v>0</v>
      </c>
      <c r="CTG42">
        <f t="shared" si="79"/>
        <v>0</v>
      </c>
      <c r="CTH42">
        <f t="shared" si="79"/>
        <v>0</v>
      </c>
      <c r="CTI42">
        <f t="shared" si="79"/>
        <v>0</v>
      </c>
      <c r="CTJ42">
        <f t="shared" ref="CTJ42:CVU43" si="80">CTJ41*1.6*1.2</f>
        <v>0</v>
      </c>
      <c r="CTK42">
        <f t="shared" si="80"/>
        <v>0</v>
      </c>
      <c r="CTL42">
        <f t="shared" si="80"/>
        <v>0</v>
      </c>
      <c r="CTM42">
        <f t="shared" si="80"/>
        <v>0</v>
      </c>
      <c r="CTN42">
        <f t="shared" si="80"/>
        <v>0</v>
      </c>
      <c r="CTO42">
        <f t="shared" si="80"/>
        <v>0</v>
      </c>
      <c r="CTP42">
        <f t="shared" si="80"/>
        <v>0</v>
      </c>
      <c r="CTQ42">
        <f t="shared" si="80"/>
        <v>0</v>
      </c>
      <c r="CTR42">
        <f t="shared" si="80"/>
        <v>0</v>
      </c>
      <c r="CTS42">
        <f t="shared" si="80"/>
        <v>0</v>
      </c>
      <c r="CTT42">
        <f t="shared" si="80"/>
        <v>0</v>
      </c>
      <c r="CTU42">
        <f t="shared" si="80"/>
        <v>0</v>
      </c>
      <c r="CTV42">
        <f t="shared" si="80"/>
        <v>0</v>
      </c>
      <c r="CTW42">
        <f t="shared" si="80"/>
        <v>0</v>
      </c>
      <c r="CTX42">
        <f t="shared" si="80"/>
        <v>0</v>
      </c>
      <c r="CTY42">
        <f t="shared" si="80"/>
        <v>0</v>
      </c>
      <c r="CTZ42">
        <f t="shared" si="80"/>
        <v>0</v>
      </c>
      <c r="CUA42">
        <f t="shared" si="80"/>
        <v>0</v>
      </c>
      <c r="CUB42">
        <f t="shared" si="80"/>
        <v>0</v>
      </c>
      <c r="CUC42">
        <f t="shared" si="80"/>
        <v>0</v>
      </c>
      <c r="CUD42">
        <f t="shared" si="80"/>
        <v>0</v>
      </c>
      <c r="CUE42">
        <f t="shared" si="80"/>
        <v>0</v>
      </c>
      <c r="CUF42">
        <f t="shared" si="80"/>
        <v>0</v>
      </c>
      <c r="CUG42">
        <f t="shared" si="80"/>
        <v>0</v>
      </c>
      <c r="CUH42">
        <f t="shared" si="80"/>
        <v>0</v>
      </c>
      <c r="CUI42">
        <f t="shared" si="80"/>
        <v>0</v>
      </c>
      <c r="CUJ42">
        <f t="shared" si="80"/>
        <v>0</v>
      </c>
      <c r="CUK42">
        <f t="shared" si="80"/>
        <v>0</v>
      </c>
      <c r="CUL42">
        <f t="shared" si="80"/>
        <v>0</v>
      </c>
      <c r="CUM42">
        <f t="shared" si="80"/>
        <v>0</v>
      </c>
      <c r="CUN42">
        <f t="shared" si="80"/>
        <v>0</v>
      </c>
      <c r="CUO42">
        <f t="shared" si="80"/>
        <v>0</v>
      </c>
      <c r="CUP42">
        <f t="shared" si="80"/>
        <v>0</v>
      </c>
      <c r="CUQ42">
        <f t="shared" si="80"/>
        <v>0</v>
      </c>
      <c r="CUR42">
        <f t="shared" si="80"/>
        <v>0</v>
      </c>
      <c r="CUS42">
        <f t="shared" si="80"/>
        <v>0</v>
      </c>
      <c r="CUT42">
        <f t="shared" si="80"/>
        <v>0</v>
      </c>
      <c r="CUU42">
        <f t="shared" si="80"/>
        <v>0</v>
      </c>
      <c r="CUV42">
        <f t="shared" si="80"/>
        <v>0</v>
      </c>
      <c r="CUW42">
        <f t="shared" si="80"/>
        <v>0</v>
      </c>
      <c r="CUX42">
        <f t="shared" si="80"/>
        <v>0</v>
      </c>
      <c r="CUY42">
        <f t="shared" si="80"/>
        <v>0</v>
      </c>
      <c r="CUZ42">
        <f t="shared" si="80"/>
        <v>0</v>
      </c>
      <c r="CVA42">
        <f t="shared" si="80"/>
        <v>0</v>
      </c>
      <c r="CVB42">
        <f t="shared" si="80"/>
        <v>0</v>
      </c>
      <c r="CVC42">
        <f t="shared" si="80"/>
        <v>0</v>
      </c>
      <c r="CVD42">
        <f t="shared" si="80"/>
        <v>0</v>
      </c>
      <c r="CVE42">
        <f t="shared" si="80"/>
        <v>0</v>
      </c>
      <c r="CVF42">
        <f t="shared" si="80"/>
        <v>0</v>
      </c>
      <c r="CVG42">
        <f t="shared" si="80"/>
        <v>0</v>
      </c>
      <c r="CVH42">
        <f t="shared" si="80"/>
        <v>0</v>
      </c>
      <c r="CVI42">
        <f t="shared" si="80"/>
        <v>0</v>
      </c>
      <c r="CVJ42">
        <f t="shared" si="80"/>
        <v>0</v>
      </c>
      <c r="CVK42">
        <f t="shared" si="80"/>
        <v>0</v>
      </c>
      <c r="CVL42">
        <f t="shared" si="80"/>
        <v>0</v>
      </c>
      <c r="CVM42">
        <f t="shared" si="80"/>
        <v>0</v>
      </c>
      <c r="CVN42">
        <f t="shared" si="80"/>
        <v>0</v>
      </c>
      <c r="CVO42">
        <f t="shared" si="80"/>
        <v>0</v>
      </c>
      <c r="CVP42">
        <f t="shared" si="80"/>
        <v>0</v>
      </c>
      <c r="CVQ42">
        <f t="shared" si="80"/>
        <v>0</v>
      </c>
      <c r="CVR42">
        <f t="shared" si="80"/>
        <v>0</v>
      </c>
      <c r="CVS42">
        <f t="shared" si="80"/>
        <v>0</v>
      </c>
      <c r="CVT42">
        <f t="shared" si="80"/>
        <v>0</v>
      </c>
      <c r="CVU42">
        <f t="shared" si="80"/>
        <v>0</v>
      </c>
      <c r="CVV42">
        <f t="shared" ref="CVV42:CYG43" si="81">CVV41*1.6*1.2</f>
        <v>0</v>
      </c>
      <c r="CVW42">
        <f t="shared" si="81"/>
        <v>0</v>
      </c>
      <c r="CVX42">
        <f t="shared" si="81"/>
        <v>0</v>
      </c>
      <c r="CVY42">
        <f t="shared" si="81"/>
        <v>0</v>
      </c>
      <c r="CVZ42">
        <f t="shared" si="81"/>
        <v>0</v>
      </c>
      <c r="CWA42">
        <f t="shared" si="81"/>
        <v>0</v>
      </c>
      <c r="CWB42">
        <f t="shared" si="81"/>
        <v>0</v>
      </c>
      <c r="CWC42">
        <f t="shared" si="81"/>
        <v>0</v>
      </c>
      <c r="CWD42">
        <f t="shared" si="81"/>
        <v>0</v>
      </c>
      <c r="CWE42">
        <f t="shared" si="81"/>
        <v>0</v>
      </c>
      <c r="CWF42">
        <f t="shared" si="81"/>
        <v>0</v>
      </c>
      <c r="CWG42">
        <f t="shared" si="81"/>
        <v>0</v>
      </c>
      <c r="CWH42">
        <f t="shared" si="81"/>
        <v>0</v>
      </c>
      <c r="CWI42">
        <f t="shared" si="81"/>
        <v>0</v>
      </c>
      <c r="CWJ42">
        <f t="shared" si="81"/>
        <v>0</v>
      </c>
      <c r="CWK42">
        <f t="shared" si="81"/>
        <v>0</v>
      </c>
      <c r="CWL42">
        <f t="shared" si="81"/>
        <v>0</v>
      </c>
      <c r="CWM42">
        <f t="shared" si="81"/>
        <v>0</v>
      </c>
      <c r="CWN42">
        <f t="shared" si="81"/>
        <v>0</v>
      </c>
      <c r="CWO42">
        <f t="shared" si="81"/>
        <v>0</v>
      </c>
      <c r="CWP42">
        <f t="shared" si="81"/>
        <v>0</v>
      </c>
      <c r="CWQ42">
        <f t="shared" si="81"/>
        <v>0</v>
      </c>
      <c r="CWR42">
        <f t="shared" si="81"/>
        <v>0</v>
      </c>
      <c r="CWS42">
        <f t="shared" si="81"/>
        <v>0</v>
      </c>
      <c r="CWT42">
        <f t="shared" si="81"/>
        <v>0</v>
      </c>
      <c r="CWU42">
        <f t="shared" si="81"/>
        <v>0</v>
      </c>
      <c r="CWV42">
        <f t="shared" si="81"/>
        <v>0</v>
      </c>
      <c r="CWW42">
        <f t="shared" si="81"/>
        <v>0</v>
      </c>
      <c r="CWX42">
        <f t="shared" si="81"/>
        <v>0</v>
      </c>
      <c r="CWY42">
        <f t="shared" si="81"/>
        <v>0</v>
      </c>
      <c r="CWZ42">
        <f t="shared" si="81"/>
        <v>0</v>
      </c>
      <c r="CXA42">
        <f t="shared" si="81"/>
        <v>0</v>
      </c>
      <c r="CXB42">
        <f t="shared" si="81"/>
        <v>0</v>
      </c>
      <c r="CXC42">
        <f t="shared" si="81"/>
        <v>0</v>
      </c>
      <c r="CXD42">
        <f t="shared" si="81"/>
        <v>0</v>
      </c>
      <c r="CXE42">
        <f t="shared" si="81"/>
        <v>0</v>
      </c>
      <c r="CXF42">
        <f t="shared" si="81"/>
        <v>0</v>
      </c>
      <c r="CXG42">
        <f t="shared" si="81"/>
        <v>0</v>
      </c>
      <c r="CXH42">
        <f t="shared" si="81"/>
        <v>0</v>
      </c>
      <c r="CXI42">
        <f t="shared" si="81"/>
        <v>0</v>
      </c>
      <c r="CXJ42">
        <f t="shared" si="81"/>
        <v>0</v>
      </c>
      <c r="CXK42">
        <f t="shared" si="81"/>
        <v>0</v>
      </c>
      <c r="CXL42">
        <f t="shared" si="81"/>
        <v>0</v>
      </c>
      <c r="CXM42">
        <f t="shared" si="81"/>
        <v>0</v>
      </c>
      <c r="CXN42">
        <f t="shared" si="81"/>
        <v>0</v>
      </c>
      <c r="CXO42">
        <f t="shared" si="81"/>
        <v>0</v>
      </c>
      <c r="CXP42">
        <f t="shared" si="81"/>
        <v>0</v>
      </c>
      <c r="CXQ42">
        <f t="shared" si="81"/>
        <v>0</v>
      </c>
      <c r="CXR42">
        <f t="shared" si="81"/>
        <v>0</v>
      </c>
      <c r="CXS42">
        <f t="shared" si="81"/>
        <v>0</v>
      </c>
      <c r="CXT42">
        <f t="shared" si="81"/>
        <v>0</v>
      </c>
      <c r="CXU42">
        <f t="shared" si="81"/>
        <v>0</v>
      </c>
      <c r="CXV42">
        <f t="shared" si="81"/>
        <v>0</v>
      </c>
      <c r="CXW42">
        <f t="shared" si="81"/>
        <v>0</v>
      </c>
      <c r="CXX42">
        <f t="shared" si="81"/>
        <v>0</v>
      </c>
      <c r="CXY42">
        <f t="shared" si="81"/>
        <v>0</v>
      </c>
      <c r="CXZ42">
        <f t="shared" si="81"/>
        <v>0</v>
      </c>
      <c r="CYA42">
        <f t="shared" si="81"/>
        <v>0</v>
      </c>
      <c r="CYB42">
        <f t="shared" si="81"/>
        <v>0</v>
      </c>
      <c r="CYC42">
        <f t="shared" si="81"/>
        <v>0</v>
      </c>
      <c r="CYD42">
        <f t="shared" si="81"/>
        <v>0</v>
      </c>
      <c r="CYE42">
        <f t="shared" si="81"/>
        <v>0</v>
      </c>
      <c r="CYF42">
        <f t="shared" si="81"/>
        <v>0</v>
      </c>
      <c r="CYG42">
        <f t="shared" si="81"/>
        <v>0</v>
      </c>
      <c r="CYH42">
        <f t="shared" ref="CYH42:DAS43" si="82">CYH41*1.6*1.2</f>
        <v>0</v>
      </c>
      <c r="CYI42">
        <f t="shared" si="82"/>
        <v>0</v>
      </c>
      <c r="CYJ42">
        <f t="shared" si="82"/>
        <v>0</v>
      </c>
      <c r="CYK42">
        <f t="shared" si="82"/>
        <v>0</v>
      </c>
      <c r="CYL42">
        <f t="shared" si="82"/>
        <v>0</v>
      </c>
      <c r="CYM42">
        <f t="shared" si="82"/>
        <v>0</v>
      </c>
      <c r="CYN42">
        <f t="shared" si="82"/>
        <v>0</v>
      </c>
      <c r="CYO42">
        <f t="shared" si="82"/>
        <v>0</v>
      </c>
      <c r="CYP42">
        <f t="shared" si="82"/>
        <v>0</v>
      </c>
      <c r="CYQ42">
        <f t="shared" si="82"/>
        <v>0</v>
      </c>
      <c r="CYR42">
        <f t="shared" si="82"/>
        <v>0</v>
      </c>
      <c r="CYS42">
        <f t="shared" si="82"/>
        <v>0</v>
      </c>
      <c r="CYT42">
        <f t="shared" si="82"/>
        <v>0</v>
      </c>
      <c r="CYU42">
        <f t="shared" si="82"/>
        <v>0</v>
      </c>
      <c r="CYV42">
        <f t="shared" si="82"/>
        <v>0</v>
      </c>
      <c r="CYW42">
        <f t="shared" si="82"/>
        <v>0</v>
      </c>
      <c r="CYX42">
        <f t="shared" si="82"/>
        <v>0</v>
      </c>
      <c r="CYY42">
        <f t="shared" si="82"/>
        <v>0</v>
      </c>
      <c r="CYZ42">
        <f t="shared" si="82"/>
        <v>0</v>
      </c>
      <c r="CZA42">
        <f t="shared" si="82"/>
        <v>0</v>
      </c>
      <c r="CZB42">
        <f t="shared" si="82"/>
        <v>0</v>
      </c>
      <c r="CZC42">
        <f t="shared" si="82"/>
        <v>0</v>
      </c>
      <c r="CZD42">
        <f t="shared" si="82"/>
        <v>0</v>
      </c>
      <c r="CZE42">
        <f t="shared" si="82"/>
        <v>0</v>
      </c>
      <c r="CZF42">
        <f t="shared" si="82"/>
        <v>0</v>
      </c>
      <c r="CZG42">
        <f t="shared" si="82"/>
        <v>0</v>
      </c>
      <c r="CZH42">
        <f t="shared" si="82"/>
        <v>0</v>
      </c>
      <c r="CZI42">
        <f t="shared" si="82"/>
        <v>0</v>
      </c>
      <c r="CZJ42">
        <f t="shared" si="82"/>
        <v>0</v>
      </c>
      <c r="CZK42">
        <f t="shared" si="82"/>
        <v>0</v>
      </c>
      <c r="CZL42">
        <f t="shared" si="82"/>
        <v>0</v>
      </c>
      <c r="CZM42">
        <f t="shared" si="82"/>
        <v>0</v>
      </c>
      <c r="CZN42">
        <f t="shared" si="82"/>
        <v>0</v>
      </c>
      <c r="CZO42">
        <f t="shared" si="82"/>
        <v>0</v>
      </c>
      <c r="CZP42">
        <f t="shared" si="82"/>
        <v>0</v>
      </c>
      <c r="CZQ42">
        <f t="shared" si="82"/>
        <v>0</v>
      </c>
      <c r="CZR42">
        <f t="shared" si="82"/>
        <v>0</v>
      </c>
      <c r="CZS42">
        <f t="shared" si="82"/>
        <v>0</v>
      </c>
      <c r="CZT42">
        <f t="shared" si="82"/>
        <v>0</v>
      </c>
      <c r="CZU42">
        <f t="shared" si="82"/>
        <v>0</v>
      </c>
      <c r="CZV42">
        <f t="shared" si="82"/>
        <v>0</v>
      </c>
      <c r="CZW42">
        <f t="shared" si="82"/>
        <v>0</v>
      </c>
      <c r="CZX42">
        <f t="shared" si="82"/>
        <v>0</v>
      </c>
      <c r="CZY42">
        <f t="shared" si="82"/>
        <v>0</v>
      </c>
      <c r="CZZ42">
        <f t="shared" si="82"/>
        <v>0</v>
      </c>
      <c r="DAA42">
        <f t="shared" si="82"/>
        <v>0</v>
      </c>
      <c r="DAB42">
        <f t="shared" si="82"/>
        <v>0</v>
      </c>
      <c r="DAC42">
        <f t="shared" si="82"/>
        <v>0</v>
      </c>
      <c r="DAD42">
        <f t="shared" si="82"/>
        <v>0</v>
      </c>
      <c r="DAE42">
        <f t="shared" si="82"/>
        <v>0</v>
      </c>
      <c r="DAF42">
        <f t="shared" si="82"/>
        <v>0</v>
      </c>
      <c r="DAG42">
        <f t="shared" si="82"/>
        <v>0</v>
      </c>
      <c r="DAH42">
        <f t="shared" si="82"/>
        <v>0</v>
      </c>
      <c r="DAI42">
        <f t="shared" si="82"/>
        <v>0</v>
      </c>
      <c r="DAJ42">
        <f t="shared" si="82"/>
        <v>0</v>
      </c>
      <c r="DAK42">
        <f t="shared" si="82"/>
        <v>0</v>
      </c>
      <c r="DAL42">
        <f t="shared" si="82"/>
        <v>0</v>
      </c>
      <c r="DAM42">
        <f t="shared" si="82"/>
        <v>0</v>
      </c>
      <c r="DAN42">
        <f t="shared" si="82"/>
        <v>0</v>
      </c>
      <c r="DAO42">
        <f t="shared" si="82"/>
        <v>0</v>
      </c>
      <c r="DAP42">
        <f t="shared" si="82"/>
        <v>0</v>
      </c>
      <c r="DAQ42">
        <f t="shared" si="82"/>
        <v>0</v>
      </c>
      <c r="DAR42">
        <f t="shared" si="82"/>
        <v>0</v>
      </c>
      <c r="DAS42">
        <f t="shared" si="82"/>
        <v>0</v>
      </c>
      <c r="DAT42">
        <f t="shared" ref="DAT42:DDE43" si="83">DAT41*1.6*1.2</f>
        <v>0</v>
      </c>
      <c r="DAU42">
        <f t="shared" si="83"/>
        <v>0</v>
      </c>
      <c r="DAV42">
        <f t="shared" si="83"/>
        <v>0</v>
      </c>
      <c r="DAW42">
        <f t="shared" si="83"/>
        <v>0</v>
      </c>
      <c r="DAX42">
        <f t="shared" si="83"/>
        <v>0</v>
      </c>
      <c r="DAY42">
        <f t="shared" si="83"/>
        <v>0</v>
      </c>
      <c r="DAZ42">
        <f t="shared" si="83"/>
        <v>0</v>
      </c>
      <c r="DBA42">
        <f t="shared" si="83"/>
        <v>0</v>
      </c>
      <c r="DBB42">
        <f t="shared" si="83"/>
        <v>0</v>
      </c>
      <c r="DBC42">
        <f t="shared" si="83"/>
        <v>0</v>
      </c>
      <c r="DBD42">
        <f t="shared" si="83"/>
        <v>0</v>
      </c>
      <c r="DBE42">
        <f t="shared" si="83"/>
        <v>0</v>
      </c>
      <c r="DBF42">
        <f t="shared" si="83"/>
        <v>0</v>
      </c>
      <c r="DBG42">
        <f t="shared" si="83"/>
        <v>0</v>
      </c>
      <c r="DBH42">
        <f t="shared" si="83"/>
        <v>0</v>
      </c>
      <c r="DBI42">
        <f t="shared" si="83"/>
        <v>0</v>
      </c>
      <c r="DBJ42">
        <f t="shared" si="83"/>
        <v>0</v>
      </c>
      <c r="DBK42">
        <f t="shared" si="83"/>
        <v>0</v>
      </c>
      <c r="DBL42">
        <f t="shared" si="83"/>
        <v>0</v>
      </c>
      <c r="DBM42">
        <f t="shared" si="83"/>
        <v>0</v>
      </c>
      <c r="DBN42">
        <f t="shared" si="83"/>
        <v>0</v>
      </c>
      <c r="DBO42">
        <f t="shared" si="83"/>
        <v>0</v>
      </c>
      <c r="DBP42">
        <f t="shared" si="83"/>
        <v>0</v>
      </c>
      <c r="DBQ42">
        <f t="shared" si="83"/>
        <v>0</v>
      </c>
      <c r="DBR42">
        <f t="shared" si="83"/>
        <v>0</v>
      </c>
      <c r="DBS42">
        <f t="shared" si="83"/>
        <v>0</v>
      </c>
      <c r="DBT42">
        <f t="shared" si="83"/>
        <v>0</v>
      </c>
      <c r="DBU42">
        <f t="shared" si="83"/>
        <v>0</v>
      </c>
      <c r="DBV42">
        <f t="shared" si="83"/>
        <v>0</v>
      </c>
      <c r="DBW42">
        <f t="shared" si="83"/>
        <v>0</v>
      </c>
      <c r="DBX42">
        <f t="shared" si="83"/>
        <v>0</v>
      </c>
      <c r="DBY42">
        <f t="shared" si="83"/>
        <v>0</v>
      </c>
      <c r="DBZ42">
        <f t="shared" si="83"/>
        <v>0</v>
      </c>
      <c r="DCA42">
        <f t="shared" si="83"/>
        <v>0</v>
      </c>
      <c r="DCB42">
        <f t="shared" si="83"/>
        <v>0</v>
      </c>
      <c r="DCC42">
        <f t="shared" si="83"/>
        <v>0</v>
      </c>
      <c r="DCD42">
        <f t="shared" si="83"/>
        <v>0</v>
      </c>
      <c r="DCE42">
        <f t="shared" si="83"/>
        <v>0</v>
      </c>
      <c r="DCF42">
        <f t="shared" si="83"/>
        <v>0</v>
      </c>
      <c r="DCG42">
        <f t="shared" si="83"/>
        <v>0</v>
      </c>
      <c r="DCH42">
        <f t="shared" si="83"/>
        <v>0</v>
      </c>
      <c r="DCI42">
        <f t="shared" si="83"/>
        <v>0</v>
      </c>
      <c r="DCJ42">
        <f t="shared" si="83"/>
        <v>0</v>
      </c>
      <c r="DCK42">
        <f t="shared" si="83"/>
        <v>0</v>
      </c>
      <c r="DCL42">
        <f t="shared" si="83"/>
        <v>0</v>
      </c>
      <c r="DCM42">
        <f t="shared" si="83"/>
        <v>0</v>
      </c>
      <c r="DCN42">
        <f t="shared" si="83"/>
        <v>0</v>
      </c>
      <c r="DCO42">
        <f t="shared" si="83"/>
        <v>0</v>
      </c>
      <c r="DCP42">
        <f t="shared" si="83"/>
        <v>0</v>
      </c>
      <c r="DCQ42">
        <f t="shared" si="83"/>
        <v>0</v>
      </c>
      <c r="DCR42">
        <f t="shared" si="83"/>
        <v>0</v>
      </c>
      <c r="DCS42">
        <f t="shared" si="83"/>
        <v>0</v>
      </c>
      <c r="DCT42">
        <f t="shared" si="83"/>
        <v>0</v>
      </c>
      <c r="DCU42">
        <f t="shared" si="83"/>
        <v>0</v>
      </c>
      <c r="DCV42">
        <f t="shared" si="83"/>
        <v>0</v>
      </c>
      <c r="DCW42">
        <f t="shared" si="83"/>
        <v>0</v>
      </c>
      <c r="DCX42">
        <f t="shared" si="83"/>
        <v>0</v>
      </c>
      <c r="DCY42">
        <f t="shared" si="83"/>
        <v>0</v>
      </c>
      <c r="DCZ42">
        <f t="shared" si="83"/>
        <v>0</v>
      </c>
      <c r="DDA42">
        <f t="shared" si="83"/>
        <v>0</v>
      </c>
      <c r="DDB42">
        <f t="shared" si="83"/>
        <v>0</v>
      </c>
      <c r="DDC42">
        <f t="shared" si="83"/>
        <v>0</v>
      </c>
      <c r="DDD42">
        <f t="shared" si="83"/>
        <v>0</v>
      </c>
      <c r="DDE42">
        <f t="shared" si="83"/>
        <v>0</v>
      </c>
      <c r="DDF42">
        <f t="shared" ref="DDF42:DFQ43" si="84">DDF41*1.6*1.2</f>
        <v>0</v>
      </c>
      <c r="DDG42">
        <f t="shared" si="84"/>
        <v>0</v>
      </c>
      <c r="DDH42">
        <f t="shared" si="84"/>
        <v>0</v>
      </c>
      <c r="DDI42">
        <f t="shared" si="84"/>
        <v>0</v>
      </c>
      <c r="DDJ42">
        <f t="shared" si="84"/>
        <v>0</v>
      </c>
      <c r="DDK42">
        <f t="shared" si="84"/>
        <v>0</v>
      </c>
      <c r="DDL42">
        <f t="shared" si="84"/>
        <v>0</v>
      </c>
      <c r="DDM42">
        <f t="shared" si="84"/>
        <v>0</v>
      </c>
      <c r="DDN42">
        <f t="shared" si="84"/>
        <v>0</v>
      </c>
      <c r="DDO42">
        <f t="shared" si="84"/>
        <v>0</v>
      </c>
      <c r="DDP42">
        <f t="shared" si="84"/>
        <v>0</v>
      </c>
      <c r="DDQ42">
        <f t="shared" si="84"/>
        <v>0</v>
      </c>
      <c r="DDR42">
        <f t="shared" si="84"/>
        <v>0</v>
      </c>
      <c r="DDS42">
        <f t="shared" si="84"/>
        <v>0</v>
      </c>
      <c r="DDT42">
        <f t="shared" si="84"/>
        <v>0</v>
      </c>
      <c r="DDU42">
        <f t="shared" si="84"/>
        <v>0</v>
      </c>
      <c r="DDV42">
        <f t="shared" si="84"/>
        <v>0</v>
      </c>
      <c r="DDW42">
        <f t="shared" si="84"/>
        <v>0</v>
      </c>
      <c r="DDX42">
        <f t="shared" si="84"/>
        <v>0</v>
      </c>
      <c r="DDY42">
        <f t="shared" si="84"/>
        <v>0</v>
      </c>
      <c r="DDZ42">
        <f t="shared" si="84"/>
        <v>0</v>
      </c>
      <c r="DEA42">
        <f t="shared" si="84"/>
        <v>0</v>
      </c>
      <c r="DEB42">
        <f t="shared" si="84"/>
        <v>0</v>
      </c>
      <c r="DEC42">
        <f t="shared" si="84"/>
        <v>0</v>
      </c>
      <c r="DED42">
        <f t="shared" si="84"/>
        <v>0</v>
      </c>
      <c r="DEE42">
        <f t="shared" si="84"/>
        <v>0</v>
      </c>
      <c r="DEF42">
        <f t="shared" si="84"/>
        <v>0</v>
      </c>
      <c r="DEG42">
        <f t="shared" si="84"/>
        <v>0</v>
      </c>
      <c r="DEH42">
        <f t="shared" si="84"/>
        <v>0</v>
      </c>
      <c r="DEI42">
        <f t="shared" si="84"/>
        <v>0</v>
      </c>
      <c r="DEJ42">
        <f t="shared" si="84"/>
        <v>0</v>
      </c>
      <c r="DEK42">
        <f t="shared" si="84"/>
        <v>0</v>
      </c>
      <c r="DEL42">
        <f t="shared" si="84"/>
        <v>0</v>
      </c>
      <c r="DEM42">
        <f t="shared" si="84"/>
        <v>0</v>
      </c>
      <c r="DEN42">
        <f t="shared" si="84"/>
        <v>0</v>
      </c>
      <c r="DEO42">
        <f t="shared" si="84"/>
        <v>0</v>
      </c>
      <c r="DEP42">
        <f t="shared" si="84"/>
        <v>0</v>
      </c>
      <c r="DEQ42">
        <f t="shared" si="84"/>
        <v>0</v>
      </c>
      <c r="DER42">
        <f t="shared" si="84"/>
        <v>0</v>
      </c>
      <c r="DES42">
        <f t="shared" si="84"/>
        <v>0</v>
      </c>
      <c r="DET42">
        <f t="shared" si="84"/>
        <v>0</v>
      </c>
      <c r="DEU42">
        <f t="shared" si="84"/>
        <v>0</v>
      </c>
      <c r="DEV42">
        <f t="shared" si="84"/>
        <v>0</v>
      </c>
      <c r="DEW42">
        <f t="shared" si="84"/>
        <v>0</v>
      </c>
      <c r="DEX42">
        <f t="shared" si="84"/>
        <v>0</v>
      </c>
      <c r="DEY42">
        <f t="shared" si="84"/>
        <v>0</v>
      </c>
      <c r="DEZ42">
        <f t="shared" si="84"/>
        <v>0</v>
      </c>
      <c r="DFA42">
        <f t="shared" si="84"/>
        <v>0</v>
      </c>
      <c r="DFB42">
        <f t="shared" si="84"/>
        <v>0</v>
      </c>
      <c r="DFC42">
        <f t="shared" si="84"/>
        <v>0</v>
      </c>
      <c r="DFD42">
        <f t="shared" si="84"/>
        <v>0</v>
      </c>
      <c r="DFE42">
        <f t="shared" si="84"/>
        <v>0</v>
      </c>
      <c r="DFF42">
        <f t="shared" si="84"/>
        <v>0</v>
      </c>
      <c r="DFG42">
        <f t="shared" si="84"/>
        <v>0</v>
      </c>
      <c r="DFH42">
        <f t="shared" si="84"/>
        <v>0</v>
      </c>
      <c r="DFI42">
        <f t="shared" si="84"/>
        <v>0</v>
      </c>
      <c r="DFJ42">
        <f t="shared" si="84"/>
        <v>0</v>
      </c>
      <c r="DFK42">
        <f t="shared" si="84"/>
        <v>0</v>
      </c>
      <c r="DFL42">
        <f t="shared" si="84"/>
        <v>0</v>
      </c>
      <c r="DFM42">
        <f t="shared" si="84"/>
        <v>0</v>
      </c>
      <c r="DFN42">
        <f t="shared" si="84"/>
        <v>0</v>
      </c>
      <c r="DFO42">
        <f t="shared" si="84"/>
        <v>0</v>
      </c>
      <c r="DFP42">
        <f t="shared" si="84"/>
        <v>0</v>
      </c>
      <c r="DFQ42">
        <f t="shared" si="84"/>
        <v>0</v>
      </c>
      <c r="DFR42">
        <f t="shared" ref="DFR42:DIC43" si="85">DFR41*1.6*1.2</f>
        <v>0</v>
      </c>
      <c r="DFS42">
        <f t="shared" si="85"/>
        <v>0</v>
      </c>
      <c r="DFT42">
        <f t="shared" si="85"/>
        <v>0</v>
      </c>
      <c r="DFU42">
        <f t="shared" si="85"/>
        <v>0</v>
      </c>
      <c r="DFV42">
        <f t="shared" si="85"/>
        <v>0</v>
      </c>
      <c r="DFW42">
        <f t="shared" si="85"/>
        <v>0</v>
      </c>
      <c r="DFX42">
        <f t="shared" si="85"/>
        <v>0</v>
      </c>
      <c r="DFY42">
        <f t="shared" si="85"/>
        <v>0</v>
      </c>
      <c r="DFZ42">
        <f t="shared" si="85"/>
        <v>0</v>
      </c>
      <c r="DGA42">
        <f t="shared" si="85"/>
        <v>0</v>
      </c>
      <c r="DGB42">
        <f t="shared" si="85"/>
        <v>0</v>
      </c>
      <c r="DGC42">
        <f t="shared" si="85"/>
        <v>0</v>
      </c>
      <c r="DGD42">
        <f t="shared" si="85"/>
        <v>0</v>
      </c>
      <c r="DGE42">
        <f t="shared" si="85"/>
        <v>0</v>
      </c>
      <c r="DGF42">
        <f t="shared" si="85"/>
        <v>0</v>
      </c>
      <c r="DGG42">
        <f t="shared" si="85"/>
        <v>0</v>
      </c>
      <c r="DGH42">
        <f t="shared" si="85"/>
        <v>0</v>
      </c>
      <c r="DGI42">
        <f t="shared" si="85"/>
        <v>0</v>
      </c>
      <c r="DGJ42">
        <f t="shared" si="85"/>
        <v>0</v>
      </c>
      <c r="DGK42">
        <f t="shared" si="85"/>
        <v>0</v>
      </c>
      <c r="DGL42">
        <f t="shared" si="85"/>
        <v>0</v>
      </c>
      <c r="DGM42">
        <f t="shared" si="85"/>
        <v>0</v>
      </c>
      <c r="DGN42">
        <f t="shared" si="85"/>
        <v>0</v>
      </c>
      <c r="DGO42">
        <f t="shared" si="85"/>
        <v>0</v>
      </c>
      <c r="DGP42">
        <f t="shared" si="85"/>
        <v>0</v>
      </c>
      <c r="DGQ42">
        <f t="shared" si="85"/>
        <v>0</v>
      </c>
      <c r="DGR42">
        <f t="shared" si="85"/>
        <v>0</v>
      </c>
      <c r="DGS42">
        <f t="shared" si="85"/>
        <v>0</v>
      </c>
      <c r="DGT42">
        <f t="shared" si="85"/>
        <v>0</v>
      </c>
      <c r="DGU42">
        <f t="shared" si="85"/>
        <v>0</v>
      </c>
      <c r="DGV42">
        <f t="shared" si="85"/>
        <v>0</v>
      </c>
      <c r="DGW42">
        <f t="shared" si="85"/>
        <v>0</v>
      </c>
      <c r="DGX42">
        <f t="shared" si="85"/>
        <v>0</v>
      </c>
      <c r="DGY42">
        <f t="shared" si="85"/>
        <v>0</v>
      </c>
      <c r="DGZ42">
        <f t="shared" si="85"/>
        <v>0</v>
      </c>
      <c r="DHA42">
        <f t="shared" si="85"/>
        <v>0</v>
      </c>
      <c r="DHB42">
        <f t="shared" si="85"/>
        <v>0</v>
      </c>
      <c r="DHC42">
        <f t="shared" si="85"/>
        <v>0</v>
      </c>
      <c r="DHD42">
        <f t="shared" si="85"/>
        <v>0</v>
      </c>
      <c r="DHE42">
        <f t="shared" si="85"/>
        <v>0</v>
      </c>
      <c r="DHF42">
        <f t="shared" si="85"/>
        <v>0</v>
      </c>
      <c r="DHG42">
        <f t="shared" si="85"/>
        <v>0</v>
      </c>
      <c r="DHH42">
        <f t="shared" si="85"/>
        <v>0</v>
      </c>
      <c r="DHI42">
        <f t="shared" si="85"/>
        <v>0</v>
      </c>
      <c r="DHJ42">
        <f t="shared" si="85"/>
        <v>0</v>
      </c>
      <c r="DHK42">
        <f t="shared" si="85"/>
        <v>0</v>
      </c>
      <c r="DHL42">
        <f t="shared" si="85"/>
        <v>0</v>
      </c>
      <c r="DHM42">
        <f t="shared" si="85"/>
        <v>0</v>
      </c>
      <c r="DHN42">
        <f t="shared" si="85"/>
        <v>0</v>
      </c>
      <c r="DHO42">
        <f t="shared" si="85"/>
        <v>0</v>
      </c>
      <c r="DHP42">
        <f t="shared" si="85"/>
        <v>0</v>
      </c>
      <c r="DHQ42">
        <f t="shared" si="85"/>
        <v>0</v>
      </c>
      <c r="DHR42">
        <f t="shared" si="85"/>
        <v>0</v>
      </c>
      <c r="DHS42">
        <f t="shared" si="85"/>
        <v>0</v>
      </c>
      <c r="DHT42">
        <f t="shared" si="85"/>
        <v>0</v>
      </c>
      <c r="DHU42">
        <f t="shared" si="85"/>
        <v>0</v>
      </c>
      <c r="DHV42">
        <f t="shared" si="85"/>
        <v>0</v>
      </c>
      <c r="DHW42">
        <f t="shared" si="85"/>
        <v>0</v>
      </c>
      <c r="DHX42">
        <f t="shared" si="85"/>
        <v>0</v>
      </c>
      <c r="DHY42">
        <f t="shared" si="85"/>
        <v>0</v>
      </c>
      <c r="DHZ42">
        <f t="shared" si="85"/>
        <v>0</v>
      </c>
      <c r="DIA42">
        <f t="shared" si="85"/>
        <v>0</v>
      </c>
      <c r="DIB42">
        <f t="shared" si="85"/>
        <v>0</v>
      </c>
      <c r="DIC42">
        <f t="shared" si="85"/>
        <v>0</v>
      </c>
      <c r="DID42">
        <f t="shared" ref="DID42:DKO43" si="86">DID41*1.6*1.2</f>
        <v>0</v>
      </c>
      <c r="DIE42">
        <f t="shared" si="86"/>
        <v>0</v>
      </c>
      <c r="DIF42">
        <f t="shared" si="86"/>
        <v>0</v>
      </c>
      <c r="DIG42">
        <f t="shared" si="86"/>
        <v>0</v>
      </c>
      <c r="DIH42">
        <f t="shared" si="86"/>
        <v>0</v>
      </c>
      <c r="DII42">
        <f t="shared" si="86"/>
        <v>0</v>
      </c>
      <c r="DIJ42">
        <f t="shared" si="86"/>
        <v>0</v>
      </c>
      <c r="DIK42">
        <f t="shared" si="86"/>
        <v>0</v>
      </c>
      <c r="DIL42">
        <f t="shared" si="86"/>
        <v>0</v>
      </c>
      <c r="DIM42">
        <f t="shared" si="86"/>
        <v>0</v>
      </c>
      <c r="DIN42">
        <f t="shared" si="86"/>
        <v>0</v>
      </c>
      <c r="DIO42">
        <f t="shared" si="86"/>
        <v>0</v>
      </c>
      <c r="DIP42">
        <f t="shared" si="86"/>
        <v>0</v>
      </c>
      <c r="DIQ42">
        <f t="shared" si="86"/>
        <v>0</v>
      </c>
      <c r="DIR42">
        <f t="shared" si="86"/>
        <v>0</v>
      </c>
      <c r="DIS42">
        <f t="shared" si="86"/>
        <v>0</v>
      </c>
      <c r="DIT42">
        <f t="shared" si="86"/>
        <v>0</v>
      </c>
      <c r="DIU42">
        <f t="shared" si="86"/>
        <v>0</v>
      </c>
      <c r="DIV42">
        <f t="shared" si="86"/>
        <v>0</v>
      </c>
      <c r="DIW42">
        <f t="shared" si="86"/>
        <v>0</v>
      </c>
      <c r="DIX42">
        <f t="shared" si="86"/>
        <v>0</v>
      </c>
      <c r="DIY42">
        <f t="shared" si="86"/>
        <v>0</v>
      </c>
      <c r="DIZ42">
        <f t="shared" si="86"/>
        <v>0</v>
      </c>
      <c r="DJA42">
        <f t="shared" si="86"/>
        <v>0</v>
      </c>
      <c r="DJB42">
        <f t="shared" si="86"/>
        <v>0</v>
      </c>
      <c r="DJC42">
        <f t="shared" si="86"/>
        <v>0</v>
      </c>
      <c r="DJD42">
        <f t="shared" si="86"/>
        <v>0</v>
      </c>
      <c r="DJE42">
        <f t="shared" si="86"/>
        <v>0</v>
      </c>
      <c r="DJF42">
        <f t="shared" si="86"/>
        <v>0</v>
      </c>
      <c r="DJG42">
        <f t="shared" si="86"/>
        <v>0</v>
      </c>
      <c r="DJH42">
        <f t="shared" si="86"/>
        <v>0</v>
      </c>
      <c r="DJI42">
        <f t="shared" si="86"/>
        <v>0</v>
      </c>
      <c r="DJJ42">
        <f t="shared" si="86"/>
        <v>0</v>
      </c>
      <c r="DJK42">
        <f t="shared" si="86"/>
        <v>0</v>
      </c>
      <c r="DJL42">
        <f t="shared" si="86"/>
        <v>0</v>
      </c>
      <c r="DJM42">
        <f t="shared" si="86"/>
        <v>0</v>
      </c>
      <c r="DJN42">
        <f t="shared" si="86"/>
        <v>0</v>
      </c>
      <c r="DJO42">
        <f t="shared" si="86"/>
        <v>0</v>
      </c>
      <c r="DJP42">
        <f t="shared" si="86"/>
        <v>0</v>
      </c>
      <c r="DJQ42">
        <f t="shared" si="86"/>
        <v>0</v>
      </c>
      <c r="DJR42">
        <f t="shared" si="86"/>
        <v>0</v>
      </c>
      <c r="DJS42">
        <f t="shared" si="86"/>
        <v>0</v>
      </c>
      <c r="DJT42">
        <f t="shared" si="86"/>
        <v>0</v>
      </c>
      <c r="DJU42">
        <f t="shared" si="86"/>
        <v>0</v>
      </c>
      <c r="DJV42">
        <f t="shared" si="86"/>
        <v>0</v>
      </c>
      <c r="DJW42">
        <f t="shared" si="86"/>
        <v>0</v>
      </c>
      <c r="DJX42">
        <f t="shared" si="86"/>
        <v>0</v>
      </c>
      <c r="DJY42">
        <f t="shared" si="86"/>
        <v>0</v>
      </c>
      <c r="DJZ42">
        <f t="shared" si="86"/>
        <v>0</v>
      </c>
      <c r="DKA42">
        <f t="shared" si="86"/>
        <v>0</v>
      </c>
      <c r="DKB42">
        <f t="shared" si="86"/>
        <v>0</v>
      </c>
      <c r="DKC42">
        <f t="shared" si="86"/>
        <v>0</v>
      </c>
      <c r="DKD42">
        <f t="shared" si="86"/>
        <v>0</v>
      </c>
      <c r="DKE42">
        <f t="shared" si="86"/>
        <v>0</v>
      </c>
      <c r="DKF42">
        <f t="shared" si="86"/>
        <v>0</v>
      </c>
      <c r="DKG42">
        <f t="shared" si="86"/>
        <v>0</v>
      </c>
      <c r="DKH42">
        <f t="shared" si="86"/>
        <v>0</v>
      </c>
      <c r="DKI42">
        <f t="shared" si="86"/>
        <v>0</v>
      </c>
      <c r="DKJ42">
        <f t="shared" si="86"/>
        <v>0</v>
      </c>
      <c r="DKK42">
        <f t="shared" si="86"/>
        <v>0</v>
      </c>
      <c r="DKL42">
        <f t="shared" si="86"/>
        <v>0</v>
      </c>
      <c r="DKM42">
        <f t="shared" si="86"/>
        <v>0</v>
      </c>
      <c r="DKN42">
        <f t="shared" si="86"/>
        <v>0</v>
      </c>
      <c r="DKO42">
        <f t="shared" si="86"/>
        <v>0</v>
      </c>
      <c r="DKP42">
        <f t="shared" ref="DKP42:DNA43" si="87">DKP41*1.6*1.2</f>
        <v>0</v>
      </c>
      <c r="DKQ42">
        <f t="shared" si="87"/>
        <v>0</v>
      </c>
      <c r="DKR42">
        <f t="shared" si="87"/>
        <v>0</v>
      </c>
      <c r="DKS42">
        <f t="shared" si="87"/>
        <v>0</v>
      </c>
      <c r="DKT42">
        <f t="shared" si="87"/>
        <v>0</v>
      </c>
      <c r="DKU42">
        <f t="shared" si="87"/>
        <v>0</v>
      </c>
      <c r="DKV42">
        <f t="shared" si="87"/>
        <v>0</v>
      </c>
      <c r="DKW42">
        <f t="shared" si="87"/>
        <v>0</v>
      </c>
      <c r="DKX42">
        <f t="shared" si="87"/>
        <v>0</v>
      </c>
      <c r="DKY42">
        <f t="shared" si="87"/>
        <v>0</v>
      </c>
      <c r="DKZ42">
        <f t="shared" si="87"/>
        <v>0</v>
      </c>
      <c r="DLA42">
        <f t="shared" si="87"/>
        <v>0</v>
      </c>
      <c r="DLB42">
        <f t="shared" si="87"/>
        <v>0</v>
      </c>
      <c r="DLC42">
        <f t="shared" si="87"/>
        <v>0</v>
      </c>
      <c r="DLD42">
        <f t="shared" si="87"/>
        <v>0</v>
      </c>
      <c r="DLE42">
        <f t="shared" si="87"/>
        <v>0</v>
      </c>
      <c r="DLF42">
        <f t="shared" si="87"/>
        <v>0</v>
      </c>
      <c r="DLG42">
        <f t="shared" si="87"/>
        <v>0</v>
      </c>
      <c r="DLH42">
        <f t="shared" si="87"/>
        <v>0</v>
      </c>
      <c r="DLI42">
        <f t="shared" si="87"/>
        <v>0</v>
      </c>
      <c r="DLJ42">
        <f t="shared" si="87"/>
        <v>0</v>
      </c>
      <c r="DLK42">
        <f t="shared" si="87"/>
        <v>0</v>
      </c>
      <c r="DLL42">
        <f t="shared" si="87"/>
        <v>0</v>
      </c>
      <c r="DLM42">
        <f t="shared" si="87"/>
        <v>0</v>
      </c>
      <c r="DLN42">
        <f t="shared" si="87"/>
        <v>0</v>
      </c>
      <c r="DLO42">
        <f t="shared" si="87"/>
        <v>0</v>
      </c>
      <c r="DLP42">
        <f t="shared" si="87"/>
        <v>0</v>
      </c>
      <c r="DLQ42">
        <f t="shared" si="87"/>
        <v>0</v>
      </c>
      <c r="DLR42">
        <f t="shared" si="87"/>
        <v>0</v>
      </c>
      <c r="DLS42">
        <f t="shared" si="87"/>
        <v>0</v>
      </c>
      <c r="DLT42">
        <f t="shared" si="87"/>
        <v>0</v>
      </c>
      <c r="DLU42">
        <f t="shared" si="87"/>
        <v>0</v>
      </c>
      <c r="DLV42">
        <f t="shared" si="87"/>
        <v>0</v>
      </c>
      <c r="DLW42">
        <f t="shared" si="87"/>
        <v>0</v>
      </c>
      <c r="DLX42">
        <f t="shared" si="87"/>
        <v>0</v>
      </c>
      <c r="DLY42">
        <f t="shared" si="87"/>
        <v>0</v>
      </c>
      <c r="DLZ42">
        <f t="shared" si="87"/>
        <v>0</v>
      </c>
      <c r="DMA42">
        <f t="shared" si="87"/>
        <v>0</v>
      </c>
      <c r="DMB42">
        <f t="shared" si="87"/>
        <v>0</v>
      </c>
      <c r="DMC42">
        <f t="shared" si="87"/>
        <v>0</v>
      </c>
      <c r="DMD42">
        <f t="shared" si="87"/>
        <v>0</v>
      </c>
      <c r="DME42">
        <f t="shared" si="87"/>
        <v>0</v>
      </c>
      <c r="DMF42">
        <f t="shared" si="87"/>
        <v>0</v>
      </c>
      <c r="DMG42">
        <f t="shared" si="87"/>
        <v>0</v>
      </c>
      <c r="DMH42">
        <f t="shared" si="87"/>
        <v>0</v>
      </c>
      <c r="DMI42">
        <f t="shared" si="87"/>
        <v>0</v>
      </c>
      <c r="DMJ42">
        <f t="shared" si="87"/>
        <v>0</v>
      </c>
      <c r="DMK42">
        <f t="shared" si="87"/>
        <v>0</v>
      </c>
      <c r="DML42">
        <f t="shared" si="87"/>
        <v>0</v>
      </c>
      <c r="DMM42">
        <f t="shared" si="87"/>
        <v>0</v>
      </c>
      <c r="DMN42">
        <f t="shared" si="87"/>
        <v>0</v>
      </c>
      <c r="DMO42">
        <f t="shared" si="87"/>
        <v>0</v>
      </c>
      <c r="DMP42">
        <f t="shared" si="87"/>
        <v>0</v>
      </c>
      <c r="DMQ42">
        <f t="shared" si="87"/>
        <v>0</v>
      </c>
      <c r="DMR42">
        <f t="shared" si="87"/>
        <v>0</v>
      </c>
      <c r="DMS42">
        <f t="shared" si="87"/>
        <v>0</v>
      </c>
      <c r="DMT42">
        <f t="shared" si="87"/>
        <v>0</v>
      </c>
      <c r="DMU42">
        <f t="shared" si="87"/>
        <v>0</v>
      </c>
      <c r="DMV42">
        <f t="shared" si="87"/>
        <v>0</v>
      </c>
      <c r="DMW42">
        <f t="shared" si="87"/>
        <v>0</v>
      </c>
      <c r="DMX42">
        <f t="shared" si="87"/>
        <v>0</v>
      </c>
      <c r="DMY42">
        <f t="shared" si="87"/>
        <v>0</v>
      </c>
      <c r="DMZ42">
        <f t="shared" si="87"/>
        <v>0</v>
      </c>
      <c r="DNA42">
        <f t="shared" si="87"/>
        <v>0</v>
      </c>
      <c r="DNB42">
        <f t="shared" ref="DNB42:DPM43" si="88">DNB41*1.6*1.2</f>
        <v>0</v>
      </c>
      <c r="DNC42">
        <f t="shared" si="88"/>
        <v>0</v>
      </c>
      <c r="DND42">
        <f t="shared" si="88"/>
        <v>0</v>
      </c>
      <c r="DNE42">
        <f t="shared" si="88"/>
        <v>0</v>
      </c>
      <c r="DNF42">
        <f t="shared" si="88"/>
        <v>0</v>
      </c>
      <c r="DNG42">
        <f t="shared" si="88"/>
        <v>0</v>
      </c>
      <c r="DNH42">
        <f t="shared" si="88"/>
        <v>0</v>
      </c>
      <c r="DNI42">
        <f t="shared" si="88"/>
        <v>0</v>
      </c>
      <c r="DNJ42">
        <f t="shared" si="88"/>
        <v>0</v>
      </c>
      <c r="DNK42">
        <f t="shared" si="88"/>
        <v>0</v>
      </c>
      <c r="DNL42">
        <f t="shared" si="88"/>
        <v>0</v>
      </c>
      <c r="DNM42">
        <f t="shared" si="88"/>
        <v>0</v>
      </c>
      <c r="DNN42">
        <f t="shared" si="88"/>
        <v>0</v>
      </c>
      <c r="DNO42">
        <f t="shared" si="88"/>
        <v>0</v>
      </c>
      <c r="DNP42">
        <f t="shared" si="88"/>
        <v>0</v>
      </c>
      <c r="DNQ42">
        <f t="shared" si="88"/>
        <v>0</v>
      </c>
      <c r="DNR42">
        <f t="shared" si="88"/>
        <v>0</v>
      </c>
      <c r="DNS42">
        <f t="shared" si="88"/>
        <v>0</v>
      </c>
      <c r="DNT42">
        <f t="shared" si="88"/>
        <v>0</v>
      </c>
      <c r="DNU42">
        <f t="shared" si="88"/>
        <v>0</v>
      </c>
      <c r="DNV42">
        <f t="shared" si="88"/>
        <v>0</v>
      </c>
      <c r="DNW42">
        <f t="shared" si="88"/>
        <v>0</v>
      </c>
      <c r="DNX42">
        <f t="shared" si="88"/>
        <v>0</v>
      </c>
      <c r="DNY42">
        <f t="shared" si="88"/>
        <v>0</v>
      </c>
      <c r="DNZ42">
        <f t="shared" si="88"/>
        <v>0</v>
      </c>
      <c r="DOA42">
        <f t="shared" si="88"/>
        <v>0</v>
      </c>
      <c r="DOB42">
        <f t="shared" si="88"/>
        <v>0</v>
      </c>
      <c r="DOC42">
        <f t="shared" si="88"/>
        <v>0</v>
      </c>
      <c r="DOD42">
        <f t="shared" si="88"/>
        <v>0</v>
      </c>
      <c r="DOE42">
        <f t="shared" si="88"/>
        <v>0</v>
      </c>
      <c r="DOF42">
        <f t="shared" si="88"/>
        <v>0</v>
      </c>
      <c r="DOG42">
        <f t="shared" si="88"/>
        <v>0</v>
      </c>
      <c r="DOH42">
        <f t="shared" si="88"/>
        <v>0</v>
      </c>
      <c r="DOI42">
        <f t="shared" si="88"/>
        <v>0</v>
      </c>
      <c r="DOJ42">
        <f t="shared" si="88"/>
        <v>0</v>
      </c>
      <c r="DOK42">
        <f t="shared" si="88"/>
        <v>0</v>
      </c>
      <c r="DOL42">
        <f t="shared" si="88"/>
        <v>0</v>
      </c>
      <c r="DOM42">
        <f t="shared" si="88"/>
        <v>0</v>
      </c>
      <c r="DON42">
        <f t="shared" si="88"/>
        <v>0</v>
      </c>
      <c r="DOO42">
        <f t="shared" si="88"/>
        <v>0</v>
      </c>
      <c r="DOP42">
        <f t="shared" si="88"/>
        <v>0</v>
      </c>
      <c r="DOQ42">
        <f t="shared" si="88"/>
        <v>0</v>
      </c>
      <c r="DOR42">
        <f t="shared" si="88"/>
        <v>0</v>
      </c>
      <c r="DOS42">
        <f t="shared" si="88"/>
        <v>0</v>
      </c>
      <c r="DOT42">
        <f t="shared" si="88"/>
        <v>0</v>
      </c>
      <c r="DOU42">
        <f t="shared" si="88"/>
        <v>0</v>
      </c>
      <c r="DOV42">
        <f t="shared" si="88"/>
        <v>0</v>
      </c>
      <c r="DOW42">
        <f t="shared" si="88"/>
        <v>0</v>
      </c>
      <c r="DOX42">
        <f t="shared" si="88"/>
        <v>0</v>
      </c>
      <c r="DOY42">
        <f t="shared" si="88"/>
        <v>0</v>
      </c>
      <c r="DOZ42">
        <f t="shared" si="88"/>
        <v>0</v>
      </c>
      <c r="DPA42">
        <f t="shared" si="88"/>
        <v>0</v>
      </c>
      <c r="DPB42">
        <f t="shared" si="88"/>
        <v>0</v>
      </c>
      <c r="DPC42">
        <f t="shared" si="88"/>
        <v>0</v>
      </c>
      <c r="DPD42">
        <f t="shared" si="88"/>
        <v>0</v>
      </c>
      <c r="DPE42">
        <f t="shared" si="88"/>
        <v>0</v>
      </c>
      <c r="DPF42">
        <f t="shared" si="88"/>
        <v>0</v>
      </c>
      <c r="DPG42">
        <f t="shared" si="88"/>
        <v>0</v>
      </c>
      <c r="DPH42">
        <f t="shared" si="88"/>
        <v>0</v>
      </c>
      <c r="DPI42">
        <f t="shared" si="88"/>
        <v>0</v>
      </c>
      <c r="DPJ42">
        <f t="shared" si="88"/>
        <v>0</v>
      </c>
      <c r="DPK42">
        <f t="shared" si="88"/>
        <v>0</v>
      </c>
      <c r="DPL42">
        <f t="shared" si="88"/>
        <v>0</v>
      </c>
      <c r="DPM42">
        <f t="shared" si="88"/>
        <v>0</v>
      </c>
      <c r="DPN42">
        <f t="shared" ref="DPN42:DRY43" si="89">DPN41*1.6*1.2</f>
        <v>0</v>
      </c>
      <c r="DPO42">
        <f t="shared" si="89"/>
        <v>0</v>
      </c>
      <c r="DPP42">
        <f t="shared" si="89"/>
        <v>0</v>
      </c>
      <c r="DPQ42">
        <f t="shared" si="89"/>
        <v>0</v>
      </c>
      <c r="DPR42">
        <f t="shared" si="89"/>
        <v>0</v>
      </c>
      <c r="DPS42">
        <f t="shared" si="89"/>
        <v>0</v>
      </c>
      <c r="DPT42">
        <f t="shared" si="89"/>
        <v>0</v>
      </c>
      <c r="DPU42">
        <f t="shared" si="89"/>
        <v>0</v>
      </c>
      <c r="DPV42">
        <f t="shared" si="89"/>
        <v>0</v>
      </c>
      <c r="DPW42">
        <f t="shared" si="89"/>
        <v>0</v>
      </c>
      <c r="DPX42">
        <f t="shared" si="89"/>
        <v>0</v>
      </c>
      <c r="DPY42">
        <f t="shared" si="89"/>
        <v>0</v>
      </c>
      <c r="DPZ42">
        <f t="shared" si="89"/>
        <v>0</v>
      </c>
      <c r="DQA42">
        <f t="shared" si="89"/>
        <v>0</v>
      </c>
      <c r="DQB42">
        <f t="shared" si="89"/>
        <v>0</v>
      </c>
      <c r="DQC42">
        <f t="shared" si="89"/>
        <v>0</v>
      </c>
      <c r="DQD42">
        <f t="shared" si="89"/>
        <v>0</v>
      </c>
      <c r="DQE42">
        <f t="shared" si="89"/>
        <v>0</v>
      </c>
      <c r="DQF42">
        <f t="shared" si="89"/>
        <v>0</v>
      </c>
      <c r="DQG42">
        <f t="shared" si="89"/>
        <v>0</v>
      </c>
      <c r="DQH42">
        <f t="shared" si="89"/>
        <v>0</v>
      </c>
      <c r="DQI42">
        <f t="shared" si="89"/>
        <v>0</v>
      </c>
      <c r="DQJ42">
        <f t="shared" si="89"/>
        <v>0</v>
      </c>
      <c r="DQK42">
        <f t="shared" si="89"/>
        <v>0</v>
      </c>
      <c r="DQL42">
        <f t="shared" si="89"/>
        <v>0</v>
      </c>
      <c r="DQM42">
        <f t="shared" si="89"/>
        <v>0</v>
      </c>
      <c r="DQN42">
        <f t="shared" si="89"/>
        <v>0</v>
      </c>
      <c r="DQO42">
        <f t="shared" si="89"/>
        <v>0</v>
      </c>
      <c r="DQP42">
        <f t="shared" si="89"/>
        <v>0</v>
      </c>
      <c r="DQQ42">
        <f t="shared" si="89"/>
        <v>0</v>
      </c>
      <c r="DQR42">
        <f t="shared" si="89"/>
        <v>0</v>
      </c>
      <c r="DQS42">
        <f t="shared" si="89"/>
        <v>0</v>
      </c>
      <c r="DQT42">
        <f t="shared" si="89"/>
        <v>0</v>
      </c>
      <c r="DQU42">
        <f t="shared" si="89"/>
        <v>0</v>
      </c>
      <c r="DQV42">
        <f t="shared" si="89"/>
        <v>0</v>
      </c>
      <c r="DQW42">
        <f t="shared" si="89"/>
        <v>0</v>
      </c>
      <c r="DQX42">
        <f t="shared" si="89"/>
        <v>0</v>
      </c>
      <c r="DQY42">
        <f t="shared" si="89"/>
        <v>0</v>
      </c>
      <c r="DQZ42">
        <f t="shared" si="89"/>
        <v>0</v>
      </c>
      <c r="DRA42">
        <f t="shared" si="89"/>
        <v>0</v>
      </c>
      <c r="DRB42">
        <f t="shared" si="89"/>
        <v>0</v>
      </c>
      <c r="DRC42">
        <f t="shared" si="89"/>
        <v>0</v>
      </c>
      <c r="DRD42">
        <f t="shared" si="89"/>
        <v>0</v>
      </c>
      <c r="DRE42">
        <f t="shared" si="89"/>
        <v>0</v>
      </c>
      <c r="DRF42">
        <f t="shared" si="89"/>
        <v>0</v>
      </c>
      <c r="DRG42">
        <f t="shared" si="89"/>
        <v>0</v>
      </c>
      <c r="DRH42">
        <f t="shared" si="89"/>
        <v>0</v>
      </c>
      <c r="DRI42">
        <f t="shared" si="89"/>
        <v>0</v>
      </c>
      <c r="DRJ42">
        <f t="shared" si="89"/>
        <v>0</v>
      </c>
      <c r="DRK42">
        <f t="shared" si="89"/>
        <v>0</v>
      </c>
      <c r="DRL42">
        <f t="shared" si="89"/>
        <v>0</v>
      </c>
      <c r="DRM42">
        <f t="shared" si="89"/>
        <v>0</v>
      </c>
      <c r="DRN42">
        <f t="shared" si="89"/>
        <v>0</v>
      </c>
      <c r="DRO42">
        <f t="shared" si="89"/>
        <v>0</v>
      </c>
      <c r="DRP42">
        <f t="shared" si="89"/>
        <v>0</v>
      </c>
      <c r="DRQ42">
        <f t="shared" si="89"/>
        <v>0</v>
      </c>
      <c r="DRR42">
        <f t="shared" si="89"/>
        <v>0</v>
      </c>
      <c r="DRS42">
        <f t="shared" si="89"/>
        <v>0</v>
      </c>
      <c r="DRT42">
        <f t="shared" si="89"/>
        <v>0</v>
      </c>
      <c r="DRU42">
        <f t="shared" si="89"/>
        <v>0</v>
      </c>
      <c r="DRV42">
        <f t="shared" si="89"/>
        <v>0</v>
      </c>
      <c r="DRW42">
        <f t="shared" si="89"/>
        <v>0</v>
      </c>
      <c r="DRX42">
        <f t="shared" si="89"/>
        <v>0</v>
      </c>
      <c r="DRY42">
        <f t="shared" si="89"/>
        <v>0</v>
      </c>
      <c r="DRZ42">
        <f t="shared" ref="DRZ42:DUK43" si="90">DRZ41*1.6*1.2</f>
        <v>0</v>
      </c>
      <c r="DSA42">
        <f t="shared" si="90"/>
        <v>0</v>
      </c>
      <c r="DSB42">
        <f t="shared" si="90"/>
        <v>0</v>
      </c>
      <c r="DSC42">
        <f t="shared" si="90"/>
        <v>0</v>
      </c>
      <c r="DSD42">
        <f t="shared" si="90"/>
        <v>0</v>
      </c>
      <c r="DSE42">
        <f t="shared" si="90"/>
        <v>0</v>
      </c>
      <c r="DSF42">
        <f t="shared" si="90"/>
        <v>0</v>
      </c>
      <c r="DSG42">
        <f t="shared" si="90"/>
        <v>0</v>
      </c>
      <c r="DSH42">
        <f t="shared" si="90"/>
        <v>0</v>
      </c>
      <c r="DSI42">
        <f t="shared" si="90"/>
        <v>0</v>
      </c>
      <c r="DSJ42">
        <f t="shared" si="90"/>
        <v>0</v>
      </c>
      <c r="DSK42">
        <f t="shared" si="90"/>
        <v>0</v>
      </c>
      <c r="DSL42">
        <f t="shared" si="90"/>
        <v>0</v>
      </c>
      <c r="DSM42">
        <f t="shared" si="90"/>
        <v>0</v>
      </c>
      <c r="DSN42">
        <f t="shared" si="90"/>
        <v>0</v>
      </c>
      <c r="DSO42">
        <f t="shared" si="90"/>
        <v>0</v>
      </c>
      <c r="DSP42">
        <f t="shared" si="90"/>
        <v>0</v>
      </c>
      <c r="DSQ42">
        <f t="shared" si="90"/>
        <v>0</v>
      </c>
      <c r="DSR42">
        <f t="shared" si="90"/>
        <v>0</v>
      </c>
      <c r="DSS42">
        <f t="shared" si="90"/>
        <v>0</v>
      </c>
      <c r="DST42">
        <f t="shared" si="90"/>
        <v>0</v>
      </c>
      <c r="DSU42">
        <f t="shared" si="90"/>
        <v>0</v>
      </c>
      <c r="DSV42">
        <f t="shared" si="90"/>
        <v>0</v>
      </c>
      <c r="DSW42">
        <f t="shared" si="90"/>
        <v>0</v>
      </c>
      <c r="DSX42">
        <f t="shared" si="90"/>
        <v>0</v>
      </c>
      <c r="DSY42">
        <f t="shared" si="90"/>
        <v>0</v>
      </c>
      <c r="DSZ42">
        <f t="shared" si="90"/>
        <v>0</v>
      </c>
      <c r="DTA42">
        <f t="shared" si="90"/>
        <v>0</v>
      </c>
      <c r="DTB42">
        <f t="shared" si="90"/>
        <v>0</v>
      </c>
      <c r="DTC42">
        <f t="shared" si="90"/>
        <v>0</v>
      </c>
      <c r="DTD42">
        <f t="shared" si="90"/>
        <v>0</v>
      </c>
      <c r="DTE42">
        <f t="shared" si="90"/>
        <v>0</v>
      </c>
      <c r="DTF42">
        <f t="shared" si="90"/>
        <v>0</v>
      </c>
      <c r="DTG42">
        <f t="shared" si="90"/>
        <v>0</v>
      </c>
      <c r="DTH42">
        <f t="shared" si="90"/>
        <v>0</v>
      </c>
      <c r="DTI42">
        <f t="shared" si="90"/>
        <v>0</v>
      </c>
      <c r="DTJ42">
        <f t="shared" si="90"/>
        <v>0</v>
      </c>
      <c r="DTK42">
        <f t="shared" si="90"/>
        <v>0</v>
      </c>
      <c r="DTL42">
        <f t="shared" si="90"/>
        <v>0</v>
      </c>
      <c r="DTM42">
        <f t="shared" si="90"/>
        <v>0</v>
      </c>
      <c r="DTN42">
        <f t="shared" si="90"/>
        <v>0</v>
      </c>
      <c r="DTO42">
        <f t="shared" si="90"/>
        <v>0</v>
      </c>
      <c r="DTP42">
        <f t="shared" si="90"/>
        <v>0</v>
      </c>
      <c r="DTQ42">
        <f t="shared" si="90"/>
        <v>0</v>
      </c>
      <c r="DTR42">
        <f t="shared" si="90"/>
        <v>0</v>
      </c>
      <c r="DTS42">
        <f t="shared" si="90"/>
        <v>0</v>
      </c>
      <c r="DTT42">
        <f t="shared" si="90"/>
        <v>0</v>
      </c>
      <c r="DTU42">
        <f t="shared" si="90"/>
        <v>0</v>
      </c>
      <c r="DTV42">
        <f t="shared" si="90"/>
        <v>0</v>
      </c>
      <c r="DTW42">
        <f t="shared" si="90"/>
        <v>0</v>
      </c>
      <c r="DTX42">
        <f t="shared" si="90"/>
        <v>0</v>
      </c>
      <c r="DTY42">
        <f t="shared" si="90"/>
        <v>0</v>
      </c>
      <c r="DTZ42">
        <f t="shared" si="90"/>
        <v>0</v>
      </c>
      <c r="DUA42">
        <f t="shared" si="90"/>
        <v>0</v>
      </c>
      <c r="DUB42">
        <f t="shared" si="90"/>
        <v>0</v>
      </c>
      <c r="DUC42">
        <f t="shared" si="90"/>
        <v>0</v>
      </c>
      <c r="DUD42">
        <f t="shared" si="90"/>
        <v>0</v>
      </c>
      <c r="DUE42">
        <f t="shared" si="90"/>
        <v>0</v>
      </c>
      <c r="DUF42">
        <f t="shared" si="90"/>
        <v>0</v>
      </c>
      <c r="DUG42">
        <f t="shared" si="90"/>
        <v>0</v>
      </c>
      <c r="DUH42">
        <f t="shared" si="90"/>
        <v>0</v>
      </c>
      <c r="DUI42">
        <f t="shared" si="90"/>
        <v>0</v>
      </c>
      <c r="DUJ42">
        <f t="shared" si="90"/>
        <v>0</v>
      </c>
      <c r="DUK42">
        <f t="shared" si="90"/>
        <v>0</v>
      </c>
      <c r="DUL42">
        <f t="shared" ref="DUL42:DWW43" si="91">DUL41*1.6*1.2</f>
        <v>0</v>
      </c>
      <c r="DUM42">
        <f t="shared" si="91"/>
        <v>0</v>
      </c>
      <c r="DUN42">
        <f t="shared" si="91"/>
        <v>0</v>
      </c>
      <c r="DUO42">
        <f t="shared" si="91"/>
        <v>0</v>
      </c>
      <c r="DUP42">
        <f t="shared" si="91"/>
        <v>0</v>
      </c>
      <c r="DUQ42">
        <f t="shared" si="91"/>
        <v>0</v>
      </c>
      <c r="DUR42">
        <f t="shared" si="91"/>
        <v>0</v>
      </c>
      <c r="DUS42">
        <f t="shared" si="91"/>
        <v>0</v>
      </c>
      <c r="DUT42">
        <f t="shared" si="91"/>
        <v>0</v>
      </c>
      <c r="DUU42">
        <f t="shared" si="91"/>
        <v>0</v>
      </c>
      <c r="DUV42">
        <f t="shared" si="91"/>
        <v>0</v>
      </c>
      <c r="DUW42">
        <f t="shared" si="91"/>
        <v>0</v>
      </c>
      <c r="DUX42">
        <f t="shared" si="91"/>
        <v>0</v>
      </c>
      <c r="DUY42">
        <f t="shared" si="91"/>
        <v>0</v>
      </c>
      <c r="DUZ42">
        <f t="shared" si="91"/>
        <v>0</v>
      </c>
      <c r="DVA42">
        <f t="shared" si="91"/>
        <v>0</v>
      </c>
      <c r="DVB42">
        <f t="shared" si="91"/>
        <v>0</v>
      </c>
      <c r="DVC42">
        <f t="shared" si="91"/>
        <v>0</v>
      </c>
      <c r="DVD42">
        <f t="shared" si="91"/>
        <v>0</v>
      </c>
      <c r="DVE42">
        <f t="shared" si="91"/>
        <v>0</v>
      </c>
      <c r="DVF42">
        <f t="shared" si="91"/>
        <v>0</v>
      </c>
      <c r="DVG42">
        <f t="shared" si="91"/>
        <v>0</v>
      </c>
      <c r="DVH42">
        <f t="shared" si="91"/>
        <v>0</v>
      </c>
      <c r="DVI42">
        <f t="shared" si="91"/>
        <v>0</v>
      </c>
      <c r="DVJ42">
        <f t="shared" si="91"/>
        <v>0</v>
      </c>
      <c r="DVK42">
        <f t="shared" si="91"/>
        <v>0</v>
      </c>
      <c r="DVL42">
        <f t="shared" si="91"/>
        <v>0</v>
      </c>
      <c r="DVM42">
        <f t="shared" si="91"/>
        <v>0</v>
      </c>
      <c r="DVN42">
        <f t="shared" si="91"/>
        <v>0</v>
      </c>
      <c r="DVO42">
        <f t="shared" si="91"/>
        <v>0</v>
      </c>
      <c r="DVP42">
        <f t="shared" si="91"/>
        <v>0</v>
      </c>
      <c r="DVQ42">
        <f t="shared" si="91"/>
        <v>0</v>
      </c>
      <c r="DVR42">
        <f t="shared" si="91"/>
        <v>0</v>
      </c>
      <c r="DVS42">
        <f t="shared" si="91"/>
        <v>0</v>
      </c>
      <c r="DVT42">
        <f t="shared" si="91"/>
        <v>0</v>
      </c>
      <c r="DVU42">
        <f t="shared" si="91"/>
        <v>0</v>
      </c>
      <c r="DVV42">
        <f t="shared" si="91"/>
        <v>0</v>
      </c>
      <c r="DVW42">
        <f t="shared" si="91"/>
        <v>0</v>
      </c>
      <c r="DVX42">
        <f t="shared" si="91"/>
        <v>0</v>
      </c>
      <c r="DVY42">
        <f t="shared" si="91"/>
        <v>0</v>
      </c>
      <c r="DVZ42">
        <f t="shared" si="91"/>
        <v>0</v>
      </c>
      <c r="DWA42">
        <f t="shared" si="91"/>
        <v>0</v>
      </c>
      <c r="DWB42">
        <f t="shared" si="91"/>
        <v>0</v>
      </c>
      <c r="DWC42">
        <f t="shared" si="91"/>
        <v>0</v>
      </c>
      <c r="DWD42">
        <f t="shared" si="91"/>
        <v>0</v>
      </c>
      <c r="DWE42">
        <f t="shared" si="91"/>
        <v>0</v>
      </c>
      <c r="DWF42">
        <f t="shared" si="91"/>
        <v>0</v>
      </c>
      <c r="DWG42">
        <f t="shared" si="91"/>
        <v>0</v>
      </c>
      <c r="DWH42">
        <f t="shared" si="91"/>
        <v>0</v>
      </c>
      <c r="DWI42">
        <f t="shared" si="91"/>
        <v>0</v>
      </c>
      <c r="DWJ42">
        <f t="shared" si="91"/>
        <v>0</v>
      </c>
      <c r="DWK42">
        <f t="shared" si="91"/>
        <v>0</v>
      </c>
      <c r="DWL42">
        <f t="shared" si="91"/>
        <v>0</v>
      </c>
      <c r="DWM42">
        <f t="shared" si="91"/>
        <v>0</v>
      </c>
      <c r="DWN42">
        <f t="shared" si="91"/>
        <v>0</v>
      </c>
      <c r="DWO42">
        <f t="shared" si="91"/>
        <v>0</v>
      </c>
      <c r="DWP42">
        <f t="shared" si="91"/>
        <v>0</v>
      </c>
      <c r="DWQ42">
        <f t="shared" si="91"/>
        <v>0</v>
      </c>
      <c r="DWR42">
        <f t="shared" si="91"/>
        <v>0</v>
      </c>
      <c r="DWS42">
        <f t="shared" si="91"/>
        <v>0</v>
      </c>
      <c r="DWT42">
        <f t="shared" si="91"/>
        <v>0</v>
      </c>
      <c r="DWU42">
        <f t="shared" si="91"/>
        <v>0</v>
      </c>
      <c r="DWV42">
        <f t="shared" si="91"/>
        <v>0</v>
      </c>
      <c r="DWW42">
        <f t="shared" si="91"/>
        <v>0</v>
      </c>
      <c r="DWX42">
        <f t="shared" ref="DWX42:DZI43" si="92">DWX41*1.6*1.2</f>
        <v>0</v>
      </c>
      <c r="DWY42">
        <f t="shared" si="92"/>
        <v>0</v>
      </c>
      <c r="DWZ42">
        <f t="shared" si="92"/>
        <v>0</v>
      </c>
      <c r="DXA42">
        <f t="shared" si="92"/>
        <v>0</v>
      </c>
      <c r="DXB42">
        <f t="shared" si="92"/>
        <v>0</v>
      </c>
      <c r="DXC42">
        <f t="shared" si="92"/>
        <v>0</v>
      </c>
      <c r="DXD42">
        <f t="shared" si="92"/>
        <v>0</v>
      </c>
      <c r="DXE42">
        <f t="shared" si="92"/>
        <v>0</v>
      </c>
      <c r="DXF42">
        <f t="shared" si="92"/>
        <v>0</v>
      </c>
      <c r="DXG42">
        <f t="shared" si="92"/>
        <v>0</v>
      </c>
      <c r="DXH42">
        <f t="shared" si="92"/>
        <v>0</v>
      </c>
      <c r="DXI42">
        <f t="shared" si="92"/>
        <v>0</v>
      </c>
      <c r="DXJ42">
        <f t="shared" si="92"/>
        <v>0</v>
      </c>
      <c r="DXK42">
        <f t="shared" si="92"/>
        <v>0</v>
      </c>
      <c r="DXL42">
        <f t="shared" si="92"/>
        <v>0</v>
      </c>
      <c r="DXM42">
        <f t="shared" si="92"/>
        <v>0</v>
      </c>
      <c r="DXN42">
        <f t="shared" si="92"/>
        <v>0</v>
      </c>
      <c r="DXO42">
        <f t="shared" si="92"/>
        <v>0</v>
      </c>
      <c r="DXP42">
        <f t="shared" si="92"/>
        <v>0</v>
      </c>
      <c r="DXQ42">
        <f t="shared" si="92"/>
        <v>0</v>
      </c>
      <c r="DXR42">
        <f t="shared" si="92"/>
        <v>0</v>
      </c>
      <c r="DXS42">
        <f t="shared" si="92"/>
        <v>0</v>
      </c>
      <c r="DXT42">
        <f t="shared" si="92"/>
        <v>0</v>
      </c>
      <c r="DXU42">
        <f t="shared" si="92"/>
        <v>0</v>
      </c>
      <c r="DXV42">
        <f t="shared" si="92"/>
        <v>0</v>
      </c>
      <c r="DXW42">
        <f t="shared" si="92"/>
        <v>0</v>
      </c>
      <c r="DXX42">
        <f t="shared" si="92"/>
        <v>0</v>
      </c>
      <c r="DXY42">
        <f t="shared" si="92"/>
        <v>0</v>
      </c>
      <c r="DXZ42">
        <f t="shared" si="92"/>
        <v>0</v>
      </c>
      <c r="DYA42">
        <f t="shared" si="92"/>
        <v>0</v>
      </c>
      <c r="DYB42">
        <f t="shared" si="92"/>
        <v>0</v>
      </c>
      <c r="DYC42">
        <f t="shared" si="92"/>
        <v>0</v>
      </c>
      <c r="DYD42">
        <f t="shared" si="92"/>
        <v>0</v>
      </c>
      <c r="DYE42">
        <f t="shared" si="92"/>
        <v>0</v>
      </c>
      <c r="DYF42">
        <f t="shared" si="92"/>
        <v>0</v>
      </c>
      <c r="DYG42">
        <f t="shared" si="92"/>
        <v>0</v>
      </c>
      <c r="DYH42">
        <f t="shared" si="92"/>
        <v>0</v>
      </c>
      <c r="DYI42">
        <f t="shared" si="92"/>
        <v>0</v>
      </c>
      <c r="DYJ42">
        <f t="shared" si="92"/>
        <v>0</v>
      </c>
      <c r="DYK42">
        <f t="shared" si="92"/>
        <v>0</v>
      </c>
      <c r="DYL42">
        <f t="shared" si="92"/>
        <v>0</v>
      </c>
      <c r="DYM42">
        <f t="shared" si="92"/>
        <v>0</v>
      </c>
      <c r="DYN42">
        <f t="shared" si="92"/>
        <v>0</v>
      </c>
      <c r="DYO42">
        <f t="shared" si="92"/>
        <v>0</v>
      </c>
      <c r="DYP42">
        <f t="shared" si="92"/>
        <v>0</v>
      </c>
      <c r="DYQ42">
        <f t="shared" si="92"/>
        <v>0</v>
      </c>
      <c r="DYR42">
        <f t="shared" si="92"/>
        <v>0</v>
      </c>
      <c r="DYS42">
        <f t="shared" si="92"/>
        <v>0</v>
      </c>
      <c r="DYT42">
        <f t="shared" si="92"/>
        <v>0</v>
      </c>
      <c r="DYU42">
        <f t="shared" si="92"/>
        <v>0</v>
      </c>
      <c r="DYV42">
        <f t="shared" si="92"/>
        <v>0</v>
      </c>
      <c r="DYW42">
        <f t="shared" si="92"/>
        <v>0</v>
      </c>
      <c r="DYX42">
        <f t="shared" si="92"/>
        <v>0</v>
      </c>
      <c r="DYY42">
        <f t="shared" si="92"/>
        <v>0</v>
      </c>
      <c r="DYZ42">
        <f t="shared" si="92"/>
        <v>0</v>
      </c>
      <c r="DZA42">
        <f t="shared" si="92"/>
        <v>0</v>
      </c>
      <c r="DZB42">
        <f t="shared" si="92"/>
        <v>0</v>
      </c>
      <c r="DZC42">
        <f t="shared" si="92"/>
        <v>0</v>
      </c>
      <c r="DZD42">
        <f t="shared" si="92"/>
        <v>0</v>
      </c>
      <c r="DZE42">
        <f t="shared" si="92"/>
        <v>0</v>
      </c>
      <c r="DZF42">
        <f t="shared" si="92"/>
        <v>0</v>
      </c>
      <c r="DZG42">
        <f t="shared" si="92"/>
        <v>0</v>
      </c>
      <c r="DZH42">
        <f t="shared" si="92"/>
        <v>0</v>
      </c>
      <c r="DZI42">
        <f t="shared" si="92"/>
        <v>0</v>
      </c>
      <c r="DZJ42">
        <f t="shared" ref="DZJ42:EBU43" si="93">DZJ41*1.6*1.2</f>
        <v>0</v>
      </c>
      <c r="DZK42">
        <f t="shared" si="93"/>
        <v>0</v>
      </c>
      <c r="DZL42">
        <f t="shared" si="93"/>
        <v>0</v>
      </c>
      <c r="DZM42">
        <f t="shared" si="93"/>
        <v>0</v>
      </c>
      <c r="DZN42">
        <f t="shared" si="93"/>
        <v>0</v>
      </c>
      <c r="DZO42">
        <f t="shared" si="93"/>
        <v>0</v>
      </c>
      <c r="DZP42">
        <f t="shared" si="93"/>
        <v>0</v>
      </c>
      <c r="DZQ42">
        <f t="shared" si="93"/>
        <v>0</v>
      </c>
      <c r="DZR42">
        <f t="shared" si="93"/>
        <v>0</v>
      </c>
      <c r="DZS42">
        <f t="shared" si="93"/>
        <v>0</v>
      </c>
      <c r="DZT42">
        <f t="shared" si="93"/>
        <v>0</v>
      </c>
      <c r="DZU42">
        <f t="shared" si="93"/>
        <v>0</v>
      </c>
      <c r="DZV42">
        <f t="shared" si="93"/>
        <v>0</v>
      </c>
      <c r="DZW42">
        <f t="shared" si="93"/>
        <v>0</v>
      </c>
      <c r="DZX42">
        <f t="shared" si="93"/>
        <v>0</v>
      </c>
      <c r="DZY42">
        <f t="shared" si="93"/>
        <v>0</v>
      </c>
      <c r="DZZ42">
        <f t="shared" si="93"/>
        <v>0</v>
      </c>
      <c r="EAA42">
        <f t="shared" si="93"/>
        <v>0</v>
      </c>
      <c r="EAB42">
        <f t="shared" si="93"/>
        <v>0</v>
      </c>
      <c r="EAC42">
        <f t="shared" si="93"/>
        <v>0</v>
      </c>
      <c r="EAD42">
        <f t="shared" si="93"/>
        <v>0</v>
      </c>
      <c r="EAE42">
        <f t="shared" si="93"/>
        <v>0</v>
      </c>
      <c r="EAF42">
        <f t="shared" si="93"/>
        <v>0</v>
      </c>
      <c r="EAG42">
        <f t="shared" si="93"/>
        <v>0</v>
      </c>
      <c r="EAH42">
        <f t="shared" si="93"/>
        <v>0</v>
      </c>
      <c r="EAI42">
        <f t="shared" si="93"/>
        <v>0</v>
      </c>
      <c r="EAJ42">
        <f t="shared" si="93"/>
        <v>0</v>
      </c>
      <c r="EAK42">
        <f t="shared" si="93"/>
        <v>0</v>
      </c>
      <c r="EAL42">
        <f t="shared" si="93"/>
        <v>0</v>
      </c>
      <c r="EAM42">
        <f t="shared" si="93"/>
        <v>0</v>
      </c>
      <c r="EAN42">
        <f t="shared" si="93"/>
        <v>0</v>
      </c>
      <c r="EAO42">
        <f t="shared" si="93"/>
        <v>0</v>
      </c>
      <c r="EAP42">
        <f t="shared" si="93"/>
        <v>0</v>
      </c>
      <c r="EAQ42">
        <f t="shared" si="93"/>
        <v>0</v>
      </c>
      <c r="EAR42">
        <f t="shared" si="93"/>
        <v>0</v>
      </c>
      <c r="EAS42">
        <f t="shared" si="93"/>
        <v>0</v>
      </c>
      <c r="EAT42">
        <f t="shared" si="93"/>
        <v>0</v>
      </c>
      <c r="EAU42">
        <f t="shared" si="93"/>
        <v>0</v>
      </c>
      <c r="EAV42">
        <f t="shared" si="93"/>
        <v>0</v>
      </c>
      <c r="EAW42">
        <f t="shared" si="93"/>
        <v>0</v>
      </c>
      <c r="EAX42">
        <f t="shared" si="93"/>
        <v>0</v>
      </c>
      <c r="EAY42">
        <f t="shared" si="93"/>
        <v>0</v>
      </c>
      <c r="EAZ42">
        <f t="shared" si="93"/>
        <v>0</v>
      </c>
      <c r="EBA42">
        <f t="shared" si="93"/>
        <v>0</v>
      </c>
      <c r="EBB42">
        <f t="shared" si="93"/>
        <v>0</v>
      </c>
      <c r="EBC42">
        <f t="shared" si="93"/>
        <v>0</v>
      </c>
      <c r="EBD42">
        <f t="shared" si="93"/>
        <v>0</v>
      </c>
      <c r="EBE42">
        <f t="shared" si="93"/>
        <v>0</v>
      </c>
      <c r="EBF42">
        <f t="shared" si="93"/>
        <v>0</v>
      </c>
      <c r="EBG42">
        <f t="shared" si="93"/>
        <v>0</v>
      </c>
      <c r="EBH42">
        <f t="shared" si="93"/>
        <v>0</v>
      </c>
      <c r="EBI42">
        <f t="shared" si="93"/>
        <v>0</v>
      </c>
      <c r="EBJ42">
        <f t="shared" si="93"/>
        <v>0</v>
      </c>
      <c r="EBK42">
        <f t="shared" si="93"/>
        <v>0</v>
      </c>
      <c r="EBL42">
        <f t="shared" si="93"/>
        <v>0</v>
      </c>
      <c r="EBM42">
        <f t="shared" si="93"/>
        <v>0</v>
      </c>
      <c r="EBN42">
        <f t="shared" si="93"/>
        <v>0</v>
      </c>
      <c r="EBO42">
        <f t="shared" si="93"/>
        <v>0</v>
      </c>
      <c r="EBP42">
        <f t="shared" si="93"/>
        <v>0</v>
      </c>
      <c r="EBQ42">
        <f t="shared" si="93"/>
        <v>0</v>
      </c>
      <c r="EBR42">
        <f t="shared" si="93"/>
        <v>0</v>
      </c>
      <c r="EBS42">
        <f t="shared" si="93"/>
        <v>0</v>
      </c>
      <c r="EBT42">
        <f t="shared" si="93"/>
        <v>0</v>
      </c>
      <c r="EBU42">
        <f t="shared" si="93"/>
        <v>0</v>
      </c>
      <c r="EBV42">
        <f t="shared" ref="EBV42:EEG43" si="94">EBV41*1.6*1.2</f>
        <v>0</v>
      </c>
      <c r="EBW42">
        <f t="shared" si="94"/>
        <v>0</v>
      </c>
      <c r="EBX42">
        <f t="shared" si="94"/>
        <v>0</v>
      </c>
      <c r="EBY42">
        <f t="shared" si="94"/>
        <v>0</v>
      </c>
      <c r="EBZ42">
        <f t="shared" si="94"/>
        <v>0</v>
      </c>
      <c r="ECA42">
        <f t="shared" si="94"/>
        <v>0</v>
      </c>
      <c r="ECB42">
        <f t="shared" si="94"/>
        <v>0</v>
      </c>
      <c r="ECC42">
        <f t="shared" si="94"/>
        <v>0</v>
      </c>
      <c r="ECD42">
        <f t="shared" si="94"/>
        <v>0</v>
      </c>
      <c r="ECE42">
        <f t="shared" si="94"/>
        <v>0</v>
      </c>
      <c r="ECF42">
        <f t="shared" si="94"/>
        <v>0</v>
      </c>
      <c r="ECG42">
        <f t="shared" si="94"/>
        <v>0</v>
      </c>
      <c r="ECH42">
        <f t="shared" si="94"/>
        <v>0</v>
      </c>
      <c r="ECI42">
        <f t="shared" si="94"/>
        <v>0</v>
      </c>
      <c r="ECJ42">
        <f t="shared" si="94"/>
        <v>0</v>
      </c>
      <c r="ECK42">
        <f t="shared" si="94"/>
        <v>0</v>
      </c>
      <c r="ECL42">
        <f t="shared" si="94"/>
        <v>0</v>
      </c>
      <c r="ECM42">
        <f t="shared" si="94"/>
        <v>0</v>
      </c>
      <c r="ECN42">
        <f t="shared" si="94"/>
        <v>0</v>
      </c>
      <c r="ECO42">
        <f t="shared" si="94"/>
        <v>0</v>
      </c>
      <c r="ECP42">
        <f t="shared" si="94"/>
        <v>0</v>
      </c>
      <c r="ECQ42">
        <f t="shared" si="94"/>
        <v>0</v>
      </c>
      <c r="ECR42">
        <f t="shared" si="94"/>
        <v>0</v>
      </c>
      <c r="ECS42">
        <f t="shared" si="94"/>
        <v>0</v>
      </c>
      <c r="ECT42">
        <f t="shared" si="94"/>
        <v>0</v>
      </c>
      <c r="ECU42">
        <f t="shared" si="94"/>
        <v>0</v>
      </c>
      <c r="ECV42">
        <f t="shared" si="94"/>
        <v>0</v>
      </c>
      <c r="ECW42">
        <f t="shared" si="94"/>
        <v>0</v>
      </c>
      <c r="ECX42">
        <f t="shared" si="94"/>
        <v>0</v>
      </c>
      <c r="ECY42">
        <f t="shared" si="94"/>
        <v>0</v>
      </c>
      <c r="ECZ42">
        <f t="shared" si="94"/>
        <v>0</v>
      </c>
      <c r="EDA42">
        <f t="shared" si="94"/>
        <v>0</v>
      </c>
      <c r="EDB42">
        <f t="shared" si="94"/>
        <v>0</v>
      </c>
      <c r="EDC42">
        <f t="shared" si="94"/>
        <v>0</v>
      </c>
      <c r="EDD42">
        <f t="shared" si="94"/>
        <v>0</v>
      </c>
      <c r="EDE42">
        <f t="shared" si="94"/>
        <v>0</v>
      </c>
      <c r="EDF42">
        <f t="shared" si="94"/>
        <v>0</v>
      </c>
      <c r="EDG42">
        <f t="shared" si="94"/>
        <v>0</v>
      </c>
      <c r="EDH42">
        <f t="shared" si="94"/>
        <v>0</v>
      </c>
      <c r="EDI42">
        <f t="shared" si="94"/>
        <v>0</v>
      </c>
      <c r="EDJ42">
        <f t="shared" si="94"/>
        <v>0</v>
      </c>
      <c r="EDK42">
        <f t="shared" si="94"/>
        <v>0</v>
      </c>
      <c r="EDL42">
        <f t="shared" si="94"/>
        <v>0</v>
      </c>
      <c r="EDM42">
        <f t="shared" si="94"/>
        <v>0</v>
      </c>
      <c r="EDN42">
        <f t="shared" si="94"/>
        <v>0</v>
      </c>
      <c r="EDO42">
        <f t="shared" si="94"/>
        <v>0</v>
      </c>
      <c r="EDP42">
        <f t="shared" si="94"/>
        <v>0</v>
      </c>
      <c r="EDQ42">
        <f t="shared" si="94"/>
        <v>0</v>
      </c>
      <c r="EDR42">
        <f t="shared" si="94"/>
        <v>0</v>
      </c>
      <c r="EDS42">
        <f t="shared" si="94"/>
        <v>0</v>
      </c>
      <c r="EDT42">
        <f t="shared" si="94"/>
        <v>0</v>
      </c>
      <c r="EDU42">
        <f t="shared" si="94"/>
        <v>0</v>
      </c>
      <c r="EDV42">
        <f t="shared" si="94"/>
        <v>0</v>
      </c>
      <c r="EDW42">
        <f t="shared" si="94"/>
        <v>0</v>
      </c>
      <c r="EDX42">
        <f t="shared" si="94"/>
        <v>0</v>
      </c>
      <c r="EDY42">
        <f t="shared" si="94"/>
        <v>0</v>
      </c>
      <c r="EDZ42">
        <f t="shared" si="94"/>
        <v>0</v>
      </c>
      <c r="EEA42">
        <f t="shared" si="94"/>
        <v>0</v>
      </c>
      <c r="EEB42">
        <f t="shared" si="94"/>
        <v>0</v>
      </c>
      <c r="EEC42">
        <f t="shared" si="94"/>
        <v>0</v>
      </c>
      <c r="EED42">
        <f t="shared" si="94"/>
        <v>0</v>
      </c>
      <c r="EEE42">
        <f t="shared" si="94"/>
        <v>0</v>
      </c>
      <c r="EEF42">
        <f t="shared" si="94"/>
        <v>0</v>
      </c>
      <c r="EEG42">
        <f t="shared" si="94"/>
        <v>0</v>
      </c>
      <c r="EEH42">
        <f t="shared" ref="EEH42:EGS43" si="95">EEH41*1.6*1.2</f>
        <v>0</v>
      </c>
      <c r="EEI42">
        <f t="shared" si="95"/>
        <v>0</v>
      </c>
      <c r="EEJ42">
        <f t="shared" si="95"/>
        <v>0</v>
      </c>
      <c r="EEK42">
        <f t="shared" si="95"/>
        <v>0</v>
      </c>
      <c r="EEL42">
        <f t="shared" si="95"/>
        <v>0</v>
      </c>
      <c r="EEM42">
        <f t="shared" si="95"/>
        <v>0</v>
      </c>
      <c r="EEN42">
        <f t="shared" si="95"/>
        <v>0</v>
      </c>
      <c r="EEO42">
        <f t="shared" si="95"/>
        <v>0</v>
      </c>
      <c r="EEP42">
        <f t="shared" si="95"/>
        <v>0</v>
      </c>
      <c r="EEQ42">
        <f t="shared" si="95"/>
        <v>0</v>
      </c>
      <c r="EER42">
        <f t="shared" si="95"/>
        <v>0</v>
      </c>
      <c r="EES42">
        <f t="shared" si="95"/>
        <v>0</v>
      </c>
      <c r="EET42">
        <f t="shared" si="95"/>
        <v>0</v>
      </c>
      <c r="EEU42">
        <f t="shared" si="95"/>
        <v>0</v>
      </c>
      <c r="EEV42">
        <f t="shared" si="95"/>
        <v>0</v>
      </c>
      <c r="EEW42">
        <f t="shared" si="95"/>
        <v>0</v>
      </c>
      <c r="EEX42">
        <f t="shared" si="95"/>
        <v>0</v>
      </c>
      <c r="EEY42">
        <f t="shared" si="95"/>
        <v>0</v>
      </c>
      <c r="EEZ42">
        <f t="shared" si="95"/>
        <v>0</v>
      </c>
      <c r="EFA42">
        <f t="shared" si="95"/>
        <v>0</v>
      </c>
      <c r="EFB42">
        <f t="shared" si="95"/>
        <v>0</v>
      </c>
      <c r="EFC42">
        <f t="shared" si="95"/>
        <v>0</v>
      </c>
      <c r="EFD42">
        <f t="shared" si="95"/>
        <v>0</v>
      </c>
      <c r="EFE42">
        <f t="shared" si="95"/>
        <v>0</v>
      </c>
      <c r="EFF42">
        <f t="shared" si="95"/>
        <v>0</v>
      </c>
      <c r="EFG42">
        <f t="shared" si="95"/>
        <v>0</v>
      </c>
      <c r="EFH42">
        <f t="shared" si="95"/>
        <v>0</v>
      </c>
      <c r="EFI42">
        <f t="shared" si="95"/>
        <v>0</v>
      </c>
      <c r="EFJ42">
        <f t="shared" si="95"/>
        <v>0</v>
      </c>
      <c r="EFK42">
        <f t="shared" si="95"/>
        <v>0</v>
      </c>
      <c r="EFL42">
        <f t="shared" si="95"/>
        <v>0</v>
      </c>
      <c r="EFM42">
        <f t="shared" si="95"/>
        <v>0</v>
      </c>
      <c r="EFN42">
        <f t="shared" si="95"/>
        <v>0</v>
      </c>
      <c r="EFO42">
        <f t="shared" si="95"/>
        <v>0</v>
      </c>
      <c r="EFP42">
        <f t="shared" si="95"/>
        <v>0</v>
      </c>
      <c r="EFQ42">
        <f t="shared" si="95"/>
        <v>0</v>
      </c>
      <c r="EFR42">
        <f t="shared" si="95"/>
        <v>0</v>
      </c>
      <c r="EFS42">
        <f t="shared" si="95"/>
        <v>0</v>
      </c>
      <c r="EFT42">
        <f t="shared" si="95"/>
        <v>0</v>
      </c>
      <c r="EFU42">
        <f t="shared" si="95"/>
        <v>0</v>
      </c>
      <c r="EFV42">
        <f t="shared" si="95"/>
        <v>0</v>
      </c>
      <c r="EFW42">
        <f t="shared" si="95"/>
        <v>0</v>
      </c>
      <c r="EFX42">
        <f t="shared" si="95"/>
        <v>0</v>
      </c>
      <c r="EFY42">
        <f t="shared" si="95"/>
        <v>0</v>
      </c>
      <c r="EFZ42">
        <f t="shared" si="95"/>
        <v>0</v>
      </c>
      <c r="EGA42">
        <f t="shared" si="95"/>
        <v>0</v>
      </c>
      <c r="EGB42">
        <f t="shared" si="95"/>
        <v>0</v>
      </c>
      <c r="EGC42">
        <f t="shared" si="95"/>
        <v>0</v>
      </c>
      <c r="EGD42">
        <f t="shared" si="95"/>
        <v>0</v>
      </c>
      <c r="EGE42">
        <f t="shared" si="95"/>
        <v>0</v>
      </c>
      <c r="EGF42">
        <f t="shared" si="95"/>
        <v>0</v>
      </c>
      <c r="EGG42">
        <f t="shared" si="95"/>
        <v>0</v>
      </c>
      <c r="EGH42">
        <f t="shared" si="95"/>
        <v>0</v>
      </c>
      <c r="EGI42">
        <f t="shared" si="95"/>
        <v>0</v>
      </c>
      <c r="EGJ42">
        <f t="shared" si="95"/>
        <v>0</v>
      </c>
      <c r="EGK42">
        <f t="shared" si="95"/>
        <v>0</v>
      </c>
      <c r="EGL42">
        <f t="shared" si="95"/>
        <v>0</v>
      </c>
      <c r="EGM42">
        <f t="shared" si="95"/>
        <v>0</v>
      </c>
      <c r="EGN42">
        <f t="shared" si="95"/>
        <v>0</v>
      </c>
      <c r="EGO42">
        <f t="shared" si="95"/>
        <v>0</v>
      </c>
      <c r="EGP42">
        <f t="shared" si="95"/>
        <v>0</v>
      </c>
      <c r="EGQ42">
        <f t="shared" si="95"/>
        <v>0</v>
      </c>
      <c r="EGR42">
        <f t="shared" si="95"/>
        <v>0</v>
      </c>
      <c r="EGS42">
        <f t="shared" si="95"/>
        <v>0</v>
      </c>
      <c r="EGT42">
        <f t="shared" ref="EGT42:EJE43" si="96">EGT41*1.6*1.2</f>
        <v>0</v>
      </c>
      <c r="EGU42">
        <f t="shared" si="96"/>
        <v>0</v>
      </c>
      <c r="EGV42">
        <f t="shared" si="96"/>
        <v>0</v>
      </c>
      <c r="EGW42">
        <f t="shared" si="96"/>
        <v>0</v>
      </c>
      <c r="EGX42">
        <f t="shared" si="96"/>
        <v>0</v>
      </c>
      <c r="EGY42">
        <f t="shared" si="96"/>
        <v>0</v>
      </c>
      <c r="EGZ42">
        <f t="shared" si="96"/>
        <v>0</v>
      </c>
      <c r="EHA42">
        <f t="shared" si="96"/>
        <v>0</v>
      </c>
      <c r="EHB42">
        <f t="shared" si="96"/>
        <v>0</v>
      </c>
      <c r="EHC42">
        <f t="shared" si="96"/>
        <v>0</v>
      </c>
      <c r="EHD42">
        <f t="shared" si="96"/>
        <v>0</v>
      </c>
      <c r="EHE42">
        <f t="shared" si="96"/>
        <v>0</v>
      </c>
      <c r="EHF42">
        <f t="shared" si="96"/>
        <v>0</v>
      </c>
      <c r="EHG42">
        <f t="shared" si="96"/>
        <v>0</v>
      </c>
      <c r="EHH42">
        <f t="shared" si="96"/>
        <v>0</v>
      </c>
      <c r="EHI42">
        <f t="shared" si="96"/>
        <v>0</v>
      </c>
      <c r="EHJ42">
        <f t="shared" si="96"/>
        <v>0</v>
      </c>
      <c r="EHK42">
        <f t="shared" si="96"/>
        <v>0</v>
      </c>
      <c r="EHL42">
        <f t="shared" si="96"/>
        <v>0</v>
      </c>
      <c r="EHM42">
        <f t="shared" si="96"/>
        <v>0</v>
      </c>
      <c r="EHN42">
        <f t="shared" si="96"/>
        <v>0</v>
      </c>
      <c r="EHO42">
        <f t="shared" si="96"/>
        <v>0</v>
      </c>
      <c r="EHP42">
        <f t="shared" si="96"/>
        <v>0</v>
      </c>
      <c r="EHQ42">
        <f t="shared" si="96"/>
        <v>0</v>
      </c>
      <c r="EHR42">
        <f t="shared" si="96"/>
        <v>0</v>
      </c>
      <c r="EHS42">
        <f t="shared" si="96"/>
        <v>0</v>
      </c>
      <c r="EHT42">
        <f t="shared" si="96"/>
        <v>0</v>
      </c>
      <c r="EHU42">
        <f t="shared" si="96"/>
        <v>0</v>
      </c>
      <c r="EHV42">
        <f t="shared" si="96"/>
        <v>0</v>
      </c>
      <c r="EHW42">
        <f t="shared" si="96"/>
        <v>0</v>
      </c>
      <c r="EHX42">
        <f t="shared" si="96"/>
        <v>0</v>
      </c>
      <c r="EHY42">
        <f t="shared" si="96"/>
        <v>0</v>
      </c>
      <c r="EHZ42">
        <f t="shared" si="96"/>
        <v>0</v>
      </c>
      <c r="EIA42">
        <f t="shared" si="96"/>
        <v>0</v>
      </c>
      <c r="EIB42">
        <f t="shared" si="96"/>
        <v>0</v>
      </c>
      <c r="EIC42">
        <f t="shared" si="96"/>
        <v>0</v>
      </c>
      <c r="EID42">
        <f t="shared" si="96"/>
        <v>0</v>
      </c>
      <c r="EIE42">
        <f t="shared" si="96"/>
        <v>0</v>
      </c>
      <c r="EIF42">
        <f t="shared" si="96"/>
        <v>0</v>
      </c>
      <c r="EIG42">
        <f t="shared" si="96"/>
        <v>0</v>
      </c>
      <c r="EIH42">
        <f t="shared" si="96"/>
        <v>0</v>
      </c>
      <c r="EII42">
        <f t="shared" si="96"/>
        <v>0</v>
      </c>
      <c r="EIJ42">
        <f t="shared" si="96"/>
        <v>0</v>
      </c>
      <c r="EIK42">
        <f t="shared" si="96"/>
        <v>0</v>
      </c>
      <c r="EIL42">
        <f t="shared" si="96"/>
        <v>0</v>
      </c>
      <c r="EIM42">
        <f t="shared" si="96"/>
        <v>0</v>
      </c>
      <c r="EIN42">
        <f t="shared" si="96"/>
        <v>0</v>
      </c>
      <c r="EIO42">
        <f t="shared" si="96"/>
        <v>0</v>
      </c>
      <c r="EIP42">
        <f t="shared" si="96"/>
        <v>0</v>
      </c>
      <c r="EIQ42">
        <f t="shared" si="96"/>
        <v>0</v>
      </c>
      <c r="EIR42">
        <f t="shared" si="96"/>
        <v>0</v>
      </c>
      <c r="EIS42">
        <f t="shared" si="96"/>
        <v>0</v>
      </c>
      <c r="EIT42">
        <f t="shared" si="96"/>
        <v>0</v>
      </c>
      <c r="EIU42">
        <f t="shared" si="96"/>
        <v>0</v>
      </c>
      <c r="EIV42">
        <f t="shared" si="96"/>
        <v>0</v>
      </c>
      <c r="EIW42">
        <f t="shared" si="96"/>
        <v>0</v>
      </c>
      <c r="EIX42">
        <f t="shared" si="96"/>
        <v>0</v>
      </c>
      <c r="EIY42">
        <f t="shared" si="96"/>
        <v>0</v>
      </c>
      <c r="EIZ42">
        <f t="shared" si="96"/>
        <v>0</v>
      </c>
      <c r="EJA42">
        <f t="shared" si="96"/>
        <v>0</v>
      </c>
      <c r="EJB42">
        <f t="shared" si="96"/>
        <v>0</v>
      </c>
      <c r="EJC42">
        <f t="shared" si="96"/>
        <v>0</v>
      </c>
      <c r="EJD42">
        <f t="shared" si="96"/>
        <v>0</v>
      </c>
      <c r="EJE42">
        <f t="shared" si="96"/>
        <v>0</v>
      </c>
      <c r="EJF42">
        <f t="shared" ref="EJF42:ELQ43" si="97">EJF41*1.6*1.2</f>
        <v>0</v>
      </c>
      <c r="EJG42">
        <f t="shared" si="97"/>
        <v>0</v>
      </c>
      <c r="EJH42">
        <f t="shared" si="97"/>
        <v>0</v>
      </c>
      <c r="EJI42">
        <f t="shared" si="97"/>
        <v>0</v>
      </c>
      <c r="EJJ42">
        <f t="shared" si="97"/>
        <v>0</v>
      </c>
      <c r="EJK42">
        <f t="shared" si="97"/>
        <v>0</v>
      </c>
      <c r="EJL42">
        <f t="shared" si="97"/>
        <v>0</v>
      </c>
      <c r="EJM42">
        <f t="shared" si="97"/>
        <v>0</v>
      </c>
      <c r="EJN42">
        <f t="shared" si="97"/>
        <v>0</v>
      </c>
      <c r="EJO42">
        <f t="shared" si="97"/>
        <v>0</v>
      </c>
      <c r="EJP42">
        <f t="shared" si="97"/>
        <v>0</v>
      </c>
      <c r="EJQ42">
        <f t="shared" si="97"/>
        <v>0</v>
      </c>
      <c r="EJR42">
        <f t="shared" si="97"/>
        <v>0</v>
      </c>
      <c r="EJS42">
        <f t="shared" si="97"/>
        <v>0</v>
      </c>
      <c r="EJT42">
        <f t="shared" si="97"/>
        <v>0</v>
      </c>
      <c r="EJU42">
        <f t="shared" si="97"/>
        <v>0</v>
      </c>
      <c r="EJV42">
        <f t="shared" si="97"/>
        <v>0</v>
      </c>
      <c r="EJW42">
        <f t="shared" si="97"/>
        <v>0</v>
      </c>
      <c r="EJX42">
        <f t="shared" si="97"/>
        <v>0</v>
      </c>
      <c r="EJY42">
        <f t="shared" si="97"/>
        <v>0</v>
      </c>
      <c r="EJZ42">
        <f t="shared" si="97"/>
        <v>0</v>
      </c>
      <c r="EKA42">
        <f t="shared" si="97"/>
        <v>0</v>
      </c>
      <c r="EKB42">
        <f t="shared" si="97"/>
        <v>0</v>
      </c>
      <c r="EKC42">
        <f t="shared" si="97"/>
        <v>0</v>
      </c>
      <c r="EKD42">
        <f t="shared" si="97"/>
        <v>0</v>
      </c>
      <c r="EKE42">
        <f t="shared" si="97"/>
        <v>0</v>
      </c>
      <c r="EKF42">
        <f t="shared" si="97"/>
        <v>0</v>
      </c>
      <c r="EKG42">
        <f t="shared" si="97"/>
        <v>0</v>
      </c>
      <c r="EKH42">
        <f t="shared" si="97"/>
        <v>0</v>
      </c>
      <c r="EKI42">
        <f t="shared" si="97"/>
        <v>0</v>
      </c>
      <c r="EKJ42">
        <f t="shared" si="97"/>
        <v>0</v>
      </c>
      <c r="EKK42">
        <f t="shared" si="97"/>
        <v>0</v>
      </c>
      <c r="EKL42">
        <f t="shared" si="97"/>
        <v>0</v>
      </c>
      <c r="EKM42">
        <f t="shared" si="97"/>
        <v>0</v>
      </c>
      <c r="EKN42">
        <f t="shared" si="97"/>
        <v>0</v>
      </c>
      <c r="EKO42">
        <f t="shared" si="97"/>
        <v>0</v>
      </c>
      <c r="EKP42">
        <f t="shared" si="97"/>
        <v>0</v>
      </c>
      <c r="EKQ42">
        <f t="shared" si="97"/>
        <v>0</v>
      </c>
      <c r="EKR42">
        <f t="shared" si="97"/>
        <v>0</v>
      </c>
      <c r="EKS42">
        <f t="shared" si="97"/>
        <v>0</v>
      </c>
      <c r="EKT42">
        <f t="shared" si="97"/>
        <v>0</v>
      </c>
      <c r="EKU42">
        <f t="shared" si="97"/>
        <v>0</v>
      </c>
      <c r="EKV42">
        <f t="shared" si="97"/>
        <v>0</v>
      </c>
      <c r="EKW42">
        <f t="shared" si="97"/>
        <v>0</v>
      </c>
      <c r="EKX42">
        <f t="shared" si="97"/>
        <v>0</v>
      </c>
      <c r="EKY42">
        <f t="shared" si="97"/>
        <v>0</v>
      </c>
      <c r="EKZ42">
        <f t="shared" si="97"/>
        <v>0</v>
      </c>
      <c r="ELA42">
        <f t="shared" si="97"/>
        <v>0</v>
      </c>
      <c r="ELB42">
        <f t="shared" si="97"/>
        <v>0</v>
      </c>
      <c r="ELC42">
        <f t="shared" si="97"/>
        <v>0</v>
      </c>
      <c r="ELD42">
        <f t="shared" si="97"/>
        <v>0</v>
      </c>
      <c r="ELE42">
        <f t="shared" si="97"/>
        <v>0</v>
      </c>
      <c r="ELF42">
        <f t="shared" si="97"/>
        <v>0</v>
      </c>
      <c r="ELG42">
        <f t="shared" si="97"/>
        <v>0</v>
      </c>
      <c r="ELH42">
        <f t="shared" si="97"/>
        <v>0</v>
      </c>
      <c r="ELI42">
        <f t="shared" si="97"/>
        <v>0</v>
      </c>
      <c r="ELJ42">
        <f t="shared" si="97"/>
        <v>0</v>
      </c>
      <c r="ELK42">
        <f t="shared" si="97"/>
        <v>0</v>
      </c>
      <c r="ELL42">
        <f t="shared" si="97"/>
        <v>0</v>
      </c>
      <c r="ELM42">
        <f t="shared" si="97"/>
        <v>0</v>
      </c>
      <c r="ELN42">
        <f t="shared" si="97"/>
        <v>0</v>
      </c>
      <c r="ELO42">
        <f t="shared" si="97"/>
        <v>0</v>
      </c>
      <c r="ELP42">
        <f t="shared" si="97"/>
        <v>0</v>
      </c>
      <c r="ELQ42">
        <f t="shared" si="97"/>
        <v>0</v>
      </c>
      <c r="ELR42">
        <f t="shared" ref="ELR42:EOC43" si="98">ELR41*1.6*1.2</f>
        <v>0</v>
      </c>
      <c r="ELS42">
        <f t="shared" si="98"/>
        <v>0</v>
      </c>
      <c r="ELT42">
        <f t="shared" si="98"/>
        <v>0</v>
      </c>
      <c r="ELU42">
        <f t="shared" si="98"/>
        <v>0</v>
      </c>
      <c r="ELV42">
        <f t="shared" si="98"/>
        <v>0</v>
      </c>
      <c r="ELW42">
        <f t="shared" si="98"/>
        <v>0</v>
      </c>
      <c r="ELX42">
        <f t="shared" si="98"/>
        <v>0</v>
      </c>
      <c r="ELY42">
        <f t="shared" si="98"/>
        <v>0</v>
      </c>
      <c r="ELZ42">
        <f t="shared" si="98"/>
        <v>0</v>
      </c>
      <c r="EMA42">
        <f t="shared" si="98"/>
        <v>0</v>
      </c>
      <c r="EMB42">
        <f t="shared" si="98"/>
        <v>0</v>
      </c>
      <c r="EMC42">
        <f t="shared" si="98"/>
        <v>0</v>
      </c>
      <c r="EMD42">
        <f t="shared" si="98"/>
        <v>0</v>
      </c>
      <c r="EME42">
        <f t="shared" si="98"/>
        <v>0</v>
      </c>
      <c r="EMF42">
        <f t="shared" si="98"/>
        <v>0</v>
      </c>
      <c r="EMG42">
        <f t="shared" si="98"/>
        <v>0</v>
      </c>
      <c r="EMH42">
        <f t="shared" si="98"/>
        <v>0</v>
      </c>
      <c r="EMI42">
        <f t="shared" si="98"/>
        <v>0</v>
      </c>
      <c r="EMJ42">
        <f t="shared" si="98"/>
        <v>0</v>
      </c>
      <c r="EMK42">
        <f t="shared" si="98"/>
        <v>0</v>
      </c>
      <c r="EML42">
        <f t="shared" si="98"/>
        <v>0</v>
      </c>
      <c r="EMM42">
        <f t="shared" si="98"/>
        <v>0</v>
      </c>
      <c r="EMN42">
        <f t="shared" si="98"/>
        <v>0</v>
      </c>
      <c r="EMO42">
        <f t="shared" si="98"/>
        <v>0</v>
      </c>
      <c r="EMP42">
        <f t="shared" si="98"/>
        <v>0</v>
      </c>
      <c r="EMQ42">
        <f t="shared" si="98"/>
        <v>0</v>
      </c>
      <c r="EMR42">
        <f t="shared" si="98"/>
        <v>0</v>
      </c>
      <c r="EMS42">
        <f t="shared" si="98"/>
        <v>0</v>
      </c>
      <c r="EMT42">
        <f t="shared" si="98"/>
        <v>0</v>
      </c>
      <c r="EMU42">
        <f t="shared" si="98"/>
        <v>0</v>
      </c>
      <c r="EMV42">
        <f t="shared" si="98"/>
        <v>0</v>
      </c>
      <c r="EMW42">
        <f t="shared" si="98"/>
        <v>0</v>
      </c>
      <c r="EMX42">
        <f t="shared" si="98"/>
        <v>0</v>
      </c>
      <c r="EMY42">
        <f t="shared" si="98"/>
        <v>0</v>
      </c>
      <c r="EMZ42">
        <f t="shared" si="98"/>
        <v>0</v>
      </c>
      <c r="ENA42">
        <f t="shared" si="98"/>
        <v>0</v>
      </c>
      <c r="ENB42">
        <f t="shared" si="98"/>
        <v>0</v>
      </c>
      <c r="ENC42">
        <f t="shared" si="98"/>
        <v>0</v>
      </c>
      <c r="END42">
        <f t="shared" si="98"/>
        <v>0</v>
      </c>
      <c r="ENE42">
        <f t="shared" si="98"/>
        <v>0</v>
      </c>
      <c r="ENF42">
        <f t="shared" si="98"/>
        <v>0</v>
      </c>
      <c r="ENG42">
        <f t="shared" si="98"/>
        <v>0</v>
      </c>
      <c r="ENH42">
        <f t="shared" si="98"/>
        <v>0</v>
      </c>
      <c r="ENI42">
        <f t="shared" si="98"/>
        <v>0</v>
      </c>
      <c r="ENJ42">
        <f t="shared" si="98"/>
        <v>0</v>
      </c>
      <c r="ENK42">
        <f t="shared" si="98"/>
        <v>0</v>
      </c>
      <c r="ENL42">
        <f t="shared" si="98"/>
        <v>0</v>
      </c>
      <c r="ENM42">
        <f t="shared" si="98"/>
        <v>0</v>
      </c>
      <c r="ENN42">
        <f t="shared" si="98"/>
        <v>0</v>
      </c>
      <c r="ENO42">
        <f t="shared" si="98"/>
        <v>0</v>
      </c>
      <c r="ENP42">
        <f t="shared" si="98"/>
        <v>0</v>
      </c>
      <c r="ENQ42">
        <f t="shared" si="98"/>
        <v>0</v>
      </c>
      <c r="ENR42">
        <f t="shared" si="98"/>
        <v>0</v>
      </c>
      <c r="ENS42">
        <f t="shared" si="98"/>
        <v>0</v>
      </c>
      <c r="ENT42">
        <f t="shared" si="98"/>
        <v>0</v>
      </c>
      <c r="ENU42">
        <f t="shared" si="98"/>
        <v>0</v>
      </c>
      <c r="ENV42">
        <f t="shared" si="98"/>
        <v>0</v>
      </c>
      <c r="ENW42">
        <f t="shared" si="98"/>
        <v>0</v>
      </c>
      <c r="ENX42">
        <f t="shared" si="98"/>
        <v>0</v>
      </c>
      <c r="ENY42">
        <f t="shared" si="98"/>
        <v>0</v>
      </c>
      <c r="ENZ42">
        <f t="shared" si="98"/>
        <v>0</v>
      </c>
      <c r="EOA42">
        <f t="shared" si="98"/>
        <v>0</v>
      </c>
      <c r="EOB42">
        <f t="shared" si="98"/>
        <v>0</v>
      </c>
      <c r="EOC42">
        <f t="shared" si="98"/>
        <v>0</v>
      </c>
      <c r="EOD42">
        <f t="shared" ref="EOD42:EQO43" si="99">EOD41*1.6*1.2</f>
        <v>0</v>
      </c>
      <c r="EOE42">
        <f t="shared" si="99"/>
        <v>0</v>
      </c>
      <c r="EOF42">
        <f t="shared" si="99"/>
        <v>0</v>
      </c>
      <c r="EOG42">
        <f t="shared" si="99"/>
        <v>0</v>
      </c>
      <c r="EOH42">
        <f t="shared" si="99"/>
        <v>0</v>
      </c>
      <c r="EOI42">
        <f t="shared" si="99"/>
        <v>0</v>
      </c>
      <c r="EOJ42">
        <f t="shared" si="99"/>
        <v>0</v>
      </c>
      <c r="EOK42">
        <f t="shared" si="99"/>
        <v>0</v>
      </c>
      <c r="EOL42">
        <f t="shared" si="99"/>
        <v>0</v>
      </c>
      <c r="EOM42">
        <f t="shared" si="99"/>
        <v>0</v>
      </c>
      <c r="EON42">
        <f t="shared" si="99"/>
        <v>0</v>
      </c>
      <c r="EOO42">
        <f t="shared" si="99"/>
        <v>0</v>
      </c>
      <c r="EOP42">
        <f t="shared" si="99"/>
        <v>0</v>
      </c>
      <c r="EOQ42">
        <f t="shared" si="99"/>
        <v>0</v>
      </c>
      <c r="EOR42">
        <f t="shared" si="99"/>
        <v>0</v>
      </c>
      <c r="EOS42">
        <f t="shared" si="99"/>
        <v>0</v>
      </c>
      <c r="EOT42">
        <f t="shared" si="99"/>
        <v>0</v>
      </c>
      <c r="EOU42">
        <f t="shared" si="99"/>
        <v>0</v>
      </c>
      <c r="EOV42">
        <f t="shared" si="99"/>
        <v>0</v>
      </c>
      <c r="EOW42">
        <f t="shared" si="99"/>
        <v>0</v>
      </c>
      <c r="EOX42">
        <f t="shared" si="99"/>
        <v>0</v>
      </c>
      <c r="EOY42">
        <f t="shared" si="99"/>
        <v>0</v>
      </c>
      <c r="EOZ42">
        <f t="shared" si="99"/>
        <v>0</v>
      </c>
      <c r="EPA42">
        <f t="shared" si="99"/>
        <v>0</v>
      </c>
      <c r="EPB42">
        <f t="shared" si="99"/>
        <v>0</v>
      </c>
      <c r="EPC42">
        <f t="shared" si="99"/>
        <v>0</v>
      </c>
      <c r="EPD42">
        <f t="shared" si="99"/>
        <v>0</v>
      </c>
      <c r="EPE42">
        <f t="shared" si="99"/>
        <v>0</v>
      </c>
      <c r="EPF42">
        <f t="shared" si="99"/>
        <v>0</v>
      </c>
      <c r="EPG42">
        <f t="shared" si="99"/>
        <v>0</v>
      </c>
      <c r="EPH42">
        <f t="shared" si="99"/>
        <v>0</v>
      </c>
      <c r="EPI42">
        <f t="shared" si="99"/>
        <v>0</v>
      </c>
      <c r="EPJ42">
        <f t="shared" si="99"/>
        <v>0</v>
      </c>
      <c r="EPK42">
        <f t="shared" si="99"/>
        <v>0</v>
      </c>
      <c r="EPL42">
        <f t="shared" si="99"/>
        <v>0</v>
      </c>
      <c r="EPM42">
        <f t="shared" si="99"/>
        <v>0</v>
      </c>
      <c r="EPN42">
        <f t="shared" si="99"/>
        <v>0</v>
      </c>
      <c r="EPO42">
        <f t="shared" si="99"/>
        <v>0</v>
      </c>
      <c r="EPP42">
        <f t="shared" si="99"/>
        <v>0</v>
      </c>
      <c r="EPQ42">
        <f t="shared" si="99"/>
        <v>0</v>
      </c>
      <c r="EPR42">
        <f t="shared" si="99"/>
        <v>0</v>
      </c>
      <c r="EPS42">
        <f t="shared" si="99"/>
        <v>0</v>
      </c>
      <c r="EPT42">
        <f t="shared" si="99"/>
        <v>0</v>
      </c>
      <c r="EPU42">
        <f t="shared" si="99"/>
        <v>0</v>
      </c>
      <c r="EPV42">
        <f t="shared" si="99"/>
        <v>0</v>
      </c>
      <c r="EPW42">
        <f t="shared" si="99"/>
        <v>0</v>
      </c>
      <c r="EPX42">
        <f t="shared" si="99"/>
        <v>0</v>
      </c>
      <c r="EPY42">
        <f t="shared" si="99"/>
        <v>0</v>
      </c>
      <c r="EPZ42">
        <f t="shared" si="99"/>
        <v>0</v>
      </c>
      <c r="EQA42">
        <f t="shared" si="99"/>
        <v>0</v>
      </c>
      <c r="EQB42">
        <f t="shared" si="99"/>
        <v>0</v>
      </c>
      <c r="EQC42">
        <f t="shared" si="99"/>
        <v>0</v>
      </c>
      <c r="EQD42">
        <f t="shared" si="99"/>
        <v>0</v>
      </c>
      <c r="EQE42">
        <f t="shared" si="99"/>
        <v>0</v>
      </c>
      <c r="EQF42">
        <f t="shared" si="99"/>
        <v>0</v>
      </c>
      <c r="EQG42">
        <f t="shared" si="99"/>
        <v>0</v>
      </c>
      <c r="EQH42">
        <f t="shared" si="99"/>
        <v>0</v>
      </c>
      <c r="EQI42">
        <f t="shared" si="99"/>
        <v>0</v>
      </c>
      <c r="EQJ42">
        <f t="shared" si="99"/>
        <v>0</v>
      </c>
      <c r="EQK42">
        <f t="shared" si="99"/>
        <v>0</v>
      </c>
      <c r="EQL42">
        <f t="shared" si="99"/>
        <v>0</v>
      </c>
      <c r="EQM42">
        <f t="shared" si="99"/>
        <v>0</v>
      </c>
      <c r="EQN42">
        <f t="shared" si="99"/>
        <v>0</v>
      </c>
      <c r="EQO42">
        <f t="shared" si="99"/>
        <v>0</v>
      </c>
      <c r="EQP42">
        <f t="shared" ref="EQP42:ETA43" si="100">EQP41*1.6*1.2</f>
        <v>0</v>
      </c>
      <c r="EQQ42">
        <f t="shared" si="100"/>
        <v>0</v>
      </c>
      <c r="EQR42">
        <f t="shared" si="100"/>
        <v>0</v>
      </c>
      <c r="EQS42">
        <f t="shared" si="100"/>
        <v>0</v>
      </c>
      <c r="EQT42">
        <f t="shared" si="100"/>
        <v>0</v>
      </c>
      <c r="EQU42">
        <f t="shared" si="100"/>
        <v>0</v>
      </c>
      <c r="EQV42">
        <f t="shared" si="100"/>
        <v>0</v>
      </c>
      <c r="EQW42">
        <f t="shared" si="100"/>
        <v>0</v>
      </c>
      <c r="EQX42">
        <f t="shared" si="100"/>
        <v>0</v>
      </c>
      <c r="EQY42">
        <f t="shared" si="100"/>
        <v>0</v>
      </c>
      <c r="EQZ42">
        <f t="shared" si="100"/>
        <v>0</v>
      </c>
      <c r="ERA42">
        <f t="shared" si="100"/>
        <v>0</v>
      </c>
      <c r="ERB42">
        <f t="shared" si="100"/>
        <v>0</v>
      </c>
      <c r="ERC42">
        <f t="shared" si="100"/>
        <v>0</v>
      </c>
      <c r="ERD42">
        <f t="shared" si="100"/>
        <v>0</v>
      </c>
      <c r="ERE42">
        <f t="shared" si="100"/>
        <v>0</v>
      </c>
      <c r="ERF42">
        <f t="shared" si="100"/>
        <v>0</v>
      </c>
      <c r="ERG42">
        <f t="shared" si="100"/>
        <v>0</v>
      </c>
      <c r="ERH42">
        <f t="shared" si="100"/>
        <v>0</v>
      </c>
      <c r="ERI42">
        <f t="shared" si="100"/>
        <v>0</v>
      </c>
      <c r="ERJ42">
        <f t="shared" si="100"/>
        <v>0</v>
      </c>
      <c r="ERK42">
        <f t="shared" si="100"/>
        <v>0</v>
      </c>
      <c r="ERL42">
        <f t="shared" si="100"/>
        <v>0</v>
      </c>
      <c r="ERM42">
        <f t="shared" si="100"/>
        <v>0</v>
      </c>
      <c r="ERN42">
        <f t="shared" si="100"/>
        <v>0</v>
      </c>
      <c r="ERO42">
        <f t="shared" si="100"/>
        <v>0</v>
      </c>
      <c r="ERP42">
        <f t="shared" si="100"/>
        <v>0</v>
      </c>
      <c r="ERQ42">
        <f t="shared" si="100"/>
        <v>0</v>
      </c>
      <c r="ERR42">
        <f t="shared" si="100"/>
        <v>0</v>
      </c>
      <c r="ERS42">
        <f t="shared" si="100"/>
        <v>0</v>
      </c>
      <c r="ERT42">
        <f t="shared" si="100"/>
        <v>0</v>
      </c>
      <c r="ERU42">
        <f t="shared" si="100"/>
        <v>0</v>
      </c>
      <c r="ERV42">
        <f t="shared" si="100"/>
        <v>0</v>
      </c>
      <c r="ERW42">
        <f t="shared" si="100"/>
        <v>0</v>
      </c>
      <c r="ERX42">
        <f t="shared" si="100"/>
        <v>0</v>
      </c>
      <c r="ERY42">
        <f t="shared" si="100"/>
        <v>0</v>
      </c>
      <c r="ERZ42">
        <f t="shared" si="100"/>
        <v>0</v>
      </c>
      <c r="ESA42">
        <f t="shared" si="100"/>
        <v>0</v>
      </c>
      <c r="ESB42">
        <f t="shared" si="100"/>
        <v>0</v>
      </c>
      <c r="ESC42">
        <f t="shared" si="100"/>
        <v>0</v>
      </c>
      <c r="ESD42">
        <f t="shared" si="100"/>
        <v>0</v>
      </c>
      <c r="ESE42">
        <f t="shared" si="100"/>
        <v>0</v>
      </c>
      <c r="ESF42">
        <f t="shared" si="100"/>
        <v>0</v>
      </c>
      <c r="ESG42">
        <f t="shared" si="100"/>
        <v>0</v>
      </c>
      <c r="ESH42">
        <f t="shared" si="100"/>
        <v>0</v>
      </c>
      <c r="ESI42">
        <f t="shared" si="100"/>
        <v>0</v>
      </c>
      <c r="ESJ42">
        <f t="shared" si="100"/>
        <v>0</v>
      </c>
      <c r="ESK42">
        <f t="shared" si="100"/>
        <v>0</v>
      </c>
      <c r="ESL42">
        <f t="shared" si="100"/>
        <v>0</v>
      </c>
      <c r="ESM42">
        <f t="shared" si="100"/>
        <v>0</v>
      </c>
      <c r="ESN42">
        <f t="shared" si="100"/>
        <v>0</v>
      </c>
      <c r="ESO42">
        <f t="shared" si="100"/>
        <v>0</v>
      </c>
      <c r="ESP42">
        <f t="shared" si="100"/>
        <v>0</v>
      </c>
      <c r="ESQ42">
        <f t="shared" si="100"/>
        <v>0</v>
      </c>
      <c r="ESR42">
        <f t="shared" si="100"/>
        <v>0</v>
      </c>
      <c r="ESS42">
        <f t="shared" si="100"/>
        <v>0</v>
      </c>
      <c r="EST42">
        <f t="shared" si="100"/>
        <v>0</v>
      </c>
      <c r="ESU42">
        <f t="shared" si="100"/>
        <v>0</v>
      </c>
      <c r="ESV42">
        <f t="shared" si="100"/>
        <v>0</v>
      </c>
      <c r="ESW42">
        <f t="shared" si="100"/>
        <v>0</v>
      </c>
      <c r="ESX42">
        <f t="shared" si="100"/>
        <v>0</v>
      </c>
      <c r="ESY42">
        <f t="shared" si="100"/>
        <v>0</v>
      </c>
      <c r="ESZ42">
        <f t="shared" si="100"/>
        <v>0</v>
      </c>
      <c r="ETA42">
        <f t="shared" si="100"/>
        <v>0</v>
      </c>
      <c r="ETB42">
        <f t="shared" ref="ETB42:EVM43" si="101">ETB41*1.6*1.2</f>
        <v>0</v>
      </c>
      <c r="ETC42">
        <f t="shared" si="101"/>
        <v>0</v>
      </c>
      <c r="ETD42">
        <f t="shared" si="101"/>
        <v>0</v>
      </c>
      <c r="ETE42">
        <f t="shared" si="101"/>
        <v>0</v>
      </c>
      <c r="ETF42">
        <f t="shared" si="101"/>
        <v>0</v>
      </c>
      <c r="ETG42">
        <f t="shared" si="101"/>
        <v>0</v>
      </c>
      <c r="ETH42">
        <f t="shared" si="101"/>
        <v>0</v>
      </c>
      <c r="ETI42">
        <f t="shared" si="101"/>
        <v>0</v>
      </c>
      <c r="ETJ42">
        <f t="shared" si="101"/>
        <v>0</v>
      </c>
      <c r="ETK42">
        <f t="shared" si="101"/>
        <v>0</v>
      </c>
      <c r="ETL42">
        <f t="shared" si="101"/>
        <v>0</v>
      </c>
      <c r="ETM42">
        <f t="shared" si="101"/>
        <v>0</v>
      </c>
      <c r="ETN42">
        <f t="shared" si="101"/>
        <v>0</v>
      </c>
      <c r="ETO42">
        <f t="shared" si="101"/>
        <v>0</v>
      </c>
      <c r="ETP42">
        <f t="shared" si="101"/>
        <v>0</v>
      </c>
      <c r="ETQ42">
        <f t="shared" si="101"/>
        <v>0</v>
      </c>
      <c r="ETR42">
        <f t="shared" si="101"/>
        <v>0</v>
      </c>
      <c r="ETS42">
        <f t="shared" si="101"/>
        <v>0</v>
      </c>
      <c r="ETT42">
        <f t="shared" si="101"/>
        <v>0</v>
      </c>
      <c r="ETU42">
        <f t="shared" si="101"/>
        <v>0</v>
      </c>
      <c r="ETV42">
        <f t="shared" si="101"/>
        <v>0</v>
      </c>
      <c r="ETW42">
        <f t="shared" si="101"/>
        <v>0</v>
      </c>
      <c r="ETX42">
        <f t="shared" si="101"/>
        <v>0</v>
      </c>
      <c r="ETY42">
        <f t="shared" si="101"/>
        <v>0</v>
      </c>
      <c r="ETZ42">
        <f t="shared" si="101"/>
        <v>0</v>
      </c>
      <c r="EUA42">
        <f t="shared" si="101"/>
        <v>0</v>
      </c>
      <c r="EUB42">
        <f t="shared" si="101"/>
        <v>0</v>
      </c>
      <c r="EUC42">
        <f t="shared" si="101"/>
        <v>0</v>
      </c>
      <c r="EUD42">
        <f t="shared" si="101"/>
        <v>0</v>
      </c>
      <c r="EUE42">
        <f t="shared" si="101"/>
        <v>0</v>
      </c>
      <c r="EUF42">
        <f t="shared" si="101"/>
        <v>0</v>
      </c>
      <c r="EUG42">
        <f t="shared" si="101"/>
        <v>0</v>
      </c>
      <c r="EUH42">
        <f t="shared" si="101"/>
        <v>0</v>
      </c>
      <c r="EUI42">
        <f t="shared" si="101"/>
        <v>0</v>
      </c>
      <c r="EUJ42">
        <f t="shared" si="101"/>
        <v>0</v>
      </c>
      <c r="EUK42">
        <f t="shared" si="101"/>
        <v>0</v>
      </c>
      <c r="EUL42">
        <f t="shared" si="101"/>
        <v>0</v>
      </c>
      <c r="EUM42">
        <f t="shared" si="101"/>
        <v>0</v>
      </c>
      <c r="EUN42">
        <f t="shared" si="101"/>
        <v>0</v>
      </c>
      <c r="EUO42">
        <f t="shared" si="101"/>
        <v>0</v>
      </c>
      <c r="EUP42">
        <f t="shared" si="101"/>
        <v>0</v>
      </c>
      <c r="EUQ42">
        <f t="shared" si="101"/>
        <v>0</v>
      </c>
      <c r="EUR42">
        <f t="shared" si="101"/>
        <v>0</v>
      </c>
      <c r="EUS42">
        <f t="shared" si="101"/>
        <v>0</v>
      </c>
      <c r="EUT42">
        <f t="shared" si="101"/>
        <v>0</v>
      </c>
      <c r="EUU42">
        <f t="shared" si="101"/>
        <v>0</v>
      </c>
      <c r="EUV42">
        <f t="shared" si="101"/>
        <v>0</v>
      </c>
      <c r="EUW42">
        <f t="shared" si="101"/>
        <v>0</v>
      </c>
      <c r="EUX42">
        <f t="shared" si="101"/>
        <v>0</v>
      </c>
      <c r="EUY42">
        <f t="shared" si="101"/>
        <v>0</v>
      </c>
      <c r="EUZ42">
        <f t="shared" si="101"/>
        <v>0</v>
      </c>
      <c r="EVA42">
        <f t="shared" si="101"/>
        <v>0</v>
      </c>
      <c r="EVB42">
        <f t="shared" si="101"/>
        <v>0</v>
      </c>
      <c r="EVC42">
        <f t="shared" si="101"/>
        <v>0</v>
      </c>
      <c r="EVD42">
        <f t="shared" si="101"/>
        <v>0</v>
      </c>
      <c r="EVE42">
        <f t="shared" si="101"/>
        <v>0</v>
      </c>
      <c r="EVF42">
        <f t="shared" si="101"/>
        <v>0</v>
      </c>
      <c r="EVG42">
        <f t="shared" si="101"/>
        <v>0</v>
      </c>
      <c r="EVH42">
        <f t="shared" si="101"/>
        <v>0</v>
      </c>
      <c r="EVI42">
        <f t="shared" si="101"/>
        <v>0</v>
      </c>
      <c r="EVJ42">
        <f t="shared" si="101"/>
        <v>0</v>
      </c>
      <c r="EVK42">
        <f t="shared" si="101"/>
        <v>0</v>
      </c>
      <c r="EVL42">
        <f t="shared" si="101"/>
        <v>0</v>
      </c>
      <c r="EVM42">
        <f t="shared" si="101"/>
        <v>0</v>
      </c>
      <c r="EVN42">
        <f t="shared" ref="EVN42:EXY43" si="102">EVN41*1.6*1.2</f>
        <v>0</v>
      </c>
      <c r="EVO42">
        <f t="shared" si="102"/>
        <v>0</v>
      </c>
      <c r="EVP42">
        <f t="shared" si="102"/>
        <v>0</v>
      </c>
      <c r="EVQ42">
        <f t="shared" si="102"/>
        <v>0</v>
      </c>
      <c r="EVR42">
        <f t="shared" si="102"/>
        <v>0</v>
      </c>
      <c r="EVS42">
        <f t="shared" si="102"/>
        <v>0</v>
      </c>
      <c r="EVT42">
        <f t="shared" si="102"/>
        <v>0</v>
      </c>
      <c r="EVU42">
        <f t="shared" si="102"/>
        <v>0</v>
      </c>
      <c r="EVV42">
        <f t="shared" si="102"/>
        <v>0</v>
      </c>
      <c r="EVW42">
        <f t="shared" si="102"/>
        <v>0</v>
      </c>
      <c r="EVX42">
        <f t="shared" si="102"/>
        <v>0</v>
      </c>
      <c r="EVY42">
        <f t="shared" si="102"/>
        <v>0</v>
      </c>
      <c r="EVZ42">
        <f t="shared" si="102"/>
        <v>0</v>
      </c>
      <c r="EWA42">
        <f t="shared" si="102"/>
        <v>0</v>
      </c>
      <c r="EWB42">
        <f t="shared" si="102"/>
        <v>0</v>
      </c>
      <c r="EWC42">
        <f t="shared" si="102"/>
        <v>0</v>
      </c>
      <c r="EWD42">
        <f t="shared" si="102"/>
        <v>0</v>
      </c>
      <c r="EWE42">
        <f t="shared" si="102"/>
        <v>0</v>
      </c>
      <c r="EWF42">
        <f t="shared" si="102"/>
        <v>0</v>
      </c>
      <c r="EWG42">
        <f t="shared" si="102"/>
        <v>0</v>
      </c>
      <c r="EWH42">
        <f t="shared" si="102"/>
        <v>0</v>
      </c>
      <c r="EWI42">
        <f t="shared" si="102"/>
        <v>0</v>
      </c>
      <c r="EWJ42">
        <f t="shared" si="102"/>
        <v>0</v>
      </c>
      <c r="EWK42">
        <f t="shared" si="102"/>
        <v>0</v>
      </c>
      <c r="EWL42">
        <f t="shared" si="102"/>
        <v>0</v>
      </c>
      <c r="EWM42">
        <f t="shared" si="102"/>
        <v>0</v>
      </c>
      <c r="EWN42">
        <f t="shared" si="102"/>
        <v>0</v>
      </c>
      <c r="EWO42">
        <f t="shared" si="102"/>
        <v>0</v>
      </c>
      <c r="EWP42">
        <f t="shared" si="102"/>
        <v>0</v>
      </c>
      <c r="EWQ42">
        <f t="shared" si="102"/>
        <v>0</v>
      </c>
      <c r="EWR42">
        <f t="shared" si="102"/>
        <v>0</v>
      </c>
      <c r="EWS42">
        <f t="shared" si="102"/>
        <v>0</v>
      </c>
      <c r="EWT42">
        <f t="shared" si="102"/>
        <v>0</v>
      </c>
      <c r="EWU42">
        <f t="shared" si="102"/>
        <v>0</v>
      </c>
      <c r="EWV42">
        <f t="shared" si="102"/>
        <v>0</v>
      </c>
      <c r="EWW42">
        <f t="shared" si="102"/>
        <v>0</v>
      </c>
      <c r="EWX42">
        <f t="shared" si="102"/>
        <v>0</v>
      </c>
      <c r="EWY42">
        <f t="shared" si="102"/>
        <v>0</v>
      </c>
      <c r="EWZ42">
        <f t="shared" si="102"/>
        <v>0</v>
      </c>
      <c r="EXA42">
        <f t="shared" si="102"/>
        <v>0</v>
      </c>
      <c r="EXB42">
        <f t="shared" si="102"/>
        <v>0</v>
      </c>
      <c r="EXC42">
        <f t="shared" si="102"/>
        <v>0</v>
      </c>
      <c r="EXD42">
        <f t="shared" si="102"/>
        <v>0</v>
      </c>
      <c r="EXE42">
        <f t="shared" si="102"/>
        <v>0</v>
      </c>
      <c r="EXF42">
        <f t="shared" si="102"/>
        <v>0</v>
      </c>
      <c r="EXG42">
        <f t="shared" si="102"/>
        <v>0</v>
      </c>
      <c r="EXH42">
        <f t="shared" si="102"/>
        <v>0</v>
      </c>
      <c r="EXI42">
        <f t="shared" si="102"/>
        <v>0</v>
      </c>
      <c r="EXJ42">
        <f t="shared" si="102"/>
        <v>0</v>
      </c>
      <c r="EXK42">
        <f t="shared" si="102"/>
        <v>0</v>
      </c>
      <c r="EXL42">
        <f t="shared" si="102"/>
        <v>0</v>
      </c>
      <c r="EXM42">
        <f t="shared" si="102"/>
        <v>0</v>
      </c>
      <c r="EXN42">
        <f t="shared" si="102"/>
        <v>0</v>
      </c>
      <c r="EXO42">
        <f t="shared" si="102"/>
        <v>0</v>
      </c>
      <c r="EXP42">
        <f t="shared" si="102"/>
        <v>0</v>
      </c>
      <c r="EXQ42">
        <f t="shared" si="102"/>
        <v>0</v>
      </c>
      <c r="EXR42">
        <f t="shared" si="102"/>
        <v>0</v>
      </c>
      <c r="EXS42">
        <f t="shared" si="102"/>
        <v>0</v>
      </c>
      <c r="EXT42">
        <f t="shared" si="102"/>
        <v>0</v>
      </c>
      <c r="EXU42">
        <f t="shared" si="102"/>
        <v>0</v>
      </c>
      <c r="EXV42">
        <f t="shared" si="102"/>
        <v>0</v>
      </c>
      <c r="EXW42">
        <f t="shared" si="102"/>
        <v>0</v>
      </c>
      <c r="EXX42">
        <f t="shared" si="102"/>
        <v>0</v>
      </c>
      <c r="EXY42">
        <f t="shared" si="102"/>
        <v>0</v>
      </c>
      <c r="EXZ42">
        <f t="shared" ref="EXZ42:FAK43" si="103">EXZ41*1.6*1.2</f>
        <v>0</v>
      </c>
      <c r="EYA42">
        <f t="shared" si="103"/>
        <v>0</v>
      </c>
      <c r="EYB42">
        <f t="shared" si="103"/>
        <v>0</v>
      </c>
      <c r="EYC42">
        <f t="shared" si="103"/>
        <v>0</v>
      </c>
      <c r="EYD42">
        <f t="shared" si="103"/>
        <v>0</v>
      </c>
      <c r="EYE42">
        <f t="shared" si="103"/>
        <v>0</v>
      </c>
      <c r="EYF42">
        <f t="shared" si="103"/>
        <v>0</v>
      </c>
      <c r="EYG42">
        <f t="shared" si="103"/>
        <v>0</v>
      </c>
      <c r="EYH42">
        <f t="shared" si="103"/>
        <v>0</v>
      </c>
      <c r="EYI42">
        <f t="shared" si="103"/>
        <v>0</v>
      </c>
      <c r="EYJ42">
        <f t="shared" si="103"/>
        <v>0</v>
      </c>
      <c r="EYK42">
        <f t="shared" si="103"/>
        <v>0</v>
      </c>
      <c r="EYL42">
        <f t="shared" si="103"/>
        <v>0</v>
      </c>
      <c r="EYM42">
        <f t="shared" si="103"/>
        <v>0</v>
      </c>
      <c r="EYN42">
        <f t="shared" si="103"/>
        <v>0</v>
      </c>
      <c r="EYO42">
        <f t="shared" si="103"/>
        <v>0</v>
      </c>
      <c r="EYP42">
        <f t="shared" si="103"/>
        <v>0</v>
      </c>
      <c r="EYQ42">
        <f t="shared" si="103"/>
        <v>0</v>
      </c>
      <c r="EYR42">
        <f t="shared" si="103"/>
        <v>0</v>
      </c>
      <c r="EYS42">
        <f t="shared" si="103"/>
        <v>0</v>
      </c>
      <c r="EYT42">
        <f t="shared" si="103"/>
        <v>0</v>
      </c>
      <c r="EYU42">
        <f t="shared" si="103"/>
        <v>0</v>
      </c>
      <c r="EYV42">
        <f t="shared" si="103"/>
        <v>0</v>
      </c>
      <c r="EYW42">
        <f t="shared" si="103"/>
        <v>0</v>
      </c>
      <c r="EYX42">
        <f t="shared" si="103"/>
        <v>0</v>
      </c>
      <c r="EYY42">
        <f t="shared" si="103"/>
        <v>0</v>
      </c>
      <c r="EYZ42">
        <f t="shared" si="103"/>
        <v>0</v>
      </c>
      <c r="EZA42">
        <f t="shared" si="103"/>
        <v>0</v>
      </c>
      <c r="EZB42">
        <f t="shared" si="103"/>
        <v>0</v>
      </c>
      <c r="EZC42">
        <f t="shared" si="103"/>
        <v>0</v>
      </c>
      <c r="EZD42">
        <f t="shared" si="103"/>
        <v>0</v>
      </c>
      <c r="EZE42">
        <f t="shared" si="103"/>
        <v>0</v>
      </c>
      <c r="EZF42">
        <f t="shared" si="103"/>
        <v>0</v>
      </c>
      <c r="EZG42">
        <f t="shared" si="103"/>
        <v>0</v>
      </c>
      <c r="EZH42">
        <f t="shared" si="103"/>
        <v>0</v>
      </c>
      <c r="EZI42">
        <f t="shared" si="103"/>
        <v>0</v>
      </c>
      <c r="EZJ42">
        <f t="shared" si="103"/>
        <v>0</v>
      </c>
      <c r="EZK42">
        <f t="shared" si="103"/>
        <v>0</v>
      </c>
      <c r="EZL42">
        <f t="shared" si="103"/>
        <v>0</v>
      </c>
      <c r="EZM42">
        <f t="shared" si="103"/>
        <v>0</v>
      </c>
      <c r="EZN42">
        <f t="shared" si="103"/>
        <v>0</v>
      </c>
      <c r="EZO42">
        <f t="shared" si="103"/>
        <v>0</v>
      </c>
      <c r="EZP42">
        <f t="shared" si="103"/>
        <v>0</v>
      </c>
      <c r="EZQ42">
        <f t="shared" si="103"/>
        <v>0</v>
      </c>
      <c r="EZR42">
        <f t="shared" si="103"/>
        <v>0</v>
      </c>
      <c r="EZS42">
        <f t="shared" si="103"/>
        <v>0</v>
      </c>
      <c r="EZT42">
        <f t="shared" si="103"/>
        <v>0</v>
      </c>
      <c r="EZU42">
        <f t="shared" si="103"/>
        <v>0</v>
      </c>
      <c r="EZV42">
        <f t="shared" si="103"/>
        <v>0</v>
      </c>
      <c r="EZW42">
        <f t="shared" si="103"/>
        <v>0</v>
      </c>
      <c r="EZX42">
        <f t="shared" si="103"/>
        <v>0</v>
      </c>
      <c r="EZY42">
        <f t="shared" si="103"/>
        <v>0</v>
      </c>
      <c r="EZZ42">
        <f t="shared" si="103"/>
        <v>0</v>
      </c>
      <c r="FAA42">
        <f t="shared" si="103"/>
        <v>0</v>
      </c>
      <c r="FAB42">
        <f t="shared" si="103"/>
        <v>0</v>
      </c>
      <c r="FAC42">
        <f t="shared" si="103"/>
        <v>0</v>
      </c>
      <c r="FAD42">
        <f t="shared" si="103"/>
        <v>0</v>
      </c>
      <c r="FAE42">
        <f t="shared" si="103"/>
        <v>0</v>
      </c>
      <c r="FAF42">
        <f t="shared" si="103"/>
        <v>0</v>
      </c>
      <c r="FAG42">
        <f t="shared" si="103"/>
        <v>0</v>
      </c>
      <c r="FAH42">
        <f t="shared" si="103"/>
        <v>0</v>
      </c>
      <c r="FAI42">
        <f t="shared" si="103"/>
        <v>0</v>
      </c>
      <c r="FAJ42">
        <f t="shared" si="103"/>
        <v>0</v>
      </c>
      <c r="FAK42">
        <f t="shared" si="103"/>
        <v>0</v>
      </c>
      <c r="FAL42">
        <f t="shared" ref="FAL42:FCW43" si="104">FAL41*1.6*1.2</f>
        <v>0</v>
      </c>
      <c r="FAM42">
        <f t="shared" si="104"/>
        <v>0</v>
      </c>
      <c r="FAN42">
        <f t="shared" si="104"/>
        <v>0</v>
      </c>
      <c r="FAO42">
        <f t="shared" si="104"/>
        <v>0</v>
      </c>
      <c r="FAP42">
        <f t="shared" si="104"/>
        <v>0</v>
      </c>
      <c r="FAQ42">
        <f t="shared" si="104"/>
        <v>0</v>
      </c>
      <c r="FAR42">
        <f t="shared" si="104"/>
        <v>0</v>
      </c>
      <c r="FAS42">
        <f t="shared" si="104"/>
        <v>0</v>
      </c>
      <c r="FAT42">
        <f t="shared" si="104"/>
        <v>0</v>
      </c>
      <c r="FAU42">
        <f t="shared" si="104"/>
        <v>0</v>
      </c>
      <c r="FAV42">
        <f t="shared" si="104"/>
        <v>0</v>
      </c>
      <c r="FAW42">
        <f t="shared" si="104"/>
        <v>0</v>
      </c>
      <c r="FAX42">
        <f t="shared" si="104"/>
        <v>0</v>
      </c>
      <c r="FAY42">
        <f t="shared" si="104"/>
        <v>0</v>
      </c>
      <c r="FAZ42">
        <f t="shared" si="104"/>
        <v>0</v>
      </c>
      <c r="FBA42">
        <f t="shared" si="104"/>
        <v>0</v>
      </c>
      <c r="FBB42">
        <f t="shared" si="104"/>
        <v>0</v>
      </c>
      <c r="FBC42">
        <f t="shared" si="104"/>
        <v>0</v>
      </c>
      <c r="FBD42">
        <f t="shared" si="104"/>
        <v>0</v>
      </c>
      <c r="FBE42">
        <f t="shared" si="104"/>
        <v>0</v>
      </c>
      <c r="FBF42">
        <f t="shared" si="104"/>
        <v>0</v>
      </c>
      <c r="FBG42">
        <f t="shared" si="104"/>
        <v>0</v>
      </c>
      <c r="FBH42">
        <f t="shared" si="104"/>
        <v>0</v>
      </c>
      <c r="FBI42">
        <f t="shared" si="104"/>
        <v>0</v>
      </c>
      <c r="FBJ42">
        <f t="shared" si="104"/>
        <v>0</v>
      </c>
      <c r="FBK42">
        <f t="shared" si="104"/>
        <v>0</v>
      </c>
      <c r="FBL42">
        <f t="shared" si="104"/>
        <v>0</v>
      </c>
      <c r="FBM42">
        <f t="shared" si="104"/>
        <v>0</v>
      </c>
      <c r="FBN42">
        <f t="shared" si="104"/>
        <v>0</v>
      </c>
      <c r="FBO42">
        <f t="shared" si="104"/>
        <v>0</v>
      </c>
      <c r="FBP42">
        <f t="shared" si="104"/>
        <v>0</v>
      </c>
      <c r="FBQ42">
        <f t="shared" si="104"/>
        <v>0</v>
      </c>
      <c r="FBR42">
        <f t="shared" si="104"/>
        <v>0</v>
      </c>
      <c r="FBS42">
        <f t="shared" si="104"/>
        <v>0</v>
      </c>
      <c r="FBT42">
        <f t="shared" si="104"/>
        <v>0</v>
      </c>
      <c r="FBU42">
        <f t="shared" si="104"/>
        <v>0</v>
      </c>
      <c r="FBV42">
        <f t="shared" si="104"/>
        <v>0</v>
      </c>
      <c r="FBW42">
        <f t="shared" si="104"/>
        <v>0</v>
      </c>
      <c r="FBX42">
        <f t="shared" si="104"/>
        <v>0</v>
      </c>
      <c r="FBY42">
        <f t="shared" si="104"/>
        <v>0</v>
      </c>
      <c r="FBZ42">
        <f t="shared" si="104"/>
        <v>0</v>
      </c>
      <c r="FCA42">
        <f t="shared" si="104"/>
        <v>0</v>
      </c>
      <c r="FCB42">
        <f t="shared" si="104"/>
        <v>0</v>
      </c>
      <c r="FCC42">
        <f t="shared" si="104"/>
        <v>0</v>
      </c>
      <c r="FCD42">
        <f t="shared" si="104"/>
        <v>0</v>
      </c>
      <c r="FCE42">
        <f t="shared" si="104"/>
        <v>0</v>
      </c>
      <c r="FCF42">
        <f t="shared" si="104"/>
        <v>0</v>
      </c>
      <c r="FCG42">
        <f t="shared" si="104"/>
        <v>0</v>
      </c>
      <c r="FCH42">
        <f t="shared" si="104"/>
        <v>0</v>
      </c>
      <c r="FCI42">
        <f t="shared" si="104"/>
        <v>0</v>
      </c>
      <c r="FCJ42">
        <f t="shared" si="104"/>
        <v>0</v>
      </c>
      <c r="FCK42">
        <f t="shared" si="104"/>
        <v>0</v>
      </c>
      <c r="FCL42">
        <f t="shared" si="104"/>
        <v>0</v>
      </c>
      <c r="FCM42">
        <f t="shared" si="104"/>
        <v>0</v>
      </c>
      <c r="FCN42">
        <f t="shared" si="104"/>
        <v>0</v>
      </c>
      <c r="FCO42">
        <f t="shared" si="104"/>
        <v>0</v>
      </c>
      <c r="FCP42">
        <f t="shared" si="104"/>
        <v>0</v>
      </c>
      <c r="FCQ42">
        <f t="shared" si="104"/>
        <v>0</v>
      </c>
      <c r="FCR42">
        <f t="shared" si="104"/>
        <v>0</v>
      </c>
      <c r="FCS42">
        <f t="shared" si="104"/>
        <v>0</v>
      </c>
      <c r="FCT42">
        <f t="shared" si="104"/>
        <v>0</v>
      </c>
      <c r="FCU42">
        <f t="shared" si="104"/>
        <v>0</v>
      </c>
      <c r="FCV42">
        <f t="shared" si="104"/>
        <v>0</v>
      </c>
      <c r="FCW42">
        <f t="shared" si="104"/>
        <v>0</v>
      </c>
      <c r="FCX42">
        <f t="shared" ref="FCX42:FFI43" si="105">FCX41*1.6*1.2</f>
        <v>0</v>
      </c>
      <c r="FCY42">
        <f t="shared" si="105"/>
        <v>0</v>
      </c>
      <c r="FCZ42">
        <f t="shared" si="105"/>
        <v>0</v>
      </c>
      <c r="FDA42">
        <f t="shared" si="105"/>
        <v>0</v>
      </c>
      <c r="FDB42">
        <f t="shared" si="105"/>
        <v>0</v>
      </c>
      <c r="FDC42">
        <f t="shared" si="105"/>
        <v>0</v>
      </c>
      <c r="FDD42">
        <f t="shared" si="105"/>
        <v>0</v>
      </c>
      <c r="FDE42">
        <f t="shared" si="105"/>
        <v>0</v>
      </c>
      <c r="FDF42">
        <f t="shared" si="105"/>
        <v>0</v>
      </c>
      <c r="FDG42">
        <f t="shared" si="105"/>
        <v>0</v>
      </c>
      <c r="FDH42">
        <f t="shared" si="105"/>
        <v>0</v>
      </c>
      <c r="FDI42">
        <f t="shared" si="105"/>
        <v>0</v>
      </c>
      <c r="FDJ42">
        <f t="shared" si="105"/>
        <v>0</v>
      </c>
      <c r="FDK42">
        <f t="shared" si="105"/>
        <v>0</v>
      </c>
      <c r="FDL42">
        <f t="shared" si="105"/>
        <v>0</v>
      </c>
      <c r="FDM42">
        <f t="shared" si="105"/>
        <v>0</v>
      </c>
      <c r="FDN42">
        <f t="shared" si="105"/>
        <v>0</v>
      </c>
      <c r="FDO42">
        <f t="shared" si="105"/>
        <v>0</v>
      </c>
      <c r="FDP42">
        <f t="shared" si="105"/>
        <v>0</v>
      </c>
      <c r="FDQ42">
        <f t="shared" si="105"/>
        <v>0</v>
      </c>
      <c r="FDR42">
        <f t="shared" si="105"/>
        <v>0</v>
      </c>
      <c r="FDS42">
        <f t="shared" si="105"/>
        <v>0</v>
      </c>
      <c r="FDT42">
        <f t="shared" si="105"/>
        <v>0</v>
      </c>
      <c r="FDU42">
        <f t="shared" si="105"/>
        <v>0</v>
      </c>
      <c r="FDV42">
        <f t="shared" si="105"/>
        <v>0</v>
      </c>
      <c r="FDW42">
        <f t="shared" si="105"/>
        <v>0</v>
      </c>
      <c r="FDX42">
        <f t="shared" si="105"/>
        <v>0</v>
      </c>
      <c r="FDY42">
        <f t="shared" si="105"/>
        <v>0</v>
      </c>
      <c r="FDZ42">
        <f t="shared" si="105"/>
        <v>0</v>
      </c>
      <c r="FEA42">
        <f t="shared" si="105"/>
        <v>0</v>
      </c>
      <c r="FEB42">
        <f t="shared" si="105"/>
        <v>0</v>
      </c>
      <c r="FEC42">
        <f t="shared" si="105"/>
        <v>0</v>
      </c>
      <c r="FED42">
        <f t="shared" si="105"/>
        <v>0</v>
      </c>
      <c r="FEE42">
        <f t="shared" si="105"/>
        <v>0</v>
      </c>
      <c r="FEF42">
        <f t="shared" si="105"/>
        <v>0</v>
      </c>
      <c r="FEG42">
        <f t="shared" si="105"/>
        <v>0</v>
      </c>
      <c r="FEH42">
        <f t="shared" si="105"/>
        <v>0</v>
      </c>
      <c r="FEI42">
        <f t="shared" si="105"/>
        <v>0</v>
      </c>
      <c r="FEJ42">
        <f t="shared" si="105"/>
        <v>0</v>
      </c>
      <c r="FEK42">
        <f t="shared" si="105"/>
        <v>0</v>
      </c>
      <c r="FEL42">
        <f t="shared" si="105"/>
        <v>0</v>
      </c>
      <c r="FEM42">
        <f t="shared" si="105"/>
        <v>0</v>
      </c>
      <c r="FEN42">
        <f t="shared" si="105"/>
        <v>0</v>
      </c>
      <c r="FEO42">
        <f t="shared" si="105"/>
        <v>0</v>
      </c>
      <c r="FEP42">
        <f t="shared" si="105"/>
        <v>0</v>
      </c>
      <c r="FEQ42">
        <f t="shared" si="105"/>
        <v>0</v>
      </c>
      <c r="FER42">
        <f t="shared" si="105"/>
        <v>0</v>
      </c>
      <c r="FES42">
        <f t="shared" si="105"/>
        <v>0</v>
      </c>
      <c r="FET42">
        <f t="shared" si="105"/>
        <v>0</v>
      </c>
      <c r="FEU42">
        <f t="shared" si="105"/>
        <v>0</v>
      </c>
      <c r="FEV42">
        <f t="shared" si="105"/>
        <v>0</v>
      </c>
      <c r="FEW42">
        <f t="shared" si="105"/>
        <v>0</v>
      </c>
      <c r="FEX42">
        <f t="shared" si="105"/>
        <v>0</v>
      </c>
      <c r="FEY42">
        <f t="shared" si="105"/>
        <v>0</v>
      </c>
      <c r="FEZ42">
        <f t="shared" si="105"/>
        <v>0</v>
      </c>
      <c r="FFA42">
        <f t="shared" si="105"/>
        <v>0</v>
      </c>
      <c r="FFB42">
        <f t="shared" si="105"/>
        <v>0</v>
      </c>
      <c r="FFC42">
        <f t="shared" si="105"/>
        <v>0</v>
      </c>
      <c r="FFD42">
        <f t="shared" si="105"/>
        <v>0</v>
      </c>
      <c r="FFE42">
        <f t="shared" si="105"/>
        <v>0</v>
      </c>
      <c r="FFF42">
        <f t="shared" si="105"/>
        <v>0</v>
      </c>
      <c r="FFG42">
        <f t="shared" si="105"/>
        <v>0</v>
      </c>
      <c r="FFH42">
        <f t="shared" si="105"/>
        <v>0</v>
      </c>
      <c r="FFI42">
        <f t="shared" si="105"/>
        <v>0</v>
      </c>
      <c r="FFJ42">
        <f t="shared" ref="FFJ42:FHU43" si="106">FFJ41*1.6*1.2</f>
        <v>0</v>
      </c>
      <c r="FFK42">
        <f t="shared" si="106"/>
        <v>0</v>
      </c>
      <c r="FFL42">
        <f t="shared" si="106"/>
        <v>0</v>
      </c>
      <c r="FFM42">
        <f t="shared" si="106"/>
        <v>0</v>
      </c>
      <c r="FFN42">
        <f t="shared" si="106"/>
        <v>0</v>
      </c>
      <c r="FFO42">
        <f t="shared" si="106"/>
        <v>0</v>
      </c>
      <c r="FFP42">
        <f t="shared" si="106"/>
        <v>0</v>
      </c>
      <c r="FFQ42">
        <f t="shared" si="106"/>
        <v>0</v>
      </c>
      <c r="FFR42">
        <f t="shared" si="106"/>
        <v>0</v>
      </c>
      <c r="FFS42">
        <f t="shared" si="106"/>
        <v>0</v>
      </c>
      <c r="FFT42">
        <f t="shared" si="106"/>
        <v>0</v>
      </c>
      <c r="FFU42">
        <f t="shared" si="106"/>
        <v>0</v>
      </c>
      <c r="FFV42">
        <f t="shared" si="106"/>
        <v>0</v>
      </c>
      <c r="FFW42">
        <f t="shared" si="106"/>
        <v>0</v>
      </c>
      <c r="FFX42">
        <f t="shared" si="106"/>
        <v>0</v>
      </c>
      <c r="FFY42">
        <f t="shared" si="106"/>
        <v>0</v>
      </c>
      <c r="FFZ42">
        <f t="shared" si="106"/>
        <v>0</v>
      </c>
      <c r="FGA42">
        <f t="shared" si="106"/>
        <v>0</v>
      </c>
      <c r="FGB42">
        <f t="shared" si="106"/>
        <v>0</v>
      </c>
      <c r="FGC42">
        <f t="shared" si="106"/>
        <v>0</v>
      </c>
      <c r="FGD42">
        <f t="shared" si="106"/>
        <v>0</v>
      </c>
      <c r="FGE42">
        <f t="shared" si="106"/>
        <v>0</v>
      </c>
      <c r="FGF42">
        <f t="shared" si="106"/>
        <v>0</v>
      </c>
      <c r="FGG42">
        <f t="shared" si="106"/>
        <v>0</v>
      </c>
      <c r="FGH42">
        <f t="shared" si="106"/>
        <v>0</v>
      </c>
      <c r="FGI42">
        <f t="shared" si="106"/>
        <v>0</v>
      </c>
      <c r="FGJ42">
        <f t="shared" si="106"/>
        <v>0</v>
      </c>
      <c r="FGK42">
        <f t="shared" si="106"/>
        <v>0</v>
      </c>
      <c r="FGL42">
        <f t="shared" si="106"/>
        <v>0</v>
      </c>
      <c r="FGM42">
        <f t="shared" si="106"/>
        <v>0</v>
      </c>
      <c r="FGN42">
        <f t="shared" si="106"/>
        <v>0</v>
      </c>
      <c r="FGO42">
        <f t="shared" si="106"/>
        <v>0</v>
      </c>
      <c r="FGP42">
        <f t="shared" si="106"/>
        <v>0</v>
      </c>
      <c r="FGQ42">
        <f t="shared" si="106"/>
        <v>0</v>
      </c>
      <c r="FGR42">
        <f t="shared" si="106"/>
        <v>0</v>
      </c>
      <c r="FGS42">
        <f t="shared" si="106"/>
        <v>0</v>
      </c>
      <c r="FGT42">
        <f t="shared" si="106"/>
        <v>0</v>
      </c>
      <c r="FGU42">
        <f t="shared" si="106"/>
        <v>0</v>
      </c>
      <c r="FGV42">
        <f t="shared" si="106"/>
        <v>0</v>
      </c>
      <c r="FGW42">
        <f t="shared" si="106"/>
        <v>0</v>
      </c>
      <c r="FGX42">
        <f t="shared" si="106"/>
        <v>0</v>
      </c>
      <c r="FGY42">
        <f t="shared" si="106"/>
        <v>0</v>
      </c>
      <c r="FGZ42">
        <f t="shared" si="106"/>
        <v>0</v>
      </c>
      <c r="FHA42">
        <f t="shared" si="106"/>
        <v>0</v>
      </c>
      <c r="FHB42">
        <f t="shared" si="106"/>
        <v>0</v>
      </c>
      <c r="FHC42">
        <f t="shared" si="106"/>
        <v>0</v>
      </c>
      <c r="FHD42">
        <f t="shared" si="106"/>
        <v>0</v>
      </c>
      <c r="FHE42">
        <f t="shared" si="106"/>
        <v>0</v>
      </c>
      <c r="FHF42">
        <f t="shared" si="106"/>
        <v>0</v>
      </c>
      <c r="FHG42">
        <f t="shared" si="106"/>
        <v>0</v>
      </c>
      <c r="FHH42">
        <f t="shared" si="106"/>
        <v>0</v>
      </c>
      <c r="FHI42">
        <f t="shared" si="106"/>
        <v>0</v>
      </c>
      <c r="FHJ42">
        <f t="shared" si="106"/>
        <v>0</v>
      </c>
      <c r="FHK42">
        <f t="shared" si="106"/>
        <v>0</v>
      </c>
      <c r="FHL42">
        <f t="shared" si="106"/>
        <v>0</v>
      </c>
      <c r="FHM42">
        <f t="shared" si="106"/>
        <v>0</v>
      </c>
      <c r="FHN42">
        <f t="shared" si="106"/>
        <v>0</v>
      </c>
      <c r="FHO42">
        <f t="shared" si="106"/>
        <v>0</v>
      </c>
      <c r="FHP42">
        <f t="shared" si="106"/>
        <v>0</v>
      </c>
      <c r="FHQ42">
        <f t="shared" si="106"/>
        <v>0</v>
      </c>
      <c r="FHR42">
        <f t="shared" si="106"/>
        <v>0</v>
      </c>
      <c r="FHS42">
        <f t="shared" si="106"/>
        <v>0</v>
      </c>
      <c r="FHT42">
        <f t="shared" si="106"/>
        <v>0</v>
      </c>
      <c r="FHU42">
        <f t="shared" si="106"/>
        <v>0</v>
      </c>
      <c r="FHV42">
        <f t="shared" ref="FHV42:FKG43" si="107">FHV41*1.6*1.2</f>
        <v>0</v>
      </c>
      <c r="FHW42">
        <f t="shared" si="107"/>
        <v>0</v>
      </c>
      <c r="FHX42">
        <f t="shared" si="107"/>
        <v>0</v>
      </c>
      <c r="FHY42">
        <f t="shared" si="107"/>
        <v>0</v>
      </c>
      <c r="FHZ42">
        <f t="shared" si="107"/>
        <v>0</v>
      </c>
      <c r="FIA42">
        <f t="shared" si="107"/>
        <v>0</v>
      </c>
      <c r="FIB42">
        <f t="shared" si="107"/>
        <v>0</v>
      </c>
      <c r="FIC42">
        <f t="shared" si="107"/>
        <v>0</v>
      </c>
      <c r="FID42">
        <f t="shared" si="107"/>
        <v>0</v>
      </c>
      <c r="FIE42">
        <f t="shared" si="107"/>
        <v>0</v>
      </c>
      <c r="FIF42">
        <f t="shared" si="107"/>
        <v>0</v>
      </c>
      <c r="FIG42">
        <f t="shared" si="107"/>
        <v>0</v>
      </c>
      <c r="FIH42">
        <f t="shared" si="107"/>
        <v>0</v>
      </c>
      <c r="FII42">
        <f t="shared" si="107"/>
        <v>0</v>
      </c>
      <c r="FIJ42">
        <f t="shared" si="107"/>
        <v>0</v>
      </c>
      <c r="FIK42">
        <f t="shared" si="107"/>
        <v>0</v>
      </c>
      <c r="FIL42">
        <f t="shared" si="107"/>
        <v>0</v>
      </c>
      <c r="FIM42">
        <f t="shared" si="107"/>
        <v>0</v>
      </c>
      <c r="FIN42">
        <f t="shared" si="107"/>
        <v>0</v>
      </c>
      <c r="FIO42">
        <f t="shared" si="107"/>
        <v>0</v>
      </c>
      <c r="FIP42">
        <f t="shared" si="107"/>
        <v>0</v>
      </c>
      <c r="FIQ42">
        <f t="shared" si="107"/>
        <v>0</v>
      </c>
      <c r="FIR42">
        <f t="shared" si="107"/>
        <v>0</v>
      </c>
      <c r="FIS42">
        <f t="shared" si="107"/>
        <v>0</v>
      </c>
      <c r="FIT42">
        <f t="shared" si="107"/>
        <v>0</v>
      </c>
      <c r="FIU42">
        <f t="shared" si="107"/>
        <v>0</v>
      </c>
      <c r="FIV42">
        <f t="shared" si="107"/>
        <v>0</v>
      </c>
      <c r="FIW42">
        <f t="shared" si="107"/>
        <v>0</v>
      </c>
      <c r="FIX42">
        <f t="shared" si="107"/>
        <v>0</v>
      </c>
      <c r="FIY42">
        <f t="shared" si="107"/>
        <v>0</v>
      </c>
      <c r="FIZ42">
        <f t="shared" si="107"/>
        <v>0</v>
      </c>
      <c r="FJA42">
        <f t="shared" si="107"/>
        <v>0</v>
      </c>
      <c r="FJB42">
        <f t="shared" si="107"/>
        <v>0</v>
      </c>
      <c r="FJC42">
        <f t="shared" si="107"/>
        <v>0</v>
      </c>
      <c r="FJD42">
        <f t="shared" si="107"/>
        <v>0</v>
      </c>
      <c r="FJE42">
        <f t="shared" si="107"/>
        <v>0</v>
      </c>
      <c r="FJF42">
        <f t="shared" si="107"/>
        <v>0</v>
      </c>
      <c r="FJG42">
        <f t="shared" si="107"/>
        <v>0</v>
      </c>
      <c r="FJH42">
        <f t="shared" si="107"/>
        <v>0</v>
      </c>
      <c r="FJI42">
        <f t="shared" si="107"/>
        <v>0</v>
      </c>
      <c r="FJJ42">
        <f t="shared" si="107"/>
        <v>0</v>
      </c>
      <c r="FJK42">
        <f t="shared" si="107"/>
        <v>0</v>
      </c>
      <c r="FJL42">
        <f t="shared" si="107"/>
        <v>0</v>
      </c>
      <c r="FJM42">
        <f t="shared" si="107"/>
        <v>0</v>
      </c>
      <c r="FJN42">
        <f t="shared" si="107"/>
        <v>0</v>
      </c>
      <c r="FJO42">
        <f t="shared" si="107"/>
        <v>0</v>
      </c>
      <c r="FJP42">
        <f t="shared" si="107"/>
        <v>0</v>
      </c>
      <c r="FJQ42">
        <f t="shared" si="107"/>
        <v>0</v>
      </c>
      <c r="FJR42">
        <f t="shared" si="107"/>
        <v>0</v>
      </c>
      <c r="FJS42">
        <f t="shared" si="107"/>
        <v>0</v>
      </c>
      <c r="FJT42">
        <f t="shared" si="107"/>
        <v>0</v>
      </c>
      <c r="FJU42">
        <f t="shared" si="107"/>
        <v>0</v>
      </c>
      <c r="FJV42">
        <f t="shared" si="107"/>
        <v>0</v>
      </c>
      <c r="FJW42">
        <f t="shared" si="107"/>
        <v>0</v>
      </c>
      <c r="FJX42">
        <f t="shared" si="107"/>
        <v>0</v>
      </c>
      <c r="FJY42">
        <f t="shared" si="107"/>
        <v>0</v>
      </c>
      <c r="FJZ42">
        <f t="shared" si="107"/>
        <v>0</v>
      </c>
      <c r="FKA42">
        <f t="shared" si="107"/>
        <v>0</v>
      </c>
      <c r="FKB42">
        <f t="shared" si="107"/>
        <v>0</v>
      </c>
      <c r="FKC42">
        <f t="shared" si="107"/>
        <v>0</v>
      </c>
      <c r="FKD42">
        <f t="shared" si="107"/>
        <v>0</v>
      </c>
      <c r="FKE42">
        <f t="shared" si="107"/>
        <v>0</v>
      </c>
      <c r="FKF42">
        <f t="shared" si="107"/>
        <v>0</v>
      </c>
      <c r="FKG42">
        <f t="shared" si="107"/>
        <v>0</v>
      </c>
      <c r="FKH42">
        <f t="shared" ref="FKH42:FMS43" si="108">FKH41*1.6*1.2</f>
        <v>0</v>
      </c>
      <c r="FKI42">
        <f t="shared" si="108"/>
        <v>0</v>
      </c>
      <c r="FKJ42">
        <f t="shared" si="108"/>
        <v>0</v>
      </c>
      <c r="FKK42">
        <f t="shared" si="108"/>
        <v>0</v>
      </c>
      <c r="FKL42">
        <f t="shared" si="108"/>
        <v>0</v>
      </c>
      <c r="FKM42">
        <f t="shared" si="108"/>
        <v>0</v>
      </c>
      <c r="FKN42">
        <f t="shared" si="108"/>
        <v>0</v>
      </c>
      <c r="FKO42">
        <f t="shared" si="108"/>
        <v>0</v>
      </c>
      <c r="FKP42">
        <f t="shared" si="108"/>
        <v>0</v>
      </c>
      <c r="FKQ42">
        <f t="shared" si="108"/>
        <v>0</v>
      </c>
      <c r="FKR42">
        <f t="shared" si="108"/>
        <v>0</v>
      </c>
      <c r="FKS42">
        <f t="shared" si="108"/>
        <v>0</v>
      </c>
      <c r="FKT42">
        <f t="shared" si="108"/>
        <v>0</v>
      </c>
      <c r="FKU42">
        <f t="shared" si="108"/>
        <v>0</v>
      </c>
      <c r="FKV42">
        <f t="shared" si="108"/>
        <v>0</v>
      </c>
      <c r="FKW42">
        <f t="shared" si="108"/>
        <v>0</v>
      </c>
      <c r="FKX42">
        <f t="shared" si="108"/>
        <v>0</v>
      </c>
      <c r="FKY42">
        <f t="shared" si="108"/>
        <v>0</v>
      </c>
      <c r="FKZ42">
        <f t="shared" si="108"/>
        <v>0</v>
      </c>
      <c r="FLA42">
        <f t="shared" si="108"/>
        <v>0</v>
      </c>
      <c r="FLB42">
        <f t="shared" si="108"/>
        <v>0</v>
      </c>
      <c r="FLC42">
        <f t="shared" si="108"/>
        <v>0</v>
      </c>
      <c r="FLD42">
        <f t="shared" si="108"/>
        <v>0</v>
      </c>
      <c r="FLE42">
        <f t="shared" si="108"/>
        <v>0</v>
      </c>
      <c r="FLF42">
        <f t="shared" si="108"/>
        <v>0</v>
      </c>
      <c r="FLG42">
        <f t="shared" si="108"/>
        <v>0</v>
      </c>
      <c r="FLH42">
        <f t="shared" si="108"/>
        <v>0</v>
      </c>
      <c r="FLI42">
        <f t="shared" si="108"/>
        <v>0</v>
      </c>
      <c r="FLJ42">
        <f t="shared" si="108"/>
        <v>0</v>
      </c>
      <c r="FLK42">
        <f t="shared" si="108"/>
        <v>0</v>
      </c>
      <c r="FLL42">
        <f t="shared" si="108"/>
        <v>0</v>
      </c>
      <c r="FLM42">
        <f t="shared" si="108"/>
        <v>0</v>
      </c>
      <c r="FLN42">
        <f t="shared" si="108"/>
        <v>0</v>
      </c>
      <c r="FLO42">
        <f t="shared" si="108"/>
        <v>0</v>
      </c>
      <c r="FLP42">
        <f t="shared" si="108"/>
        <v>0</v>
      </c>
      <c r="FLQ42">
        <f t="shared" si="108"/>
        <v>0</v>
      </c>
      <c r="FLR42">
        <f t="shared" si="108"/>
        <v>0</v>
      </c>
      <c r="FLS42">
        <f t="shared" si="108"/>
        <v>0</v>
      </c>
      <c r="FLT42">
        <f t="shared" si="108"/>
        <v>0</v>
      </c>
      <c r="FLU42">
        <f t="shared" si="108"/>
        <v>0</v>
      </c>
      <c r="FLV42">
        <f t="shared" si="108"/>
        <v>0</v>
      </c>
      <c r="FLW42">
        <f t="shared" si="108"/>
        <v>0</v>
      </c>
      <c r="FLX42">
        <f t="shared" si="108"/>
        <v>0</v>
      </c>
      <c r="FLY42">
        <f t="shared" si="108"/>
        <v>0</v>
      </c>
      <c r="FLZ42">
        <f t="shared" si="108"/>
        <v>0</v>
      </c>
      <c r="FMA42">
        <f t="shared" si="108"/>
        <v>0</v>
      </c>
      <c r="FMB42">
        <f t="shared" si="108"/>
        <v>0</v>
      </c>
      <c r="FMC42">
        <f t="shared" si="108"/>
        <v>0</v>
      </c>
      <c r="FMD42">
        <f t="shared" si="108"/>
        <v>0</v>
      </c>
      <c r="FME42">
        <f t="shared" si="108"/>
        <v>0</v>
      </c>
      <c r="FMF42">
        <f t="shared" si="108"/>
        <v>0</v>
      </c>
      <c r="FMG42">
        <f t="shared" si="108"/>
        <v>0</v>
      </c>
      <c r="FMH42">
        <f t="shared" si="108"/>
        <v>0</v>
      </c>
      <c r="FMI42">
        <f t="shared" si="108"/>
        <v>0</v>
      </c>
      <c r="FMJ42">
        <f t="shared" si="108"/>
        <v>0</v>
      </c>
      <c r="FMK42">
        <f t="shared" si="108"/>
        <v>0</v>
      </c>
      <c r="FML42">
        <f t="shared" si="108"/>
        <v>0</v>
      </c>
      <c r="FMM42">
        <f t="shared" si="108"/>
        <v>0</v>
      </c>
      <c r="FMN42">
        <f t="shared" si="108"/>
        <v>0</v>
      </c>
      <c r="FMO42">
        <f t="shared" si="108"/>
        <v>0</v>
      </c>
      <c r="FMP42">
        <f t="shared" si="108"/>
        <v>0</v>
      </c>
      <c r="FMQ42">
        <f t="shared" si="108"/>
        <v>0</v>
      </c>
      <c r="FMR42">
        <f t="shared" si="108"/>
        <v>0</v>
      </c>
      <c r="FMS42">
        <f t="shared" si="108"/>
        <v>0</v>
      </c>
      <c r="FMT42">
        <f t="shared" ref="FMT42:FPE43" si="109">FMT41*1.6*1.2</f>
        <v>0</v>
      </c>
      <c r="FMU42">
        <f t="shared" si="109"/>
        <v>0</v>
      </c>
      <c r="FMV42">
        <f t="shared" si="109"/>
        <v>0</v>
      </c>
      <c r="FMW42">
        <f t="shared" si="109"/>
        <v>0</v>
      </c>
      <c r="FMX42">
        <f t="shared" si="109"/>
        <v>0</v>
      </c>
      <c r="FMY42">
        <f t="shared" si="109"/>
        <v>0</v>
      </c>
      <c r="FMZ42">
        <f t="shared" si="109"/>
        <v>0</v>
      </c>
      <c r="FNA42">
        <f t="shared" si="109"/>
        <v>0</v>
      </c>
      <c r="FNB42">
        <f t="shared" si="109"/>
        <v>0</v>
      </c>
      <c r="FNC42">
        <f t="shared" si="109"/>
        <v>0</v>
      </c>
      <c r="FND42">
        <f t="shared" si="109"/>
        <v>0</v>
      </c>
      <c r="FNE42">
        <f t="shared" si="109"/>
        <v>0</v>
      </c>
      <c r="FNF42">
        <f t="shared" si="109"/>
        <v>0</v>
      </c>
      <c r="FNG42">
        <f t="shared" si="109"/>
        <v>0</v>
      </c>
      <c r="FNH42">
        <f t="shared" si="109"/>
        <v>0</v>
      </c>
      <c r="FNI42">
        <f t="shared" si="109"/>
        <v>0</v>
      </c>
      <c r="FNJ42">
        <f t="shared" si="109"/>
        <v>0</v>
      </c>
      <c r="FNK42">
        <f t="shared" si="109"/>
        <v>0</v>
      </c>
      <c r="FNL42">
        <f t="shared" si="109"/>
        <v>0</v>
      </c>
      <c r="FNM42">
        <f t="shared" si="109"/>
        <v>0</v>
      </c>
      <c r="FNN42">
        <f t="shared" si="109"/>
        <v>0</v>
      </c>
      <c r="FNO42">
        <f t="shared" si="109"/>
        <v>0</v>
      </c>
      <c r="FNP42">
        <f t="shared" si="109"/>
        <v>0</v>
      </c>
      <c r="FNQ42">
        <f t="shared" si="109"/>
        <v>0</v>
      </c>
      <c r="FNR42">
        <f t="shared" si="109"/>
        <v>0</v>
      </c>
      <c r="FNS42">
        <f t="shared" si="109"/>
        <v>0</v>
      </c>
      <c r="FNT42">
        <f t="shared" si="109"/>
        <v>0</v>
      </c>
      <c r="FNU42">
        <f t="shared" si="109"/>
        <v>0</v>
      </c>
      <c r="FNV42">
        <f t="shared" si="109"/>
        <v>0</v>
      </c>
      <c r="FNW42">
        <f t="shared" si="109"/>
        <v>0</v>
      </c>
      <c r="FNX42">
        <f t="shared" si="109"/>
        <v>0</v>
      </c>
      <c r="FNY42">
        <f t="shared" si="109"/>
        <v>0</v>
      </c>
      <c r="FNZ42">
        <f t="shared" si="109"/>
        <v>0</v>
      </c>
      <c r="FOA42">
        <f t="shared" si="109"/>
        <v>0</v>
      </c>
      <c r="FOB42">
        <f t="shared" si="109"/>
        <v>0</v>
      </c>
      <c r="FOC42">
        <f t="shared" si="109"/>
        <v>0</v>
      </c>
      <c r="FOD42">
        <f t="shared" si="109"/>
        <v>0</v>
      </c>
      <c r="FOE42">
        <f t="shared" si="109"/>
        <v>0</v>
      </c>
      <c r="FOF42">
        <f t="shared" si="109"/>
        <v>0</v>
      </c>
      <c r="FOG42">
        <f t="shared" si="109"/>
        <v>0</v>
      </c>
      <c r="FOH42">
        <f t="shared" si="109"/>
        <v>0</v>
      </c>
      <c r="FOI42">
        <f t="shared" si="109"/>
        <v>0</v>
      </c>
      <c r="FOJ42">
        <f t="shared" si="109"/>
        <v>0</v>
      </c>
      <c r="FOK42">
        <f t="shared" si="109"/>
        <v>0</v>
      </c>
      <c r="FOL42">
        <f t="shared" si="109"/>
        <v>0</v>
      </c>
      <c r="FOM42">
        <f t="shared" si="109"/>
        <v>0</v>
      </c>
      <c r="FON42">
        <f t="shared" si="109"/>
        <v>0</v>
      </c>
      <c r="FOO42">
        <f t="shared" si="109"/>
        <v>0</v>
      </c>
      <c r="FOP42">
        <f t="shared" si="109"/>
        <v>0</v>
      </c>
      <c r="FOQ42">
        <f t="shared" si="109"/>
        <v>0</v>
      </c>
      <c r="FOR42">
        <f t="shared" si="109"/>
        <v>0</v>
      </c>
      <c r="FOS42">
        <f t="shared" si="109"/>
        <v>0</v>
      </c>
      <c r="FOT42">
        <f t="shared" si="109"/>
        <v>0</v>
      </c>
      <c r="FOU42">
        <f t="shared" si="109"/>
        <v>0</v>
      </c>
      <c r="FOV42">
        <f t="shared" si="109"/>
        <v>0</v>
      </c>
      <c r="FOW42">
        <f t="shared" si="109"/>
        <v>0</v>
      </c>
      <c r="FOX42">
        <f t="shared" si="109"/>
        <v>0</v>
      </c>
      <c r="FOY42">
        <f t="shared" si="109"/>
        <v>0</v>
      </c>
      <c r="FOZ42">
        <f t="shared" si="109"/>
        <v>0</v>
      </c>
      <c r="FPA42">
        <f t="shared" si="109"/>
        <v>0</v>
      </c>
      <c r="FPB42">
        <f t="shared" si="109"/>
        <v>0</v>
      </c>
      <c r="FPC42">
        <f t="shared" si="109"/>
        <v>0</v>
      </c>
      <c r="FPD42">
        <f t="shared" si="109"/>
        <v>0</v>
      </c>
      <c r="FPE42">
        <f t="shared" si="109"/>
        <v>0</v>
      </c>
      <c r="FPF42">
        <f t="shared" ref="FPF42:FRQ43" si="110">FPF41*1.6*1.2</f>
        <v>0</v>
      </c>
      <c r="FPG42">
        <f t="shared" si="110"/>
        <v>0</v>
      </c>
      <c r="FPH42">
        <f t="shared" si="110"/>
        <v>0</v>
      </c>
      <c r="FPI42">
        <f t="shared" si="110"/>
        <v>0</v>
      </c>
      <c r="FPJ42">
        <f t="shared" si="110"/>
        <v>0</v>
      </c>
      <c r="FPK42">
        <f t="shared" si="110"/>
        <v>0</v>
      </c>
      <c r="FPL42">
        <f t="shared" si="110"/>
        <v>0</v>
      </c>
      <c r="FPM42">
        <f t="shared" si="110"/>
        <v>0</v>
      </c>
      <c r="FPN42">
        <f t="shared" si="110"/>
        <v>0</v>
      </c>
      <c r="FPO42">
        <f t="shared" si="110"/>
        <v>0</v>
      </c>
      <c r="FPP42">
        <f t="shared" si="110"/>
        <v>0</v>
      </c>
      <c r="FPQ42">
        <f t="shared" si="110"/>
        <v>0</v>
      </c>
      <c r="FPR42">
        <f t="shared" si="110"/>
        <v>0</v>
      </c>
      <c r="FPS42">
        <f t="shared" si="110"/>
        <v>0</v>
      </c>
      <c r="FPT42">
        <f t="shared" si="110"/>
        <v>0</v>
      </c>
      <c r="FPU42">
        <f t="shared" si="110"/>
        <v>0</v>
      </c>
      <c r="FPV42">
        <f t="shared" si="110"/>
        <v>0</v>
      </c>
      <c r="FPW42">
        <f t="shared" si="110"/>
        <v>0</v>
      </c>
      <c r="FPX42">
        <f t="shared" si="110"/>
        <v>0</v>
      </c>
      <c r="FPY42">
        <f t="shared" si="110"/>
        <v>0</v>
      </c>
      <c r="FPZ42">
        <f t="shared" si="110"/>
        <v>0</v>
      </c>
      <c r="FQA42">
        <f t="shared" si="110"/>
        <v>0</v>
      </c>
      <c r="FQB42">
        <f t="shared" si="110"/>
        <v>0</v>
      </c>
      <c r="FQC42">
        <f t="shared" si="110"/>
        <v>0</v>
      </c>
      <c r="FQD42">
        <f t="shared" si="110"/>
        <v>0</v>
      </c>
      <c r="FQE42">
        <f t="shared" si="110"/>
        <v>0</v>
      </c>
      <c r="FQF42">
        <f t="shared" si="110"/>
        <v>0</v>
      </c>
      <c r="FQG42">
        <f t="shared" si="110"/>
        <v>0</v>
      </c>
      <c r="FQH42">
        <f t="shared" si="110"/>
        <v>0</v>
      </c>
      <c r="FQI42">
        <f t="shared" si="110"/>
        <v>0</v>
      </c>
      <c r="FQJ42">
        <f t="shared" si="110"/>
        <v>0</v>
      </c>
      <c r="FQK42">
        <f t="shared" si="110"/>
        <v>0</v>
      </c>
      <c r="FQL42">
        <f t="shared" si="110"/>
        <v>0</v>
      </c>
      <c r="FQM42">
        <f t="shared" si="110"/>
        <v>0</v>
      </c>
      <c r="FQN42">
        <f t="shared" si="110"/>
        <v>0</v>
      </c>
      <c r="FQO42">
        <f t="shared" si="110"/>
        <v>0</v>
      </c>
      <c r="FQP42">
        <f t="shared" si="110"/>
        <v>0</v>
      </c>
      <c r="FQQ42">
        <f t="shared" si="110"/>
        <v>0</v>
      </c>
      <c r="FQR42">
        <f t="shared" si="110"/>
        <v>0</v>
      </c>
      <c r="FQS42">
        <f t="shared" si="110"/>
        <v>0</v>
      </c>
      <c r="FQT42">
        <f t="shared" si="110"/>
        <v>0</v>
      </c>
      <c r="FQU42">
        <f t="shared" si="110"/>
        <v>0</v>
      </c>
      <c r="FQV42">
        <f t="shared" si="110"/>
        <v>0</v>
      </c>
      <c r="FQW42">
        <f t="shared" si="110"/>
        <v>0</v>
      </c>
      <c r="FQX42">
        <f t="shared" si="110"/>
        <v>0</v>
      </c>
      <c r="FQY42">
        <f t="shared" si="110"/>
        <v>0</v>
      </c>
      <c r="FQZ42">
        <f t="shared" si="110"/>
        <v>0</v>
      </c>
      <c r="FRA42">
        <f t="shared" si="110"/>
        <v>0</v>
      </c>
      <c r="FRB42">
        <f t="shared" si="110"/>
        <v>0</v>
      </c>
      <c r="FRC42">
        <f t="shared" si="110"/>
        <v>0</v>
      </c>
      <c r="FRD42">
        <f t="shared" si="110"/>
        <v>0</v>
      </c>
      <c r="FRE42">
        <f t="shared" si="110"/>
        <v>0</v>
      </c>
      <c r="FRF42">
        <f t="shared" si="110"/>
        <v>0</v>
      </c>
      <c r="FRG42">
        <f t="shared" si="110"/>
        <v>0</v>
      </c>
      <c r="FRH42">
        <f t="shared" si="110"/>
        <v>0</v>
      </c>
      <c r="FRI42">
        <f t="shared" si="110"/>
        <v>0</v>
      </c>
      <c r="FRJ42">
        <f t="shared" si="110"/>
        <v>0</v>
      </c>
      <c r="FRK42">
        <f t="shared" si="110"/>
        <v>0</v>
      </c>
      <c r="FRL42">
        <f t="shared" si="110"/>
        <v>0</v>
      </c>
      <c r="FRM42">
        <f t="shared" si="110"/>
        <v>0</v>
      </c>
      <c r="FRN42">
        <f t="shared" si="110"/>
        <v>0</v>
      </c>
      <c r="FRO42">
        <f t="shared" si="110"/>
        <v>0</v>
      </c>
      <c r="FRP42">
        <f t="shared" si="110"/>
        <v>0</v>
      </c>
      <c r="FRQ42">
        <f t="shared" si="110"/>
        <v>0</v>
      </c>
      <c r="FRR42">
        <f t="shared" ref="FRR42:FUC43" si="111">FRR41*1.6*1.2</f>
        <v>0</v>
      </c>
      <c r="FRS42">
        <f t="shared" si="111"/>
        <v>0</v>
      </c>
      <c r="FRT42">
        <f t="shared" si="111"/>
        <v>0</v>
      </c>
      <c r="FRU42">
        <f t="shared" si="111"/>
        <v>0</v>
      </c>
      <c r="FRV42">
        <f t="shared" si="111"/>
        <v>0</v>
      </c>
      <c r="FRW42">
        <f t="shared" si="111"/>
        <v>0</v>
      </c>
      <c r="FRX42">
        <f t="shared" si="111"/>
        <v>0</v>
      </c>
      <c r="FRY42">
        <f t="shared" si="111"/>
        <v>0</v>
      </c>
      <c r="FRZ42">
        <f t="shared" si="111"/>
        <v>0</v>
      </c>
      <c r="FSA42">
        <f t="shared" si="111"/>
        <v>0</v>
      </c>
      <c r="FSB42">
        <f t="shared" si="111"/>
        <v>0</v>
      </c>
      <c r="FSC42">
        <f t="shared" si="111"/>
        <v>0</v>
      </c>
      <c r="FSD42">
        <f t="shared" si="111"/>
        <v>0</v>
      </c>
      <c r="FSE42">
        <f t="shared" si="111"/>
        <v>0</v>
      </c>
      <c r="FSF42">
        <f t="shared" si="111"/>
        <v>0</v>
      </c>
      <c r="FSG42">
        <f t="shared" si="111"/>
        <v>0</v>
      </c>
      <c r="FSH42">
        <f t="shared" si="111"/>
        <v>0</v>
      </c>
      <c r="FSI42">
        <f t="shared" si="111"/>
        <v>0</v>
      </c>
      <c r="FSJ42">
        <f t="shared" si="111"/>
        <v>0</v>
      </c>
      <c r="FSK42">
        <f t="shared" si="111"/>
        <v>0</v>
      </c>
      <c r="FSL42">
        <f t="shared" si="111"/>
        <v>0</v>
      </c>
      <c r="FSM42">
        <f t="shared" si="111"/>
        <v>0</v>
      </c>
      <c r="FSN42">
        <f t="shared" si="111"/>
        <v>0</v>
      </c>
      <c r="FSO42">
        <f t="shared" si="111"/>
        <v>0</v>
      </c>
      <c r="FSP42">
        <f t="shared" si="111"/>
        <v>0</v>
      </c>
      <c r="FSQ42">
        <f t="shared" si="111"/>
        <v>0</v>
      </c>
      <c r="FSR42">
        <f t="shared" si="111"/>
        <v>0</v>
      </c>
      <c r="FSS42">
        <f t="shared" si="111"/>
        <v>0</v>
      </c>
      <c r="FST42">
        <f t="shared" si="111"/>
        <v>0</v>
      </c>
      <c r="FSU42">
        <f t="shared" si="111"/>
        <v>0</v>
      </c>
      <c r="FSV42">
        <f t="shared" si="111"/>
        <v>0</v>
      </c>
      <c r="FSW42">
        <f t="shared" si="111"/>
        <v>0</v>
      </c>
      <c r="FSX42">
        <f t="shared" si="111"/>
        <v>0</v>
      </c>
      <c r="FSY42">
        <f t="shared" si="111"/>
        <v>0</v>
      </c>
      <c r="FSZ42">
        <f t="shared" si="111"/>
        <v>0</v>
      </c>
      <c r="FTA42">
        <f t="shared" si="111"/>
        <v>0</v>
      </c>
      <c r="FTB42">
        <f t="shared" si="111"/>
        <v>0</v>
      </c>
      <c r="FTC42">
        <f t="shared" si="111"/>
        <v>0</v>
      </c>
      <c r="FTD42">
        <f t="shared" si="111"/>
        <v>0</v>
      </c>
      <c r="FTE42">
        <f t="shared" si="111"/>
        <v>0</v>
      </c>
      <c r="FTF42">
        <f t="shared" si="111"/>
        <v>0</v>
      </c>
      <c r="FTG42">
        <f t="shared" si="111"/>
        <v>0</v>
      </c>
      <c r="FTH42">
        <f t="shared" si="111"/>
        <v>0</v>
      </c>
      <c r="FTI42">
        <f t="shared" si="111"/>
        <v>0</v>
      </c>
      <c r="FTJ42">
        <f t="shared" si="111"/>
        <v>0</v>
      </c>
      <c r="FTK42">
        <f t="shared" si="111"/>
        <v>0</v>
      </c>
      <c r="FTL42">
        <f t="shared" si="111"/>
        <v>0</v>
      </c>
      <c r="FTM42">
        <f t="shared" si="111"/>
        <v>0</v>
      </c>
      <c r="FTN42">
        <f t="shared" si="111"/>
        <v>0</v>
      </c>
      <c r="FTO42">
        <f t="shared" si="111"/>
        <v>0</v>
      </c>
      <c r="FTP42">
        <f t="shared" si="111"/>
        <v>0</v>
      </c>
      <c r="FTQ42">
        <f t="shared" si="111"/>
        <v>0</v>
      </c>
      <c r="FTR42">
        <f t="shared" si="111"/>
        <v>0</v>
      </c>
      <c r="FTS42">
        <f t="shared" si="111"/>
        <v>0</v>
      </c>
      <c r="FTT42">
        <f t="shared" si="111"/>
        <v>0</v>
      </c>
      <c r="FTU42">
        <f t="shared" si="111"/>
        <v>0</v>
      </c>
      <c r="FTV42">
        <f t="shared" si="111"/>
        <v>0</v>
      </c>
      <c r="FTW42">
        <f t="shared" si="111"/>
        <v>0</v>
      </c>
      <c r="FTX42">
        <f t="shared" si="111"/>
        <v>0</v>
      </c>
      <c r="FTY42">
        <f t="shared" si="111"/>
        <v>0</v>
      </c>
      <c r="FTZ42">
        <f t="shared" si="111"/>
        <v>0</v>
      </c>
      <c r="FUA42">
        <f t="shared" si="111"/>
        <v>0</v>
      </c>
      <c r="FUB42">
        <f t="shared" si="111"/>
        <v>0</v>
      </c>
      <c r="FUC42">
        <f t="shared" si="111"/>
        <v>0</v>
      </c>
      <c r="FUD42">
        <f t="shared" ref="FUD42:FWO43" si="112">FUD41*1.6*1.2</f>
        <v>0</v>
      </c>
      <c r="FUE42">
        <f t="shared" si="112"/>
        <v>0</v>
      </c>
      <c r="FUF42">
        <f t="shared" si="112"/>
        <v>0</v>
      </c>
      <c r="FUG42">
        <f t="shared" si="112"/>
        <v>0</v>
      </c>
      <c r="FUH42">
        <f t="shared" si="112"/>
        <v>0</v>
      </c>
      <c r="FUI42">
        <f t="shared" si="112"/>
        <v>0</v>
      </c>
      <c r="FUJ42">
        <f t="shared" si="112"/>
        <v>0</v>
      </c>
      <c r="FUK42">
        <f t="shared" si="112"/>
        <v>0</v>
      </c>
      <c r="FUL42">
        <f t="shared" si="112"/>
        <v>0</v>
      </c>
      <c r="FUM42">
        <f t="shared" si="112"/>
        <v>0</v>
      </c>
      <c r="FUN42">
        <f t="shared" si="112"/>
        <v>0</v>
      </c>
      <c r="FUO42">
        <f t="shared" si="112"/>
        <v>0</v>
      </c>
      <c r="FUP42">
        <f t="shared" si="112"/>
        <v>0</v>
      </c>
      <c r="FUQ42">
        <f t="shared" si="112"/>
        <v>0</v>
      </c>
      <c r="FUR42">
        <f t="shared" si="112"/>
        <v>0</v>
      </c>
      <c r="FUS42">
        <f t="shared" si="112"/>
        <v>0</v>
      </c>
      <c r="FUT42">
        <f t="shared" si="112"/>
        <v>0</v>
      </c>
      <c r="FUU42">
        <f t="shared" si="112"/>
        <v>0</v>
      </c>
      <c r="FUV42">
        <f t="shared" si="112"/>
        <v>0</v>
      </c>
      <c r="FUW42">
        <f t="shared" si="112"/>
        <v>0</v>
      </c>
      <c r="FUX42">
        <f t="shared" si="112"/>
        <v>0</v>
      </c>
      <c r="FUY42">
        <f t="shared" si="112"/>
        <v>0</v>
      </c>
      <c r="FUZ42">
        <f t="shared" si="112"/>
        <v>0</v>
      </c>
      <c r="FVA42">
        <f t="shared" si="112"/>
        <v>0</v>
      </c>
      <c r="FVB42">
        <f t="shared" si="112"/>
        <v>0</v>
      </c>
      <c r="FVC42">
        <f t="shared" si="112"/>
        <v>0</v>
      </c>
      <c r="FVD42">
        <f t="shared" si="112"/>
        <v>0</v>
      </c>
      <c r="FVE42">
        <f t="shared" si="112"/>
        <v>0</v>
      </c>
      <c r="FVF42">
        <f t="shared" si="112"/>
        <v>0</v>
      </c>
      <c r="FVG42">
        <f t="shared" si="112"/>
        <v>0</v>
      </c>
      <c r="FVH42">
        <f t="shared" si="112"/>
        <v>0</v>
      </c>
      <c r="FVI42">
        <f t="shared" si="112"/>
        <v>0</v>
      </c>
      <c r="FVJ42">
        <f t="shared" si="112"/>
        <v>0</v>
      </c>
      <c r="FVK42">
        <f t="shared" si="112"/>
        <v>0</v>
      </c>
      <c r="FVL42">
        <f t="shared" si="112"/>
        <v>0</v>
      </c>
      <c r="FVM42">
        <f t="shared" si="112"/>
        <v>0</v>
      </c>
      <c r="FVN42">
        <f t="shared" si="112"/>
        <v>0</v>
      </c>
      <c r="FVO42">
        <f t="shared" si="112"/>
        <v>0</v>
      </c>
      <c r="FVP42">
        <f t="shared" si="112"/>
        <v>0</v>
      </c>
      <c r="FVQ42">
        <f t="shared" si="112"/>
        <v>0</v>
      </c>
      <c r="FVR42">
        <f t="shared" si="112"/>
        <v>0</v>
      </c>
      <c r="FVS42">
        <f t="shared" si="112"/>
        <v>0</v>
      </c>
      <c r="FVT42">
        <f t="shared" si="112"/>
        <v>0</v>
      </c>
      <c r="FVU42">
        <f t="shared" si="112"/>
        <v>0</v>
      </c>
      <c r="FVV42">
        <f t="shared" si="112"/>
        <v>0</v>
      </c>
      <c r="FVW42">
        <f t="shared" si="112"/>
        <v>0</v>
      </c>
      <c r="FVX42">
        <f t="shared" si="112"/>
        <v>0</v>
      </c>
      <c r="FVY42">
        <f t="shared" si="112"/>
        <v>0</v>
      </c>
      <c r="FVZ42">
        <f t="shared" si="112"/>
        <v>0</v>
      </c>
      <c r="FWA42">
        <f t="shared" si="112"/>
        <v>0</v>
      </c>
      <c r="FWB42">
        <f t="shared" si="112"/>
        <v>0</v>
      </c>
      <c r="FWC42">
        <f t="shared" si="112"/>
        <v>0</v>
      </c>
      <c r="FWD42">
        <f t="shared" si="112"/>
        <v>0</v>
      </c>
      <c r="FWE42">
        <f t="shared" si="112"/>
        <v>0</v>
      </c>
      <c r="FWF42">
        <f t="shared" si="112"/>
        <v>0</v>
      </c>
      <c r="FWG42">
        <f t="shared" si="112"/>
        <v>0</v>
      </c>
      <c r="FWH42">
        <f t="shared" si="112"/>
        <v>0</v>
      </c>
      <c r="FWI42">
        <f t="shared" si="112"/>
        <v>0</v>
      </c>
      <c r="FWJ42">
        <f t="shared" si="112"/>
        <v>0</v>
      </c>
      <c r="FWK42">
        <f t="shared" si="112"/>
        <v>0</v>
      </c>
      <c r="FWL42">
        <f t="shared" si="112"/>
        <v>0</v>
      </c>
      <c r="FWM42">
        <f t="shared" si="112"/>
        <v>0</v>
      </c>
      <c r="FWN42">
        <f t="shared" si="112"/>
        <v>0</v>
      </c>
      <c r="FWO42">
        <f t="shared" si="112"/>
        <v>0</v>
      </c>
      <c r="FWP42">
        <f t="shared" ref="FWP42:FZA43" si="113">FWP41*1.6*1.2</f>
        <v>0</v>
      </c>
      <c r="FWQ42">
        <f t="shared" si="113"/>
        <v>0</v>
      </c>
      <c r="FWR42">
        <f t="shared" si="113"/>
        <v>0</v>
      </c>
      <c r="FWS42">
        <f t="shared" si="113"/>
        <v>0</v>
      </c>
      <c r="FWT42">
        <f t="shared" si="113"/>
        <v>0</v>
      </c>
      <c r="FWU42">
        <f t="shared" si="113"/>
        <v>0</v>
      </c>
      <c r="FWV42">
        <f t="shared" si="113"/>
        <v>0</v>
      </c>
      <c r="FWW42">
        <f t="shared" si="113"/>
        <v>0</v>
      </c>
      <c r="FWX42">
        <f t="shared" si="113"/>
        <v>0</v>
      </c>
      <c r="FWY42">
        <f t="shared" si="113"/>
        <v>0</v>
      </c>
      <c r="FWZ42">
        <f t="shared" si="113"/>
        <v>0</v>
      </c>
      <c r="FXA42">
        <f t="shared" si="113"/>
        <v>0</v>
      </c>
      <c r="FXB42">
        <f t="shared" si="113"/>
        <v>0</v>
      </c>
      <c r="FXC42">
        <f t="shared" si="113"/>
        <v>0</v>
      </c>
      <c r="FXD42">
        <f t="shared" si="113"/>
        <v>0</v>
      </c>
      <c r="FXE42">
        <f t="shared" si="113"/>
        <v>0</v>
      </c>
      <c r="FXF42">
        <f t="shared" si="113"/>
        <v>0</v>
      </c>
      <c r="FXG42">
        <f t="shared" si="113"/>
        <v>0</v>
      </c>
      <c r="FXH42">
        <f t="shared" si="113"/>
        <v>0</v>
      </c>
      <c r="FXI42">
        <f t="shared" si="113"/>
        <v>0</v>
      </c>
      <c r="FXJ42">
        <f t="shared" si="113"/>
        <v>0</v>
      </c>
      <c r="FXK42">
        <f t="shared" si="113"/>
        <v>0</v>
      </c>
      <c r="FXL42">
        <f t="shared" si="113"/>
        <v>0</v>
      </c>
      <c r="FXM42">
        <f t="shared" si="113"/>
        <v>0</v>
      </c>
      <c r="FXN42">
        <f t="shared" si="113"/>
        <v>0</v>
      </c>
      <c r="FXO42">
        <f t="shared" si="113"/>
        <v>0</v>
      </c>
      <c r="FXP42">
        <f t="shared" si="113"/>
        <v>0</v>
      </c>
      <c r="FXQ42">
        <f t="shared" si="113"/>
        <v>0</v>
      </c>
      <c r="FXR42">
        <f t="shared" si="113"/>
        <v>0</v>
      </c>
      <c r="FXS42">
        <f t="shared" si="113"/>
        <v>0</v>
      </c>
      <c r="FXT42">
        <f t="shared" si="113"/>
        <v>0</v>
      </c>
      <c r="FXU42">
        <f t="shared" si="113"/>
        <v>0</v>
      </c>
      <c r="FXV42">
        <f t="shared" si="113"/>
        <v>0</v>
      </c>
      <c r="FXW42">
        <f t="shared" si="113"/>
        <v>0</v>
      </c>
      <c r="FXX42">
        <f t="shared" si="113"/>
        <v>0</v>
      </c>
      <c r="FXY42">
        <f t="shared" si="113"/>
        <v>0</v>
      </c>
      <c r="FXZ42">
        <f t="shared" si="113"/>
        <v>0</v>
      </c>
      <c r="FYA42">
        <f t="shared" si="113"/>
        <v>0</v>
      </c>
      <c r="FYB42">
        <f t="shared" si="113"/>
        <v>0</v>
      </c>
      <c r="FYC42">
        <f t="shared" si="113"/>
        <v>0</v>
      </c>
      <c r="FYD42">
        <f t="shared" si="113"/>
        <v>0</v>
      </c>
      <c r="FYE42">
        <f t="shared" si="113"/>
        <v>0</v>
      </c>
      <c r="FYF42">
        <f t="shared" si="113"/>
        <v>0</v>
      </c>
      <c r="FYG42">
        <f t="shared" si="113"/>
        <v>0</v>
      </c>
      <c r="FYH42">
        <f t="shared" si="113"/>
        <v>0</v>
      </c>
      <c r="FYI42">
        <f t="shared" si="113"/>
        <v>0</v>
      </c>
      <c r="FYJ42">
        <f t="shared" si="113"/>
        <v>0</v>
      </c>
      <c r="FYK42">
        <f t="shared" si="113"/>
        <v>0</v>
      </c>
      <c r="FYL42">
        <f t="shared" si="113"/>
        <v>0</v>
      </c>
      <c r="FYM42">
        <f t="shared" si="113"/>
        <v>0</v>
      </c>
      <c r="FYN42">
        <f t="shared" si="113"/>
        <v>0</v>
      </c>
      <c r="FYO42">
        <f t="shared" si="113"/>
        <v>0</v>
      </c>
      <c r="FYP42">
        <f t="shared" si="113"/>
        <v>0</v>
      </c>
      <c r="FYQ42">
        <f t="shared" si="113"/>
        <v>0</v>
      </c>
      <c r="FYR42">
        <f t="shared" si="113"/>
        <v>0</v>
      </c>
      <c r="FYS42">
        <f t="shared" si="113"/>
        <v>0</v>
      </c>
      <c r="FYT42">
        <f t="shared" si="113"/>
        <v>0</v>
      </c>
      <c r="FYU42">
        <f t="shared" si="113"/>
        <v>0</v>
      </c>
      <c r="FYV42">
        <f t="shared" si="113"/>
        <v>0</v>
      </c>
      <c r="FYW42">
        <f t="shared" si="113"/>
        <v>0</v>
      </c>
      <c r="FYX42">
        <f t="shared" si="113"/>
        <v>0</v>
      </c>
      <c r="FYY42">
        <f t="shared" si="113"/>
        <v>0</v>
      </c>
      <c r="FYZ42">
        <f t="shared" si="113"/>
        <v>0</v>
      </c>
      <c r="FZA42">
        <f t="shared" si="113"/>
        <v>0</v>
      </c>
      <c r="FZB42">
        <f t="shared" ref="FZB42:GBM43" si="114">FZB41*1.6*1.2</f>
        <v>0</v>
      </c>
      <c r="FZC42">
        <f t="shared" si="114"/>
        <v>0</v>
      </c>
      <c r="FZD42">
        <f t="shared" si="114"/>
        <v>0</v>
      </c>
      <c r="FZE42">
        <f t="shared" si="114"/>
        <v>0</v>
      </c>
      <c r="FZF42">
        <f t="shared" si="114"/>
        <v>0</v>
      </c>
      <c r="FZG42">
        <f t="shared" si="114"/>
        <v>0</v>
      </c>
      <c r="FZH42">
        <f t="shared" si="114"/>
        <v>0</v>
      </c>
      <c r="FZI42">
        <f t="shared" si="114"/>
        <v>0</v>
      </c>
      <c r="FZJ42">
        <f t="shared" si="114"/>
        <v>0</v>
      </c>
      <c r="FZK42">
        <f t="shared" si="114"/>
        <v>0</v>
      </c>
      <c r="FZL42">
        <f t="shared" si="114"/>
        <v>0</v>
      </c>
      <c r="FZM42">
        <f t="shared" si="114"/>
        <v>0</v>
      </c>
      <c r="FZN42">
        <f t="shared" si="114"/>
        <v>0</v>
      </c>
      <c r="FZO42">
        <f t="shared" si="114"/>
        <v>0</v>
      </c>
      <c r="FZP42">
        <f t="shared" si="114"/>
        <v>0</v>
      </c>
      <c r="FZQ42">
        <f t="shared" si="114"/>
        <v>0</v>
      </c>
      <c r="FZR42">
        <f t="shared" si="114"/>
        <v>0</v>
      </c>
      <c r="FZS42">
        <f t="shared" si="114"/>
        <v>0</v>
      </c>
      <c r="FZT42">
        <f t="shared" si="114"/>
        <v>0</v>
      </c>
      <c r="FZU42">
        <f t="shared" si="114"/>
        <v>0</v>
      </c>
      <c r="FZV42">
        <f t="shared" si="114"/>
        <v>0</v>
      </c>
      <c r="FZW42">
        <f t="shared" si="114"/>
        <v>0</v>
      </c>
      <c r="FZX42">
        <f t="shared" si="114"/>
        <v>0</v>
      </c>
      <c r="FZY42">
        <f t="shared" si="114"/>
        <v>0</v>
      </c>
      <c r="FZZ42">
        <f t="shared" si="114"/>
        <v>0</v>
      </c>
      <c r="GAA42">
        <f t="shared" si="114"/>
        <v>0</v>
      </c>
      <c r="GAB42">
        <f t="shared" si="114"/>
        <v>0</v>
      </c>
      <c r="GAC42">
        <f t="shared" si="114"/>
        <v>0</v>
      </c>
      <c r="GAD42">
        <f t="shared" si="114"/>
        <v>0</v>
      </c>
      <c r="GAE42">
        <f t="shared" si="114"/>
        <v>0</v>
      </c>
      <c r="GAF42">
        <f t="shared" si="114"/>
        <v>0</v>
      </c>
      <c r="GAG42">
        <f t="shared" si="114"/>
        <v>0</v>
      </c>
      <c r="GAH42">
        <f t="shared" si="114"/>
        <v>0</v>
      </c>
      <c r="GAI42">
        <f t="shared" si="114"/>
        <v>0</v>
      </c>
      <c r="GAJ42">
        <f t="shared" si="114"/>
        <v>0</v>
      </c>
      <c r="GAK42">
        <f t="shared" si="114"/>
        <v>0</v>
      </c>
      <c r="GAL42">
        <f t="shared" si="114"/>
        <v>0</v>
      </c>
      <c r="GAM42">
        <f t="shared" si="114"/>
        <v>0</v>
      </c>
      <c r="GAN42">
        <f t="shared" si="114"/>
        <v>0</v>
      </c>
      <c r="GAO42">
        <f t="shared" si="114"/>
        <v>0</v>
      </c>
      <c r="GAP42">
        <f t="shared" si="114"/>
        <v>0</v>
      </c>
      <c r="GAQ42">
        <f t="shared" si="114"/>
        <v>0</v>
      </c>
      <c r="GAR42">
        <f t="shared" si="114"/>
        <v>0</v>
      </c>
      <c r="GAS42">
        <f t="shared" si="114"/>
        <v>0</v>
      </c>
      <c r="GAT42">
        <f t="shared" si="114"/>
        <v>0</v>
      </c>
      <c r="GAU42">
        <f t="shared" si="114"/>
        <v>0</v>
      </c>
      <c r="GAV42">
        <f t="shared" si="114"/>
        <v>0</v>
      </c>
      <c r="GAW42">
        <f t="shared" si="114"/>
        <v>0</v>
      </c>
      <c r="GAX42">
        <f t="shared" si="114"/>
        <v>0</v>
      </c>
      <c r="GAY42">
        <f t="shared" si="114"/>
        <v>0</v>
      </c>
      <c r="GAZ42">
        <f t="shared" si="114"/>
        <v>0</v>
      </c>
      <c r="GBA42">
        <f t="shared" si="114"/>
        <v>0</v>
      </c>
      <c r="GBB42">
        <f t="shared" si="114"/>
        <v>0</v>
      </c>
      <c r="GBC42">
        <f t="shared" si="114"/>
        <v>0</v>
      </c>
      <c r="GBD42">
        <f t="shared" si="114"/>
        <v>0</v>
      </c>
      <c r="GBE42">
        <f t="shared" si="114"/>
        <v>0</v>
      </c>
      <c r="GBF42">
        <f t="shared" si="114"/>
        <v>0</v>
      </c>
      <c r="GBG42">
        <f t="shared" si="114"/>
        <v>0</v>
      </c>
      <c r="GBH42">
        <f t="shared" si="114"/>
        <v>0</v>
      </c>
      <c r="GBI42">
        <f t="shared" si="114"/>
        <v>0</v>
      </c>
      <c r="GBJ42">
        <f t="shared" si="114"/>
        <v>0</v>
      </c>
      <c r="GBK42">
        <f t="shared" si="114"/>
        <v>0</v>
      </c>
      <c r="GBL42">
        <f t="shared" si="114"/>
        <v>0</v>
      </c>
      <c r="GBM42">
        <f t="shared" si="114"/>
        <v>0</v>
      </c>
      <c r="GBN42">
        <f t="shared" ref="GBN42:GDY43" si="115">GBN41*1.6*1.2</f>
        <v>0</v>
      </c>
      <c r="GBO42">
        <f t="shared" si="115"/>
        <v>0</v>
      </c>
      <c r="GBP42">
        <f t="shared" si="115"/>
        <v>0</v>
      </c>
      <c r="GBQ42">
        <f t="shared" si="115"/>
        <v>0</v>
      </c>
      <c r="GBR42">
        <f t="shared" si="115"/>
        <v>0</v>
      </c>
      <c r="GBS42">
        <f t="shared" si="115"/>
        <v>0</v>
      </c>
      <c r="GBT42">
        <f t="shared" si="115"/>
        <v>0</v>
      </c>
      <c r="GBU42">
        <f t="shared" si="115"/>
        <v>0</v>
      </c>
      <c r="GBV42">
        <f t="shared" si="115"/>
        <v>0</v>
      </c>
      <c r="GBW42">
        <f t="shared" si="115"/>
        <v>0</v>
      </c>
      <c r="GBX42">
        <f t="shared" si="115"/>
        <v>0</v>
      </c>
      <c r="GBY42">
        <f t="shared" si="115"/>
        <v>0</v>
      </c>
      <c r="GBZ42">
        <f t="shared" si="115"/>
        <v>0</v>
      </c>
      <c r="GCA42">
        <f t="shared" si="115"/>
        <v>0</v>
      </c>
      <c r="GCB42">
        <f t="shared" si="115"/>
        <v>0</v>
      </c>
      <c r="GCC42">
        <f t="shared" si="115"/>
        <v>0</v>
      </c>
      <c r="GCD42">
        <f t="shared" si="115"/>
        <v>0</v>
      </c>
      <c r="GCE42">
        <f t="shared" si="115"/>
        <v>0</v>
      </c>
      <c r="GCF42">
        <f t="shared" si="115"/>
        <v>0</v>
      </c>
      <c r="GCG42">
        <f t="shared" si="115"/>
        <v>0</v>
      </c>
      <c r="GCH42">
        <f t="shared" si="115"/>
        <v>0</v>
      </c>
      <c r="GCI42">
        <f t="shared" si="115"/>
        <v>0</v>
      </c>
      <c r="GCJ42">
        <f t="shared" si="115"/>
        <v>0</v>
      </c>
      <c r="GCK42">
        <f t="shared" si="115"/>
        <v>0</v>
      </c>
      <c r="GCL42">
        <f t="shared" si="115"/>
        <v>0</v>
      </c>
      <c r="GCM42">
        <f t="shared" si="115"/>
        <v>0</v>
      </c>
      <c r="GCN42">
        <f t="shared" si="115"/>
        <v>0</v>
      </c>
      <c r="GCO42">
        <f t="shared" si="115"/>
        <v>0</v>
      </c>
      <c r="GCP42">
        <f t="shared" si="115"/>
        <v>0</v>
      </c>
      <c r="GCQ42">
        <f t="shared" si="115"/>
        <v>0</v>
      </c>
      <c r="GCR42">
        <f t="shared" si="115"/>
        <v>0</v>
      </c>
      <c r="GCS42">
        <f t="shared" si="115"/>
        <v>0</v>
      </c>
      <c r="GCT42">
        <f t="shared" si="115"/>
        <v>0</v>
      </c>
      <c r="GCU42">
        <f t="shared" si="115"/>
        <v>0</v>
      </c>
      <c r="GCV42">
        <f t="shared" si="115"/>
        <v>0</v>
      </c>
      <c r="GCW42">
        <f t="shared" si="115"/>
        <v>0</v>
      </c>
      <c r="GCX42">
        <f t="shared" si="115"/>
        <v>0</v>
      </c>
      <c r="GCY42">
        <f t="shared" si="115"/>
        <v>0</v>
      </c>
      <c r="GCZ42">
        <f t="shared" si="115"/>
        <v>0</v>
      </c>
      <c r="GDA42">
        <f t="shared" si="115"/>
        <v>0</v>
      </c>
      <c r="GDB42">
        <f t="shared" si="115"/>
        <v>0</v>
      </c>
      <c r="GDC42">
        <f t="shared" si="115"/>
        <v>0</v>
      </c>
      <c r="GDD42">
        <f t="shared" si="115"/>
        <v>0</v>
      </c>
      <c r="GDE42">
        <f t="shared" si="115"/>
        <v>0</v>
      </c>
      <c r="GDF42">
        <f t="shared" si="115"/>
        <v>0</v>
      </c>
      <c r="GDG42">
        <f t="shared" si="115"/>
        <v>0</v>
      </c>
      <c r="GDH42">
        <f t="shared" si="115"/>
        <v>0</v>
      </c>
      <c r="GDI42">
        <f t="shared" si="115"/>
        <v>0</v>
      </c>
      <c r="GDJ42">
        <f t="shared" si="115"/>
        <v>0</v>
      </c>
      <c r="GDK42">
        <f t="shared" si="115"/>
        <v>0</v>
      </c>
      <c r="GDL42">
        <f t="shared" si="115"/>
        <v>0</v>
      </c>
      <c r="GDM42">
        <f t="shared" si="115"/>
        <v>0</v>
      </c>
      <c r="GDN42">
        <f t="shared" si="115"/>
        <v>0</v>
      </c>
      <c r="GDO42">
        <f t="shared" si="115"/>
        <v>0</v>
      </c>
      <c r="GDP42">
        <f t="shared" si="115"/>
        <v>0</v>
      </c>
      <c r="GDQ42">
        <f t="shared" si="115"/>
        <v>0</v>
      </c>
      <c r="GDR42">
        <f t="shared" si="115"/>
        <v>0</v>
      </c>
      <c r="GDS42">
        <f t="shared" si="115"/>
        <v>0</v>
      </c>
      <c r="GDT42">
        <f t="shared" si="115"/>
        <v>0</v>
      </c>
      <c r="GDU42">
        <f t="shared" si="115"/>
        <v>0</v>
      </c>
      <c r="GDV42">
        <f t="shared" si="115"/>
        <v>0</v>
      </c>
      <c r="GDW42">
        <f t="shared" si="115"/>
        <v>0</v>
      </c>
      <c r="GDX42">
        <f t="shared" si="115"/>
        <v>0</v>
      </c>
      <c r="GDY42">
        <f t="shared" si="115"/>
        <v>0</v>
      </c>
      <c r="GDZ42">
        <f t="shared" ref="GDZ42:GGK43" si="116">GDZ41*1.6*1.2</f>
        <v>0</v>
      </c>
      <c r="GEA42">
        <f t="shared" si="116"/>
        <v>0</v>
      </c>
      <c r="GEB42">
        <f t="shared" si="116"/>
        <v>0</v>
      </c>
      <c r="GEC42">
        <f t="shared" si="116"/>
        <v>0</v>
      </c>
      <c r="GED42">
        <f t="shared" si="116"/>
        <v>0</v>
      </c>
      <c r="GEE42">
        <f t="shared" si="116"/>
        <v>0</v>
      </c>
      <c r="GEF42">
        <f t="shared" si="116"/>
        <v>0</v>
      </c>
      <c r="GEG42">
        <f t="shared" si="116"/>
        <v>0</v>
      </c>
      <c r="GEH42">
        <f t="shared" si="116"/>
        <v>0</v>
      </c>
      <c r="GEI42">
        <f t="shared" si="116"/>
        <v>0</v>
      </c>
      <c r="GEJ42">
        <f t="shared" si="116"/>
        <v>0</v>
      </c>
      <c r="GEK42">
        <f t="shared" si="116"/>
        <v>0</v>
      </c>
      <c r="GEL42">
        <f t="shared" si="116"/>
        <v>0</v>
      </c>
      <c r="GEM42">
        <f t="shared" si="116"/>
        <v>0</v>
      </c>
      <c r="GEN42">
        <f t="shared" si="116"/>
        <v>0</v>
      </c>
      <c r="GEO42">
        <f t="shared" si="116"/>
        <v>0</v>
      </c>
      <c r="GEP42">
        <f t="shared" si="116"/>
        <v>0</v>
      </c>
      <c r="GEQ42">
        <f t="shared" si="116"/>
        <v>0</v>
      </c>
      <c r="GER42">
        <f t="shared" si="116"/>
        <v>0</v>
      </c>
      <c r="GES42">
        <f t="shared" si="116"/>
        <v>0</v>
      </c>
      <c r="GET42">
        <f t="shared" si="116"/>
        <v>0</v>
      </c>
      <c r="GEU42">
        <f t="shared" si="116"/>
        <v>0</v>
      </c>
      <c r="GEV42">
        <f t="shared" si="116"/>
        <v>0</v>
      </c>
      <c r="GEW42">
        <f t="shared" si="116"/>
        <v>0</v>
      </c>
      <c r="GEX42">
        <f t="shared" si="116"/>
        <v>0</v>
      </c>
      <c r="GEY42">
        <f t="shared" si="116"/>
        <v>0</v>
      </c>
      <c r="GEZ42">
        <f t="shared" si="116"/>
        <v>0</v>
      </c>
      <c r="GFA42">
        <f t="shared" si="116"/>
        <v>0</v>
      </c>
      <c r="GFB42">
        <f t="shared" si="116"/>
        <v>0</v>
      </c>
      <c r="GFC42">
        <f t="shared" si="116"/>
        <v>0</v>
      </c>
      <c r="GFD42">
        <f t="shared" si="116"/>
        <v>0</v>
      </c>
      <c r="GFE42">
        <f t="shared" si="116"/>
        <v>0</v>
      </c>
      <c r="GFF42">
        <f t="shared" si="116"/>
        <v>0</v>
      </c>
      <c r="GFG42">
        <f t="shared" si="116"/>
        <v>0</v>
      </c>
      <c r="GFH42">
        <f t="shared" si="116"/>
        <v>0</v>
      </c>
      <c r="GFI42">
        <f t="shared" si="116"/>
        <v>0</v>
      </c>
      <c r="GFJ42">
        <f t="shared" si="116"/>
        <v>0</v>
      </c>
      <c r="GFK42">
        <f t="shared" si="116"/>
        <v>0</v>
      </c>
      <c r="GFL42">
        <f t="shared" si="116"/>
        <v>0</v>
      </c>
      <c r="GFM42">
        <f t="shared" si="116"/>
        <v>0</v>
      </c>
      <c r="GFN42">
        <f t="shared" si="116"/>
        <v>0</v>
      </c>
      <c r="GFO42">
        <f t="shared" si="116"/>
        <v>0</v>
      </c>
      <c r="GFP42">
        <f t="shared" si="116"/>
        <v>0</v>
      </c>
      <c r="GFQ42">
        <f t="shared" si="116"/>
        <v>0</v>
      </c>
      <c r="GFR42">
        <f t="shared" si="116"/>
        <v>0</v>
      </c>
      <c r="GFS42">
        <f t="shared" si="116"/>
        <v>0</v>
      </c>
      <c r="GFT42">
        <f t="shared" si="116"/>
        <v>0</v>
      </c>
      <c r="GFU42">
        <f t="shared" si="116"/>
        <v>0</v>
      </c>
      <c r="GFV42">
        <f t="shared" si="116"/>
        <v>0</v>
      </c>
      <c r="GFW42">
        <f t="shared" si="116"/>
        <v>0</v>
      </c>
      <c r="GFX42">
        <f t="shared" si="116"/>
        <v>0</v>
      </c>
      <c r="GFY42">
        <f t="shared" si="116"/>
        <v>0</v>
      </c>
      <c r="GFZ42">
        <f t="shared" si="116"/>
        <v>0</v>
      </c>
      <c r="GGA42">
        <f t="shared" si="116"/>
        <v>0</v>
      </c>
      <c r="GGB42">
        <f t="shared" si="116"/>
        <v>0</v>
      </c>
      <c r="GGC42">
        <f t="shared" si="116"/>
        <v>0</v>
      </c>
      <c r="GGD42">
        <f t="shared" si="116"/>
        <v>0</v>
      </c>
      <c r="GGE42">
        <f t="shared" si="116"/>
        <v>0</v>
      </c>
      <c r="GGF42">
        <f t="shared" si="116"/>
        <v>0</v>
      </c>
      <c r="GGG42">
        <f t="shared" si="116"/>
        <v>0</v>
      </c>
      <c r="GGH42">
        <f t="shared" si="116"/>
        <v>0</v>
      </c>
      <c r="GGI42">
        <f t="shared" si="116"/>
        <v>0</v>
      </c>
      <c r="GGJ42">
        <f t="shared" si="116"/>
        <v>0</v>
      </c>
      <c r="GGK42">
        <f t="shared" si="116"/>
        <v>0</v>
      </c>
      <c r="GGL42">
        <f t="shared" ref="GGL42:GIW43" si="117">GGL41*1.6*1.2</f>
        <v>0</v>
      </c>
      <c r="GGM42">
        <f t="shared" si="117"/>
        <v>0</v>
      </c>
      <c r="GGN42">
        <f t="shared" si="117"/>
        <v>0</v>
      </c>
      <c r="GGO42">
        <f t="shared" si="117"/>
        <v>0</v>
      </c>
      <c r="GGP42">
        <f t="shared" si="117"/>
        <v>0</v>
      </c>
      <c r="GGQ42">
        <f t="shared" si="117"/>
        <v>0</v>
      </c>
      <c r="GGR42">
        <f t="shared" si="117"/>
        <v>0</v>
      </c>
      <c r="GGS42">
        <f t="shared" si="117"/>
        <v>0</v>
      </c>
      <c r="GGT42">
        <f t="shared" si="117"/>
        <v>0</v>
      </c>
      <c r="GGU42">
        <f t="shared" si="117"/>
        <v>0</v>
      </c>
      <c r="GGV42">
        <f t="shared" si="117"/>
        <v>0</v>
      </c>
      <c r="GGW42">
        <f t="shared" si="117"/>
        <v>0</v>
      </c>
      <c r="GGX42">
        <f t="shared" si="117"/>
        <v>0</v>
      </c>
      <c r="GGY42">
        <f t="shared" si="117"/>
        <v>0</v>
      </c>
      <c r="GGZ42">
        <f t="shared" si="117"/>
        <v>0</v>
      </c>
      <c r="GHA42">
        <f t="shared" si="117"/>
        <v>0</v>
      </c>
      <c r="GHB42">
        <f t="shared" si="117"/>
        <v>0</v>
      </c>
      <c r="GHC42">
        <f t="shared" si="117"/>
        <v>0</v>
      </c>
      <c r="GHD42">
        <f t="shared" si="117"/>
        <v>0</v>
      </c>
      <c r="GHE42">
        <f t="shared" si="117"/>
        <v>0</v>
      </c>
      <c r="GHF42">
        <f t="shared" si="117"/>
        <v>0</v>
      </c>
      <c r="GHG42">
        <f t="shared" si="117"/>
        <v>0</v>
      </c>
      <c r="GHH42">
        <f t="shared" si="117"/>
        <v>0</v>
      </c>
      <c r="GHI42">
        <f t="shared" si="117"/>
        <v>0</v>
      </c>
      <c r="GHJ42">
        <f t="shared" si="117"/>
        <v>0</v>
      </c>
      <c r="GHK42">
        <f t="shared" si="117"/>
        <v>0</v>
      </c>
      <c r="GHL42">
        <f t="shared" si="117"/>
        <v>0</v>
      </c>
      <c r="GHM42">
        <f t="shared" si="117"/>
        <v>0</v>
      </c>
      <c r="GHN42">
        <f t="shared" si="117"/>
        <v>0</v>
      </c>
      <c r="GHO42">
        <f t="shared" si="117"/>
        <v>0</v>
      </c>
      <c r="GHP42">
        <f t="shared" si="117"/>
        <v>0</v>
      </c>
      <c r="GHQ42">
        <f t="shared" si="117"/>
        <v>0</v>
      </c>
      <c r="GHR42">
        <f t="shared" si="117"/>
        <v>0</v>
      </c>
      <c r="GHS42">
        <f t="shared" si="117"/>
        <v>0</v>
      </c>
      <c r="GHT42">
        <f t="shared" si="117"/>
        <v>0</v>
      </c>
      <c r="GHU42">
        <f t="shared" si="117"/>
        <v>0</v>
      </c>
      <c r="GHV42">
        <f t="shared" si="117"/>
        <v>0</v>
      </c>
      <c r="GHW42">
        <f t="shared" si="117"/>
        <v>0</v>
      </c>
      <c r="GHX42">
        <f t="shared" si="117"/>
        <v>0</v>
      </c>
      <c r="GHY42">
        <f t="shared" si="117"/>
        <v>0</v>
      </c>
      <c r="GHZ42">
        <f t="shared" si="117"/>
        <v>0</v>
      </c>
      <c r="GIA42">
        <f t="shared" si="117"/>
        <v>0</v>
      </c>
      <c r="GIB42">
        <f t="shared" si="117"/>
        <v>0</v>
      </c>
      <c r="GIC42">
        <f t="shared" si="117"/>
        <v>0</v>
      </c>
      <c r="GID42">
        <f t="shared" si="117"/>
        <v>0</v>
      </c>
      <c r="GIE42">
        <f t="shared" si="117"/>
        <v>0</v>
      </c>
      <c r="GIF42">
        <f t="shared" si="117"/>
        <v>0</v>
      </c>
      <c r="GIG42">
        <f t="shared" si="117"/>
        <v>0</v>
      </c>
      <c r="GIH42">
        <f t="shared" si="117"/>
        <v>0</v>
      </c>
      <c r="GII42">
        <f t="shared" si="117"/>
        <v>0</v>
      </c>
      <c r="GIJ42">
        <f t="shared" si="117"/>
        <v>0</v>
      </c>
      <c r="GIK42">
        <f t="shared" si="117"/>
        <v>0</v>
      </c>
      <c r="GIL42">
        <f t="shared" si="117"/>
        <v>0</v>
      </c>
      <c r="GIM42">
        <f t="shared" si="117"/>
        <v>0</v>
      </c>
      <c r="GIN42">
        <f t="shared" si="117"/>
        <v>0</v>
      </c>
      <c r="GIO42">
        <f t="shared" si="117"/>
        <v>0</v>
      </c>
      <c r="GIP42">
        <f t="shared" si="117"/>
        <v>0</v>
      </c>
      <c r="GIQ42">
        <f t="shared" si="117"/>
        <v>0</v>
      </c>
      <c r="GIR42">
        <f t="shared" si="117"/>
        <v>0</v>
      </c>
      <c r="GIS42">
        <f t="shared" si="117"/>
        <v>0</v>
      </c>
      <c r="GIT42">
        <f t="shared" si="117"/>
        <v>0</v>
      </c>
      <c r="GIU42">
        <f t="shared" si="117"/>
        <v>0</v>
      </c>
      <c r="GIV42">
        <f t="shared" si="117"/>
        <v>0</v>
      </c>
      <c r="GIW42">
        <f t="shared" si="117"/>
        <v>0</v>
      </c>
      <c r="GIX42">
        <f t="shared" ref="GIX42:GLI43" si="118">GIX41*1.6*1.2</f>
        <v>0</v>
      </c>
      <c r="GIY42">
        <f t="shared" si="118"/>
        <v>0</v>
      </c>
      <c r="GIZ42">
        <f t="shared" si="118"/>
        <v>0</v>
      </c>
      <c r="GJA42">
        <f t="shared" si="118"/>
        <v>0</v>
      </c>
      <c r="GJB42">
        <f t="shared" si="118"/>
        <v>0</v>
      </c>
      <c r="GJC42">
        <f t="shared" si="118"/>
        <v>0</v>
      </c>
      <c r="GJD42">
        <f t="shared" si="118"/>
        <v>0</v>
      </c>
      <c r="GJE42">
        <f t="shared" si="118"/>
        <v>0</v>
      </c>
      <c r="GJF42">
        <f t="shared" si="118"/>
        <v>0</v>
      </c>
      <c r="GJG42">
        <f t="shared" si="118"/>
        <v>0</v>
      </c>
      <c r="GJH42">
        <f t="shared" si="118"/>
        <v>0</v>
      </c>
      <c r="GJI42">
        <f t="shared" si="118"/>
        <v>0</v>
      </c>
      <c r="GJJ42">
        <f t="shared" si="118"/>
        <v>0</v>
      </c>
      <c r="GJK42">
        <f t="shared" si="118"/>
        <v>0</v>
      </c>
      <c r="GJL42">
        <f t="shared" si="118"/>
        <v>0</v>
      </c>
      <c r="GJM42">
        <f t="shared" si="118"/>
        <v>0</v>
      </c>
      <c r="GJN42">
        <f t="shared" si="118"/>
        <v>0</v>
      </c>
      <c r="GJO42">
        <f t="shared" si="118"/>
        <v>0</v>
      </c>
      <c r="GJP42">
        <f t="shared" si="118"/>
        <v>0</v>
      </c>
      <c r="GJQ42">
        <f t="shared" si="118"/>
        <v>0</v>
      </c>
      <c r="GJR42">
        <f t="shared" si="118"/>
        <v>0</v>
      </c>
      <c r="GJS42">
        <f t="shared" si="118"/>
        <v>0</v>
      </c>
      <c r="GJT42">
        <f t="shared" si="118"/>
        <v>0</v>
      </c>
      <c r="GJU42">
        <f t="shared" si="118"/>
        <v>0</v>
      </c>
      <c r="GJV42">
        <f t="shared" si="118"/>
        <v>0</v>
      </c>
      <c r="GJW42">
        <f t="shared" si="118"/>
        <v>0</v>
      </c>
      <c r="GJX42">
        <f t="shared" si="118"/>
        <v>0</v>
      </c>
      <c r="GJY42">
        <f t="shared" si="118"/>
        <v>0</v>
      </c>
      <c r="GJZ42">
        <f t="shared" si="118"/>
        <v>0</v>
      </c>
      <c r="GKA42">
        <f t="shared" si="118"/>
        <v>0</v>
      </c>
      <c r="GKB42">
        <f t="shared" si="118"/>
        <v>0</v>
      </c>
      <c r="GKC42">
        <f t="shared" si="118"/>
        <v>0</v>
      </c>
      <c r="GKD42">
        <f t="shared" si="118"/>
        <v>0</v>
      </c>
      <c r="GKE42">
        <f t="shared" si="118"/>
        <v>0</v>
      </c>
      <c r="GKF42">
        <f t="shared" si="118"/>
        <v>0</v>
      </c>
      <c r="GKG42">
        <f t="shared" si="118"/>
        <v>0</v>
      </c>
      <c r="GKH42">
        <f t="shared" si="118"/>
        <v>0</v>
      </c>
      <c r="GKI42">
        <f t="shared" si="118"/>
        <v>0</v>
      </c>
      <c r="GKJ42">
        <f t="shared" si="118"/>
        <v>0</v>
      </c>
      <c r="GKK42">
        <f t="shared" si="118"/>
        <v>0</v>
      </c>
      <c r="GKL42">
        <f t="shared" si="118"/>
        <v>0</v>
      </c>
      <c r="GKM42">
        <f t="shared" si="118"/>
        <v>0</v>
      </c>
      <c r="GKN42">
        <f t="shared" si="118"/>
        <v>0</v>
      </c>
      <c r="GKO42">
        <f t="shared" si="118"/>
        <v>0</v>
      </c>
      <c r="GKP42">
        <f t="shared" si="118"/>
        <v>0</v>
      </c>
      <c r="GKQ42">
        <f t="shared" si="118"/>
        <v>0</v>
      </c>
      <c r="GKR42">
        <f t="shared" si="118"/>
        <v>0</v>
      </c>
      <c r="GKS42">
        <f t="shared" si="118"/>
        <v>0</v>
      </c>
      <c r="GKT42">
        <f t="shared" si="118"/>
        <v>0</v>
      </c>
      <c r="GKU42">
        <f t="shared" si="118"/>
        <v>0</v>
      </c>
      <c r="GKV42">
        <f t="shared" si="118"/>
        <v>0</v>
      </c>
      <c r="GKW42">
        <f t="shared" si="118"/>
        <v>0</v>
      </c>
      <c r="GKX42">
        <f t="shared" si="118"/>
        <v>0</v>
      </c>
      <c r="GKY42">
        <f t="shared" si="118"/>
        <v>0</v>
      </c>
      <c r="GKZ42">
        <f t="shared" si="118"/>
        <v>0</v>
      </c>
      <c r="GLA42">
        <f t="shared" si="118"/>
        <v>0</v>
      </c>
      <c r="GLB42">
        <f t="shared" si="118"/>
        <v>0</v>
      </c>
      <c r="GLC42">
        <f t="shared" si="118"/>
        <v>0</v>
      </c>
      <c r="GLD42">
        <f t="shared" si="118"/>
        <v>0</v>
      </c>
      <c r="GLE42">
        <f t="shared" si="118"/>
        <v>0</v>
      </c>
      <c r="GLF42">
        <f t="shared" si="118"/>
        <v>0</v>
      </c>
      <c r="GLG42">
        <f t="shared" si="118"/>
        <v>0</v>
      </c>
      <c r="GLH42">
        <f t="shared" si="118"/>
        <v>0</v>
      </c>
      <c r="GLI42">
        <f t="shared" si="118"/>
        <v>0</v>
      </c>
      <c r="GLJ42">
        <f t="shared" ref="GLJ42:GNU43" si="119">GLJ41*1.6*1.2</f>
        <v>0</v>
      </c>
      <c r="GLK42">
        <f t="shared" si="119"/>
        <v>0</v>
      </c>
      <c r="GLL42">
        <f t="shared" si="119"/>
        <v>0</v>
      </c>
      <c r="GLM42">
        <f t="shared" si="119"/>
        <v>0</v>
      </c>
      <c r="GLN42">
        <f t="shared" si="119"/>
        <v>0</v>
      </c>
      <c r="GLO42">
        <f t="shared" si="119"/>
        <v>0</v>
      </c>
      <c r="GLP42">
        <f t="shared" si="119"/>
        <v>0</v>
      </c>
      <c r="GLQ42">
        <f t="shared" si="119"/>
        <v>0</v>
      </c>
      <c r="GLR42">
        <f t="shared" si="119"/>
        <v>0</v>
      </c>
      <c r="GLS42">
        <f t="shared" si="119"/>
        <v>0</v>
      </c>
      <c r="GLT42">
        <f t="shared" si="119"/>
        <v>0</v>
      </c>
      <c r="GLU42">
        <f t="shared" si="119"/>
        <v>0</v>
      </c>
      <c r="GLV42">
        <f t="shared" si="119"/>
        <v>0</v>
      </c>
      <c r="GLW42">
        <f t="shared" si="119"/>
        <v>0</v>
      </c>
      <c r="GLX42">
        <f t="shared" si="119"/>
        <v>0</v>
      </c>
      <c r="GLY42">
        <f t="shared" si="119"/>
        <v>0</v>
      </c>
      <c r="GLZ42">
        <f t="shared" si="119"/>
        <v>0</v>
      </c>
      <c r="GMA42">
        <f t="shared" si="119"/>
        <v>0</v>
      </c>
      <c r="GMB42">
        <f t="shared" si="119"/>
        <v>0</v>
      </c>
      <c r="GMC42">
        <f t="shared" si="119"/>
        <v>0</v>
      </c>
      <c r="GMD42">
        <f t="shared" si="119"/>
        <v>0</v>
      </c>
      <c r="GME42">
        <f t="shared" si="119"/>
        <v>0</v>
      </c>
      <c r="GMF42">
        <f t="shared" si="119"/>
        <v>0</v>
      </c>
      <c r="GMG42">
        <f t="shared" si="119"/>
        <v>0</v>
      </c>
      <c r="GMH42">
        <f t="shared" si="119"/>
        <v>0</v>
      </c>
      <c r="GMI42">
        <f t="shared" si="119"/>
        <v>0</v>
      </c>
      <c r="GMJ42">
        <f t="shared" si="119"/>
        <v>0</v>
      </c>
      <c r="GMK42">
        <f t="shared" si="119"/>
        <v>0</v>
      </c>
      <c r="GML42">
        <f t="shared" si="119"/>
        <v>0</v>
      </c>
      <c r="GMM42">
        <f t="shared" si="119"/>
        <v>0</v>
      </c>
      <c r="GMN42">
        <f t="shared" si="119"/>
        <v>0</v>
      </c>
      <c r="GMO42">
        <f t="shared" si="119"/>
        <v>0</v>
      </c>
      <c r="GMP42">
        <f t="shared" si="119"/>
        <v>0</v>
      </c>
      <c r="GMQ42">
        <f t="shared" si="119"/>
        <v>0</v>
      </c>
      <c r="GMR42">
        <f t="shared" si="119"/>
        <v>0</v>
      </c>
      <c r="GMS42">
        <f t="shared" si="119"/>
        <v>0</v>
      </c>
      <c r="GMT42">
        <f t="shared" si="119"/>
        <v>0</v>
      </c>
      <c r="GMU42">
        <f t="shared" si="119"/>
        <v>0</v>
      </c>
      <c r="GMV42">
        <f t="shared" si="119"/>
        <v>0</v>
      </c>
      <c r="GMW42">
        <f t="shared" si="119"/>
        <v>0</v>
      </c>
      <c r="GMX42">
        <f t="shared" si="119"/>
        <v>0</v>
      </c>
      <c r="GMY42">
        <f t="shared" si="119"/>
        <v>0</v>
      </c>
      <c r="GMZ42">
        <f t="shared" si="119"/>
        <v>0</v>
      </c>
      <c r="GNA42">
        <f t="shared" si="119"/>
        <v>0</v>
      </c>
      <c r="GNB42">
        <f t="shared" si="119"/>
        <v>0</v>
      </c>
      <c r="GNC42">
        <f t="shared" si="119"/>
        <v>0</v>
      </c>
      <c r="GND42">
        <f t="shared" si="119"/>
        <v>0</v>
      </c>
      <c r="GNE42">
        <f t="shared" si="119"/>
        <v>0</v>
      </c>
      <c r="GNF42">
        <f t="shared" si="119"/>
        <v>0</v>
      </c>
      <c r="GNG42">
        <f t="shared" si="119"/>
        <v>0</v>
      </c>
      <c r="GNH42">
        <f t="shared" si="119"/>
        <v>0</v>
      </c>
      <c r="GNI42">
        <f t="shared" si="119"/>
        <v>0</v>
      </c>
      <c r="GNJ42">
        <f t="shared" si="119"/>
        <v>0</v>
      </c>
      <c r="GNK42">
        <f t="shared" si="119"/>
        <v>0</v>
      </c>
      <c r="GNL42">
        <f t="shared" si="119"/>
        <v>0</v>
      </c>
      <c r="GNM42">
        <f t="shared" si="119"/>
        <v>0</v>
      </c>
      <c r="GNN42">
        <f t="shared" si="119"/>
        <v>0</v>
      </c>
      <c r="GNO42">
        <f t="shared" si="119"/>
        <v>0</v>
      </c>
      <c r="GNP42">
        <f t="shared" si="119"/>
        <v>0</v>
      </c>
      <c r="GNQ42">
        <f t="shared" si="119"/>
        <v>0</v>
      </c>
      <c r="GNR42">
        <f t="shared" si="119"/>
        <v>0</v>
      </c>
      <c r="GNS42">
        <f t="shared" si="119"/>
        <v>0</v>
      </c>
      <c r="GNT42">
        <f t="shared" si="119"/>
        <v>0</v>
      </c>
      <c r="GNU42">
        <f t="shared" si="119"/>
        <v>0</v>
      </c>
      <c r="GNV42">
        <f t="shared" ref="GNV42:GQG43" si="120">GNV41*1.6*1.2</f>
        <v>0</v>
      </c>
      <c r="GNW42">
        <f t="shared" si="120"/>
        <v>0</v>
      </c>
      <c r="GNX42">
        <f t="shared" si="120"/>
        <v>0</v>
      </c>
      <c r="GNY42">
        <f t="shared" si="120"/>
        <v>0</v>
      </c>
      <c r="GNZ42">
        <f t="shared" si="120"/>
        <v>0</v>
      </c>
      <c r="GOA42">
        <f t="shared" si="120"/>
        <v>0</v>
      </c>
      <c r="GOB42">
        <f t="shared" si="120"/>
        <v>0</v>
      </c>
      <c r="GOC42">
        <f t="shared" si="120"/>
        <v>0</v>
      </c>
      <c r="GOD42">
        <f t="shared" si="120"/>
        <v>0</v>
      </c>
      <c r="GOE42">
        <f t="shared" si="120"/>
        <v>0</v>
      </c>
      <c r="GOF42">
        <f t="shared" si="120"/>
        <v>0</v>
      </c>
      <c r="GOG42">
        <f t="shared" si="120"/>
        <v>0</v>
      </c>
      <c r="GOH42">
        <f t="shared" si="120"/>
        <v>0</v>
      </c>
      <c r="GOI42">
        <f t="shared" si="120"/>
        <v>0</v>
      </c>
      <c r="GOJ42">
        <f t="shared" si="120"/>
        <v>0</v>
      </c>
      <c r="GOK42">
        <f t="shared" si="120"/>
        <v>0</v>
      </c>
      <c r="GOL42">
        <f t="shared" si="120"/>
        <v>0</v>
      </c>
      <c r="GOM42">
        <f t="shared" si="120"/>
        <v>0</v>
      </c>
      <c r="GON42">
        <f t="shared" si="120"/>
        <v>0</v>
      </c>
      <c r="GOO42">
        <f t="shared" si="120"/>
        <v>0</v>
      </c>
      <c r="GOP42">
        <f t="shared" si="120"/>
        <v>0</v>
      </c>
      <c r="GOQ42">
        <f t="shared" si="120"/>
        <v>0</v>
      </c>
      <c r="GOR42">
        <f t="shared" si="120"/>
        <v>0</v>
      </c>
      <c r="GOS42">
        <f t="shared" si="120"/>
        <v>0</v>
      </c>
      <c r="GOT42">
        <f t="shared" si="120"/>
        <v>0</v>
      </c>
      <c r="GOU42">
        <f t="shared" si="120"/>
        <v>0</v>
      </c>
      <c r="GOV42">
        <f t="shared" si="120"/>
        <v>0</v>
      </c>
      <c r="GOW42">
        <f t="shared" si="120"/>
        <v>0</v>
      </c>
      <c r="GOX42">
        <f t="shared" si="120"/>
        <v>0</v>
      </c>
      <c r="GOY42">
        <f t="shared" si="120"/>
        <v>0</v>
      </c>
      <c r="GOZ42">
        <f t="shared" si="120"/>
        <v>0</v>
      </c>
      <c r="GPA42">
        <f t="shared" si="120"/>
        <v>0</v>
      </c>
      <c r="GPB42">
        <f t="shared" si="120"/>
        <v>0</v>
      </c>
      <c r="GPC42">
        <f t="shared" si="120"/>
        <v>0</v>
      </c>
      <c r="GPD42">
        <f t="shared" si="120"/>
        <v>0</v>
      </c>
      <c r="GPE42">
        <f t="shared" si="120"/>
        <v>0</v>
      </c>
      <c r="GPF42">
        <f t="shared" si="120"/>
        <v>0</v>
      </c>
      <c r="GPG42">
        <f t="shared" si="120"/>
        <v>0</v>
      </c>
      <c r="GPH42">
        <f t="shared" si="120"/>
        <v>0</v>
      </c>
      <c r="GPI42">
        <f t="shared" si="120"/>
        <v>0</v>
      </c>
      <c r="GPJ42">
        <f t="shared" si="120"/>
        <v>0</v>
      </c>
      <c r="GPK42">
        <f t="shared" si="120"/>
        <v>0</v>
      </c>
      <c r="GPL42">
        <f t="shared" si="120"/>
        <v>0</v>
      </c>
      <c r="GPM42">
        <f t="shared" si="120"/>
        <v>0</v>
      </c>
      <c r="GPN42">
        <f t="shared" si="120"/>
        <v>0</v>
      </c>
      <c r="GPO42">
        <f t="shared" si="120"/>
        <v>0</v>
      </c>
      <c r="GPP42">
        <f t="shared" si="120"/>
        <v>0</v>
      </c>
      <c r="GPQ42">
        <f t="shared" si="120"/>
        <v>0</v>
      </c>
      <c r="GPR42">
        <f t="shared" si="120"/>
        <v>0</v>
      </c>
      <c r="GPS42">
        <f t="shared" si="120"/>
        <v>0</v>
      </c>
      <c r="GPT42">
        <f t="shared" si="120"/>
        <v>0</v>
      </c>
      <c r="GPU42">
        <f t="shared" si="120"/>
        <v>0</v>
      </c>
      <c r="GPV42">
        <f t="shared" si="120"/>
        <v>0</v>
      </c>
      <c r="GPW42">
        <f t="shared" si="120"/>
        <v>0</v>
      </c>
      <c r="GPX42">
        <f t="shared" si="120"/>
        <v>0</v>
      </c>
      <c r="GPY42">
        <f t="shared" si="120"/>
        <v>0</v>
      </c>
      <c r="GPZ42">
        <f t="shared" si="120"/>
        <v>0</v>
      </c>
      <c r="GQA42">
        <f t="shared" si="120"/>
        <v>0</v>
      </c>
      <c r="GQB42">
        <f t="shared" si="120"/>
        <v>0</v>
      </c>
      <c r="GQC42">
        <f t="shared" si="120"/>
        <v>0</v>
      </c>
      <c r="GQD42">
        <f t="shared" si="120"/>
        <v>0</v>
      </c>
      <c r="GQE42">
        <f t="shared" si="120"/>
        <v>0</v>
      </c>
      <c r="GQF42">
        <f t="shared" si="120"/>
        <v>0</v>
      </c>
      <c r="GQG42">
        <f t="shared" si="120"/>
        <v>0</v>
      </c>
      <c r="GQH42">
        <f t="shared" ref="GQH42:GSS43" si="121">GQH41*1.6*1.2</f>
        <v>0</v>
      </c>
      <c r="GQI42">
        <f t="shared" si="121"/>
        <v>0</v>
      </c>
      <c r="GQJ42">
        <f t="shared" si="121"/>
        <v>0</v>
      </c>
      <c r="GQK42">
        <f t="shared" si="121"/>
        <v>0</v>
      </c>
      <c r="GQL42">
        <f t="shared" si="121"/>
        <v>0</v>
      </c>
      <c r="GQM42">
        <f t="shared" si="121"/>
        <v>0</v>
      </c>
      <c r="GQN42">
        <f t="shared" si="121"/>
        <v>0</v>
      </c>
      <c r="GQO42">
        <f t="shared" si="121"/>
        <v>0</v>
      </c>
      <c r="GQP42">
        <f t="shared" si="121"/>
        <v>0</v>
      </c>
      <c r="GQQ42">
        <f t="shared" si="121"/>
        <v>0</v>
      </c>
      <c r="GQR42">
        <f t="shared" si="121"/>
        <v>0</v>
      </c>
      <c r="GQS42">
        <f t="shared" si="121"/>
        <v>0</v>
      </c>
      <c r="GQT42">
        <f t="shared" si="121"/>
        <v>0</v>
      </c>
      <c r="GQU42">
        <f t="shared" si="121"/>
        <v>0</v>
      </c>
      <c r="GQV42">
        <f t="shared" si="121"/>
        <v>0</v>
      </c>
      <c r="GQW42">
        <f t="shared" si="121"/>
        <v>0</v>
      </c>
      <c r="GQX42">
        <f t="shared" si="121"/>
        <v>0</v>
      </c>
      <c r="GQY42">
        <f t="shared" si="121"/>
        <v>0</v>
      </c>
      <c r="GQZ42">
        <f t="shared" si="121"/>
        <v>0</v>
      </c>
      <c r="GRA42">
        <f t="shared" si="121"/>
        <v>0</v>
      </c>
      <c r="GRB42">
        <f t="shared" si="121"/>
        <v>0</v>
      </c>
      <c r="GRC42">
        <f t="shared" si="121"/>
        <v>0</v>
      </c>
      <c r="GRD42">
        <f t="shared" si="121"/>
        <v>0</v>
      </c>
      <c r="GRE42">
        <f t="shared" si="121"/>
        <v>0</v>
      </c>
      <c r="GRF42">
        <f t="shared" si="121"/>
        <v>0</v>
      </c>
      <c r="GRG42">
        <f t="shared" si="121"/>
        <v>0</v>
      </c>
      <c r="GRH42">
        <f t="shared" si="121"/>
        <v>0</v>
      </c>
      <c r="GRI42">
        <f t="shared" si="121"/>
        <v>0</v>
      </c>
      <c r="GRJ42">
        <f t="shared" si="121"/>
        <v>0</v>
      </c>
      <c r="GRK42">
        <f t="shared" si="121"/>
        <v>0</v>
      </c>
      <c r="GRL42">
        <f t="shared" si="121"/>
        <v>0</v>
      </c>
      <c r="GRM42">
        <f t="shared" si="121"/>
        <v>0</v>
      </c>
      <c r="GRN42">
        <f t="shared" si="121"/>
        <v>0</v>
      </c>
      <c r="GRO42">
        <f t="shared" si="121"/>
        <v>0</v>
      </c>
      <c r="GRP42">
        <f t="shared" si="121"/>
        <v>0</v>
      </c>
      <c r="GRQ42">
        <f t="shared" si="121"/>
        <v>0</v>
      </c>
      <c r="GRR42">
        <f t="shared" si="121"/>
        <v>0</v>
      </c>
      <c r="GRS42">
        <f t="shared" si="121"/>
        <v>0</v>
      </c>
      <c r="GRT42">
        <f t="shared" si="121"/>
        <v>0</v>
      </c>
      <c r="GRU42">
        <f t="shared" si="121"/>
        <v>0</v>
      </c>
      <c r="GRV42">
        <f t="shared" si="121"/>
        <v>0</v>
      </c>
      <c r="GRW42">
        <f t="shared" si="121"/>
        <v>0</v>
      </c>
      <c r="GRX42">
        <f t="shared" si="121"/>
        <v>0</v>
      </c>
      <c r="GRY42">
        <f t="shared" si="121"/>
        <v>0</v>
      </c>
      <c r="GRZ42">
        <f t="shared" si="121"/>
        <v>0</v>
      </c>
      <c r="GSA42">
        <f t="shared" si="121"/>
        <v>0</v>
      </c>
      <c r="GSB42">
        <f t="shared" si="121"/>
        <v>0</v>
      </c>
      <c r="GSC42">
        <f t="shared" si="121"/>
        <v>0</v>
      </c>
      <c r="GSD42">
        <f t="shared" si="121"/>
        <v>0</v>
      </c>
      <c r="GSE42">
        <f t="shared" si="121"/>
        <v>0</v>
      </c>
      <c r="GSF42">
        <f t="shared" si="121"/>
        <v>0</v>
      </c>
      <c r="GSG42">
        <f t="shared" si="121"/>
        <v>0</v>
      </c>
      <c r="GSH42">
        <f t="shared" si="121"/>
        <v>0</v>
      </c>
      <c r="GSI42">
        <f t="shared" si="121"/>
        <v>0</v>
      </c>
      <c r="GSJ42">
        <f t="shared" si="121"/>
        <v>0</v>
      </c>
      <c r="GSK42">
        <f t="shared" si="121"/>
        <v>0</v>
      </c>
      <c r="GSL42">
        <f t="shared" si="121"/>
        <v>0</v>
      </c>
      <c r="GSM42">
        <f t="shared" si="121"/>
        <v>0</v>
      </c>
      <c r="GSN42">
        <f t="shared" si="121"/>
        <v>0</v>
      </c>
      <c r="GSO42">
        <f t="shared" si="121"/>
        <v>0</v>
      </c>
      <c r="GSP42">
        <f t="shared" si="121"/>
        <v>0</v>
      </c>
      <c r="GSQ42">
        <f t="shared" si="121"/>
        <v>0</v>
      </c>
      <c r="GSR42">
        <f t="shared" si="121"/>
        <v>0</v>
      </c>
      <c r="GSS42">
        <f t="shared" si="121"/>
        <v>0</v>
      </c>
      <c r="GST42">
        <f t="shared" ref="GST42:GVE43" si="122">GST41*1.6*1.2</f>
        <v>0</v>
      </c>
      <c r="GSU42">
        <f t="shared" si="122"/>
        <v>0</v>
      </c>
      <c r="GSV42">
        <f t="shared" si="122"/>
        <v>0</v>
      </c>
      <c r="GSW42">
        <f t="shared" si="122"/>
        <v>0</v>
      </c>
      <c r="GSX42">
        <f t="shared" si="122"/>
        <v>0</v>
      </c>
      <c r="GSY42">
        <f t="shared" si="122"/>
        <v>0</v>
      </c>
      <c r="GSZ42">
        <f t="shared" si="122"/>
        <v>0</v>
      </c>
      <c r="GTA42">
        <f t="shared" si="122"/>
        <v>0</v>
      </c>
      <c r="GTB42">
        <f t="shared" si="122"/>
        <v>0</v>
      </c>
      <c r="GTC42">
        <f t="shared" si="122"/>
        <v>0</v>
      </c>
      <c r="GTD42">
        <f t="shared" si="122"/>
        <v>0</v>
      </c>
      <c r="GTE42">
        <f t="shared" si="122"/>
        <v>0</v>
      </c>
      <c r="GTF42">
        <f t="shared" si="122"/>
        <v>0</v>
      </c>
      <c r="GTG42">
        <f t="shared" si="122"/>
        <v>0</v>
      </c>
      <c r="GTH42">
        <f t="shared" si="122"/>
        <v>0</v>
      </c>
      <c r="GTI42">
        <f t="shared" si="122"/>
        <v>0</v>
      </c>
      <c r="GTJ42">
        <f t="shared" si="122"/>
        <v>0</v>
      </c>
      <c r="GTK42">
        <f t="shared" si="122"/>
        <v>0</v>
      </c>
      <c r="GTL42">
        <f t="shared" si="122"/>
        <v>0</v>
      </c>
      <c r="GTM42">
        <f t="shared" si="122"/>
        <v>0</v>
      </c>
      <c r="GTN42">
        <f t="shared" si="122"/>
        <v>0</v>
      </c>
      <c r="GTO42">
        <f t="shared" si="122"/>
        <v>0</v>
      </c>
      <c r="GTP42">
        <f t="shared" si="122"/>
        <v>0</v>
      </c>
      <c r="GTQ42">
        <f t="shared" si="122"/>
        <v>0</v>
      </c>
      <c r="GTR42">
        <f t="shared" si="122"/>
        <v>0</v>
      </c>
      <c r="GTS42">
        <f t="shared" si="122"/>
        <v>0</v>
      </c>
      <c r="GTT42">
        <f t="shared" si="122"/>
        <v>0</v>
      </c>
      <c r="GTU42">
        <f t="shared" si="122"/>
        <v>0</v>
      </c>
      <c r="GTV42">
        <f t="shared" si="122"/>
        <v>0</v>
      </c>
      <c r="GTW42">
        <f t="shared" si="122"/>
        <v>0</v>
      </c>
      <c r="GTX42">
        <f t="shared" si="122"/>
        <v>0</v>
      </c>
      <c r="GTY42">
        <f t="shared" si="122"/>
        <v>0</v>
      </c>
      <c r="GTZ42">
        <f t="shared" si="122"/>
        <v>0</v>
      </c>
      <c r="GUA42">
        <f t="shared" si="122"/>
        <v>0</v>
      </c>
      <c r="GUB42">
        <f t="shared" si="122"/>
        <v>0</v>
      </c>
      <c r="GUC42">
        <f t="shared" si="122"/>
        <v>0</v>
      </c>
      <c r="GUD42">
        <f t="shared" si="122"/>
        <v>0</v>
      </c>
      <c r="GUE42">
        <f t="shared" si="122"/>
        <v>0</v>
      </c>
      <c r="GUF42">
        <f t="shared" si="122"/>
        <v>0</v>
      </c>
      <c r="GUG42">
        <f t="shared" si="122"/>
        <v>0</v>
      </c>
      <c r="GUH42">
        <f t="shared" si="122"/>
        <v>0</v>
      </c>
      <c r="GUI42">
        <f t="shared" si="122"/>
        <v>0</v>
      </c>
      <c r="GUJ42">
        <f t="shared" si="122"/>
        <v>0</v>
      </c>
      <c r="GUK42">
        <f t="shared" si="122"/>
        <v>0</v>
      </c>
      <c r="GUL42">
        <f t="shared" si="122"/>
        <v>0</v>
      </c>
      <c r="GUM42">
        <f t="shared" si="122"/>
        <v>0</v>
      </c>
      <c r="GUN42">
        <f t="shared" si="122"/>
        <v>0</v>
      </c>
      <c r="GUO42">
        <f t="shared" si="122"/>
        <v>0</v>
      </c>
      <c r="GUP42">
        <f t="shared" si="122"/>
        <v>0</v>
      </c>
      <c r="GUQ42">
        <f t="shared" si="122"/>
        <v>0</v>
      </c>
      <c r="GUR42">
        <f t="shared" si="122"/>
        <v>0</v>
      </c>
      <c r="GUS42">
        <f t="shared" si="122"/>
        <v>0</v>
      </c>
      <c r="GUT42">
        <f t="shared" si="122"/>
        <v>0</v>
      </c>
      <c r="GUU42">
        <f t="shared" si="122"/>
        <v>0</v>
      </c>
      <c r="GUV42">
        <f t="shared" si="122"/>
        <v>0</v>
      </c>
      <c r="GUW42">
        <f t="shared" si="122"/>
        <v>0</v>
      </c>
      <c r="GUX42">
        <f t="shared" si="122"/>
        <v>0</v>
      </c>
      <c r="GUY42">
        <f t="shared" si="122"/>
        <v>0</v>
      </c>
      <c r="GUZ42">
        <f t="shared" si="122"/>
        <v>0</v>
      </c>
      <c r="GVA42">
        <f t="shared" si="122"/>
        <v>0</v>
      </c>
      <c r="GVB42">
        <f t="shared" si="122"/>
        <v>0</v>
      </c>
      <c r="GVC42">
        <f t="shared" si="122"/>
        <v>0</v>
      </c>
      <c r="GVD42">
        <f t="shared" si="122"/>
        <v>0</v>
      </c>
      <c r="GVE42">
        <f t="shared" si="122"/>
        <v>0</v>
      </c>
      <c r="GVF42">
        <f t="shared" ref="GVF42:GXQ43" si="123">GVF41*1.6*1.2</f>
        <v>0</v>
      </c>
      <c r="GVG42">
        <f t="shared" si="123"/>
        <v>0</v>
      </c>
      <c r="GVH42">
        <f t="shared" si="123"/>
        <v>0</v>
      </c>
      <c r="GVI42">
        <f t="shared" si="123"/>
        <v>0</v>
      </c>
      <c r="GVJ42">
        <f t="shared" si="123"/>
        <v>0</v>
      </c>
      <c r="GVK42">
        <f t="shared" si="123"/>
        <v>0</v>
      </c>
      <c r="GVL42">
        <f t="shared" si="123"/>
        <v>0</v>
      </c>
      <c r="GVM42">
        <f t="shared" si="123"/>
        <v>0</v>
      </c>
      <c r="GVN42">
        <f t="shared" si="123"/>
        <v>0</v>
      </c>
      <c r="GVO42">
        <f t="shared" si="123"/>
        <v>0</v>
      </c>
      <c r="GVP42">
        <f t="shared" si="123"/>
        <v>0</v>
      </c>
      <c r="GVQ42">
        <f t="shared" si="123"/>
        <v>0</v>
      </c>
      <c r="GVR42">
        <f t="shared" si="123"/>
        <v>0</v>
      </c>
      <c r="GVS42">
        <f t="shared" si="123"/>
        <v>0</v>
      </c>
      <c r="GVT42">
        <f t="shared" si="123"/>
        <v>0</v>
      </c>
      <c r="GVU42">
        <f t="shared" si="123"/>
        <v>0</v>
      </c>
      <c r="GVV42">
        <f t="shared" si="123"/>
        <v>0</v>
      </c>
      <c r="GVW42">
        <f t="shared" si="123"/>
        <v>0</v>
      </c>
      <c r="GVX42">
        <f t="shared" si="123"/>
        <v>0</v>
      </c>
      <c r="GVY42">
        <f t="shared" si="123"/>
        <v>0</v>
      </c>
      <c r="GVZ42">
        <f t="shared" si="123"/>
        <v>0</v>
      </c>
      <c r="GWA42">
        <f t="shared" si="123"/>
        <v>0</v>
      </c>
      <c r="GWB42">
        <f t="shared" si="123"/>
        <v>0</v>
      </c>
      <c r="GWC42">
        <f t="shared" si="123"/>
        <v>0</v>
      </c>
      <c r="GWD42">
        <f t="shared" si="123"/>
        <v>0</v>
      </c>
      <c r="GWE42">
        <f t="shared" si="123"/>
        <v>0</v>
      </c>
      <c r="GWF42">
        <f t="shared" si="123"/>
        <v>0</v>
      </c>
      <c r="GWG42">
        <f t="shared" si="123"/>
        <v>0</v>
      </c>
      <c r="GWH42">
        <f t="shared" si="123"/>
        <v>0</v>
      </c>
      <c r="GWI42">
        <f t="shared" si="123"/>
        <v>0</v>
      </c>
      <c r="GWJ42">
        <f t="shared" si="123"/>
        <v>0</v>
      </c>
      <c r="GWK42">
        <f t="shared" si="123"/>
        <v>0</v>
      </c>
      <c r="GWL42">
        <f t="shared" si="123"/>
        <v>0</v>
      </c>
      <c r="GWM42">
        <f t="shared" si="123"/>
        <v>0</v>
      </c>
      <c r="GWN42">
        <f t="shared" si="123"/>
        <v>0</v>
      </c>
      <c r="GWO42">
        <f t="shared" si="123"/>
        <v>0</v>
      </c>
      <c r="GWP42">
        <f t="shared" si="123"/>
        <v>0</v>
      </c>
      <c r="GWQ42">
        <f t="shared" si="123"/>
        <v>0</v>
      </c>
      <c r="GWR42">
        <f t="shared" si="123"/>
        <v>0</v>
      </c>
      <c r="GWS42">
        <f t="shared" si="123"/>
        <v>0</v>
      </c>
      <c r="GWT42">
        <f t="shared" si="123"/>
        <v>0</v>
      </c>
      <c r="GWU42">
        <f t="shared" si="123"/>
        <v>0</v>
      </c>
      <c r="GWV42">
        <f t="shared" si="123"/>
        <v>0</v>
      </c>
      <c r="GWW42">
        <f t="shared" si="123"/>
        <v>0</v>
      </c>
      <c r="GWX42">
        <f t="shared" si="123"/>
        <v>0</v>
      </c>
      <c r="GWY42">
        <f t="shared" si="123"/>
        <v>0</v>
      </c>
      <c r="GWZ42">
        <f t="shared" si="123"/>
        <v>0</v>
      </c>
      <c r="GXA42">
        <f t="shared" si="123"/>
        <v>0</v>
      </c>
      <c r="GXB42">
        <f t="shared" si="123"/>
        <v>0</v>
      </c>
      <c r="GXC42">
        <f t="shared" si="123"/>
        <v>0</v>
      </c>
      <c r="GXD42">
        <f t="shared" si="123"/>
        <v>0</v>
      </c>
      <c r="GXE42">
        <f t="shared" si="123"/>
        <v>0</v>
      </c>
      <c r="GXF42">
        <f t="shared" si="123"/>
        <v>0</v>
      </c>
      <c r="GXG42">
        <f t="shared" si="123"/>
        <v>0</v>
      </c>
      <c r="GXH42">
        <f t="shared" si="123"/>
        <v>0</v>
      </c>
      <c r="GXI42">
        <f t="shared" si="123"/>
        <v>0</v>
      </c>
      <c r="GXJ42">
        <f t="shared" si="123"/>
        <v>0</v>
      </c>
      <c r="GXK42">
        <f t="shared" si="123"/>
        <v>0</v>
      </c>
      <c r="GXL42">
        <f t="shared" si="123"/>
        <v>0</v>
      </c>
      <c r="GXM42">
        <f t="shared" si="123"/>
        <v>0</v>
      </c>
      <c r="GXN42">
        <f t="shared" si="123"/>
        <v>0</v>
      </c>
      <c r="GXO42">
        <f t="shared" si="123"/>
        <v>0</v>
      </c>
      <c r="GXP42">
        <f t="shared" si="123"/>
        <v>0</v>
      </c>
      <c r="GXQ42">
        <f t="shared" si="123"/>
        <v>0</v>
      </c>
      <c r="GXR42">
        <f t="shared" ref="GXR42:HAC43" si="124">GXR41*1.6*1.2</f>
        <v>0</v>
      </c>
      <c r="GXS42">
        <f t="shared" si="124"/>
        <v>0</v>
      </c>
      <c r="GXT42">
        <f t="shared" si="124"/>
        <v>0</v>
      </c>
      <c r="GXU42">
        <f t="shared" si="124"/>
        <v>0</v>
      </c>
      <c r="GXV42">
        <f t="shared" si="124"/>
        <v>0</v>
      </c>
      <c r="GXW42">
        <f t="shared" si="124"/>
        <v>0</v>
      </c>
      <c r="GXX42">
        <f t="shared" si="124"/>
        <v>0</v>
      </c>
      <c r="GXY42">
        <f t="shared" si="124"/>
        <v>0</v>
      </c>
      <c r="GXZ42">
        <f t="shared" si="124"/>
        <v>0</v>
      </c>
      <c r="GYA42">
        <f t="shared" si="124"/>
        <v>0</v>
      </c>
      <c r="GYB42">
        <f t="shared" si="124"/>
        <v>0</v>
      </c>
      <c r="GYC42">
        <f t="shared" si="124"/>
        <v>0</v>
      </c>
      <c r="GYD42">
        <f t="shared" si="124"/>
        <v>0</v>
      </c>
      <c r="GYE42">
        <f t="shared" si="124"/>
        <v>0</v>
      </c>
      <c r="GYF42">
        <f t="shared" si="124"/>
        <v>0</v>
      </c>
      <c r="GYG42">
        <f t="shared" si="124"/>
        <v>0</v>
      </c>
      <c r="GYH42">
        <f t="shared" si="124"/>
        <v>0</v>
      </c>
      <c r="GYI42">
        <f t="shared" si="124"/>
        <v>0</v>
      </c>
      <c r="GYJ42">
        <f t="shared" si="124"/>
        <v>0</v>
      </c>
      <c r="GYK42">
        <f t="shared" si="124"/>
        <v>0</v>
      </c>
      <c r="GYL42">
        <f t="shared" si="124"/>
        <v>0</v>
      </c>
      <c r="GYM42">
        <f t="shared" si="124"/>
        <v>0</v>
      </c>
      <c r="GYN42">
        <f t="shared" si="124"/>
        <v>0</v>
      </c>
      <c r="GYO42">
        <f t="shared" si="124"/>
        <v>0</v>
      </c>
      <c r="GYP42">
        <f t="shared" si="124"/>
        <v>0</v>
      </c>
      <c r="GYQ42">
        <f t="shared" si="124"/>
        <v>0</v>
      </c>
      <c r="GYR42">
        <f t="shared" si="124"/>
        <v>0</v>
      </c>
      <c r="GYS42">
        <f t="shared" si="124"/>
        <v>0</v>
      </c>
      <c r="GYT42">
        <f t="shared" si="124"/>
        <v>0</v>
      </c>
      <c r="GYU42">
        <f t="shared" si="124"/>
        <v>0</v>
      </c>
      <c r="GYV42">
        <f t="shared" si="124"/>
        <v>0</v>
      </c>
      <c r="GYW42">
        <f t="shared" si="124"/>
        <v>0</v>
      </c>
      <c r="GYX42">
        <f t="shared" si="124"/>
        <v>0</v>
      </c>
      <c r="GYY42">
        <f t="shared" si="124"/>
        <v>0</v>
      </c>
      <c r="GYZ42">
        <f t="shared" si="124"/>
        <v>0</v>
      </c>
      <c r="GZA42">
        <f t="shared" si="124"/>
        <v>0</v>
      </c>
      <c r="GZB42">
        <f t="shared" si="124"/>
        <v>0</v>
      </c>
      <c r="GZC42">
        <f t="shared" si="124"/>
        <v>0</v>
      </c>
      <c r="GZD42">
        <f t="shared" si="124"/>
        <v>0</v>
      </c>
      <c r="GZE42">
        <f t="shared" si="124"/>
        <v>0</v>
      </c>
      <c r="GZF42">
        <f t="shared" si="124"/>
        <v>0</v>
      </c>
      <c r="GZG42">
        <f t="shared" si="124"/>
        <v>0</v>
      </c>
      <c r="GZH42">
        <f t="shared" si="124"/>
        <v>0</v>
      </c>
      <c r="GZI42">
        <f t="shared" si="124"/>
        <v>0</v>
      </c>
      <c r="GZJ42">
        <f t="shared" si="124"/>
        <v>0</v>
      </c>
      <c r="GZK42">
        <f t="shared" si="124"/>
        <v>0</v>
      </c>
      <c r="GZL42">
        <f t="shared" si="124"/>
        <v>0</v>
      </c>
      <c r="GZM42">
        <f t="shared" si="124"/>
        <v>0</v>
      </c>
      <c r="GZN42">
        <f t="shared" si="124"/>
        <v>0</v>
      </c>
      <c r="GZO42">
        <f t="shared" si="124"/>
        <v>0</v>
      </c>
      <c r="GZP42">
        <f t="shared" si="124"/>
        <v>0</v>
      </c>
      <c r="GZQ42">
        <f t="shared" si="124"/>
        <v>0</v>
      </c>
      <c r="GZR42">
        <f t="shared" si="124"/>
        <v>0</v>
      </c>
      <c r="GZS42">
        <f t="shared" si="124"/>
        <v>0</v>
      </c>
      <c r="GZT42">
        <f t="shared" si="124"/>
        <v>0</v>
      </c>
      <c r="GZU42">
        <f t="shared" si="124"/>
        <v>0</v>
      </c>
      <c r="GZV42">
        <f t="shared" si="124"/>
        <v>0</v>
      </c>
      <c r="GZW42">
        <f t="shared" si="124"/>
        <v>0</v>
      </c>
      <c r="GZX42">
        <f t="shared" si="124"/>
        <v>0</v>
      </c>
      <c r="GZY42">
        <f t="shared" si="124"/>
        <v>0</v>
      </c>
      <c r="GZZ42">
        <f t="shared" si="124"/>
        <v>0</v>
      </c>
      <c r="HAA42">
        <f t="shared" si="124"/>
        <v>0</v>
      </c>
      <c r="HAB42">
        <f t="shared" si="124"/>
        <v>0</v>
      </c>
      <c r="HAC42">
        <f t="shared" si="124"/>
        <v>0</v>
      </c>
      <c r="HAD42">
        <f t="shared" ref="HAD42:HCO43" si="125">HAD41*1.6*1.2</f>
        <v>0</v>
      </c>
      <c r="HAE42">
        <f t="shared" si="125"/>
        <v>0</v>
      </c>
      <c r="HAF42">
        <f t="shared" si="125"/>
        <v>0</v>
      </c>
      <c r="HAG42">
        <f t="shared" si="125"/>
        <v>0</v>
      </c>
      <c r="HAH42">
        <f t="shared" si="125"/>
        <v>0</v>
      </c>
      <c r="HAI42">
        <f t="shared" si="125"/>
        <v>0</v>
      </c>
      <c r="HAJ42">
        <f t="shared" si="125"/>
        <v>0</v>
      </c>
      <c r="HAK42">
        <f t="shared" si="125"/>
        <v>0</v>
      </c>
      <c r="HAL42">
        <f t="shared" si="125"/>
        <v>0</v>
      </c>
      <c r="HAM42">
        <f t="shared" si="125"/>
        <v>0</v>
      </c>
      <c r="HAN42">
        <f t="shared" si="125"/>
        <v>0</v>
      </c>
      <c r="HAO42">
        <f t="shared" si="125"/>
        <v>0</v>
      </c>
      <c r="HAP42">
        <f t="shared" si="125"/>
        <v>0</v>
      </c>
      <c r="HAQ42">
        <f t="shared" si="125"/>
        <v>0</v>
      </c>
      <c r="HAR42">
        <f t="shared" si="125"/>
        <v>0</v>
      </c>
      <c r="HAS42">
        <f t="shared" si="125"/>
        <v>0</v>
      </c>
      <c r="HAT42">
        <f t="shared" si="125"/>
        <v>0</v>
      </c>
      <c r="HAU42">
        <f t="shared" si="125"/>
        <v>0</v>
      </c>
      <c r="HAV42">
        <f t="shared" si="125"/>
        <v>0</v>
      </c>
      <c r="HAW42">
        <f t="shared" si="125"/>
        <v>0</v>
      </c>
      <c r="HAX42">
        <f t="shared" si="125"/>
        <v>0</v>
      </c>
      <c r="HAY42">
        <f t="shared" si="125"/>
        <v>0</v>
      </c>
      <c r="HAZ42">
        <f t="shared" si="125"/>
        <v>0</v>
      </c>
      <c r="HBA42">
        <f t="shared" si="125"/>
        <v>0</v>
      </c>
      <c r="HBB42">
        <f t="shared" si="125"/>
        <v>0</v>
      </c>
      <c r="HBC42">
        <f t="shared" si="125"/>
        <v>0</v>
      </c>
      <c r="HBD42">
        <f t="shared" si="125"/>
        <v>0</v>
      </c>
      <c r="HBE42">
        <f t="shared" si="125"/>
        <v>0</v>
      </c>
      <c r="HBF42">
        <f t="shared" si="125"/>
        <v>0</v>
      </c>
      <c r="HBG42">
        <f t="shared" si="125"/>
        <v>0</v>
      </c>
      <c r="HBH42">
        <f t="shared" si="125"/>
        <v>0</v>
      </c>
      <c r="HBI42">
        <f t="shared" si="125"/>
        <v>0</v>
      </c>
      <c r="HBJ42">
        <f t="shared" si="125"/>
        <v>0</v>
      </c>
      <c r="HBK42">
        <f t="shared" si="125"/>
        <v>0</v>
      </c>
      <c r="HBL42">
        <f t="shared" si="125"/>
        <v>0</v>
      </c>
      <c r="HBM42">
        <f t="shared" si="125"/>
        <v>0</v>
      </c>
      <c r="HBN42">
        <f t="shared" si="125"/>
        <v>0</v>
      </c>
      <c r="HBO42">
        <f t="shared" si="125"/>
        <v>0</v>
      </c>
      <c r="HBP42">
        <f t="shared" si="125"/>
        <v>0</v>
      </c>
      <c r="HBQ42">
        <f t="shared" si="125"/>
        <v>0</v>
      </c>
      <c r="HBR42">
        <f t="shared" si="125"/>
        <v>0</v>
      </c>
      <c r="HBS42">
        <f t="shared" si="125"/>
        <v>0</v>
      </c>
      <c r="HBT42">
        <f t="shared" si="125"/>
        <v>0</v>
      </c>
      <c r="HBU42">
        <f t="shared" si="125"/>
        <v>0</v>
      </c>
      <c r="HBV42">
        <f t="shared" si="125"/>
        <v>0</v>
      </c>
      <c r="HBW42">
        <f t="shared" si="125"/>
        <v>0</v>
      </c>
      <c r="HBX42">
        <f t="shared" si="125"/>
        <v>0</v>
      </c>
      <c r="HBY42">
        <f t="shared" si="125"/>
        <v>0</v>
      </c>
      <c r="HBZ42">
        <f t="shared" si="125"/>
        <v>0</v>
      </c>
      <c r="HCA42">
        <f t="shared" si="125"/>
        <v>0</v>
      </c>
      <c r="HCB42">
        <f t="shared" si="125"/>
        <v>0</v>
      </c>
      <c r="HCC42">
        <f t="shared" si="125"/>
        <v>0</v>
      </c>
      <c r="HCD42">
        <f t="shared" si="125"/>
        <v>0</v>
      </c>
      <c r="HCE42">
        <f t="shared" si="125"/>
        <v>0</v>
      </c>
      <c r="HCF42">
        <f t="shared" si="125"/>
        <v>0</v>
      </c>
      <c r="HCG42">
        <f t="shared" si="125"/>
        <v>0</v>
      </c>
      <c r="HCH42">
        <f t="shared" si="125"/>
        <v>0</v>
      </c>
      <c r="HCI42">
        <f t="shared" si="125"/>
        <v>0</v>
      </c>
      <c r="HCJ42">
        <f t="shared" si="125"/>
        <v>0</v>
      </c>
      <c r="HCK42">
        <f t="shared" si="125"/>
        <v>0</v>
      </c>
      <c r="HCL42">
        <f t="shared" si="125"/>
        <v>0</v>
      </c>
      <c r="HCM42">
        <f t="shared" si="125"/>
        <v>0</v>
      </c>
      <c r="HCN42">
        <f t="shared" si="125"/>
        <v>0</v>
      </c>
      <c r="HCO42">
        <f t="shared" si="125"/>
        <v>0</v>
      </c>
      <c r="HCP42">
        <f t="shared" ref="HCP42:HFA43" si="126">HCP41*1.6*1.2</f>
        <v>0</v>
      </c>
      <c r="HCQ42">
        <f t="shared" si="126"/>
        <v>0</v>
      </c>
      <c r="HCR42">
        <f t="shared" si="126"/>
        <v>0</v>
      </c>
      <c r="HCS42">
        <f t="shared" si="126"/>
        <v>0</v>
      </c>
      <c r="HCT42">
        <f t="shared" si="126"/>
        <v>0</v>
      </c>
      <c r="HCU42">
        <f t="shared" si="126"/>
        <v>0</v>
      </c>
      <c r="HCV42">
        <f t="shared" si="126"/>
        <v>0</v>
      </c>
      <c r="HCW42">
        <f t="shared" si="126"/>
        <v>0</v>
      </c>
      <c r="HCX42">
        <f t="shared" si="126"/>
        <v>0</v>
      </c>
      <c r="HCY42">
        <f t="shared" si="126"/>
        <v>0</v>
      </c>
      <c r="HCZ42">
        <f t="shared" si="126"/>
        <v>0</v>
      </c>
      <c r="HDA42">
        <f t="shared" si="126"/>
        <v>0</v>
      </c>
      <c r="HDB42">
        <f t="shared" si="126"/>
        <v>0</v>
      </c>
      <c r="HDC42">
        <f t="shared" si="126"/>
        <v>0</v>
      </c>
      <c r="HDD42">
        <f t="shared" si="126"/>
        <v>0</v>
      </c>
      <c r="HDE42">
        <f t="shared" si="126"/>
        <v>0</v>
      </c>
      <c r="HDF42">
        <f t="shared" si="126"/>
        <v>0</v>
      </c>
      <c r="HDG42">
        <f t="shared" si="126"/>
        <v>0</v>
      </c>
      <c r="HDH42">
        <f t="shared" si="126"/>
        <v>0</v>
      </c>
      <c r="HDI42">
        <f t="shared" si="126"/>
        <v>0</v>
      </c>
      <c r="HDJ42">
        <f t="shared" si="126"/>
        <v>0</v>
      </c>
      <c r="HDK42">
        <f t="shared" si="126"/>
        <v>0</v>
      </c>
      <c r="HDL42">
        <f t="shared" si="126"/>
        <v>0</v>
      </c>
      <c r="HDM42">
        <f t="shared" si="126"/>
        <v>0</v>
      </c>
      <c r="HDN42">
        <f t="shared" si="126"/>
        <v>0</v>
      </c>
      <c r="HDO42">
        <f t="shared" si="126"/>
        <v>0</v>
      </c>
      <c r="HDP42">
        <f t="shared" si="126"/>
        <v>0</v>
      </c>
      <c r="HDQ42">
        <f t="shared" si="126"/>
        <v>0</v>
      </c>
      <c r="HDR42">
        <f t="shared" si="126"/>
        <v>0</v>
      </c>
      <c r="HDS42">
        <f t="shared" si="126"/>
        <v>0</v>
      </c>
      <c r="HDT42">
        <f t="shared" si="126"/>
        <v>0</v>
      </c>
      <c r="HDU42">
        <f t="shared" si="126"/>
        <v>0</v>
      </c>
      <c r="HDV42">
        <f t="shared" si="126"/>
        <v>0</v>
      </c>
      <c r="HDW42">
        <f t="shared" si="126"/>
        <v>0</v>
      </c>
      <c r="HDX42">
        <f t="shared" si="126"/>
        <v>0</v>
      </c>
      <c r="HDY42">
        <f t="shared" si="126"/>
        <v>0</v>
      </c>
      <c r="HDZ42">
        <f t="shared" si="126"/>
        <v>0</v>
      </c>
      <c r="HEA42">
        <f t="shared" si="126"/>
        <v>0</v>
      </c>
      <c r="HEB42">
        <f t="shared" si="126"/>
        <v>0</v>
      </c>
      <c r="HEC42">
        <f t="shared" si="126"/>
        <v>0</v>
      </c>
      <c r="HED42">
        <f t="shared" si="126"/>
        <v>0</v>
      </c>
      <c r="HEE42">
        <f t="shared" si="126"/>
        <v>0</v>
      </c>
      <c r="HEF42">
        <f t="shared" si="126"/>
        <v>0</v>
      </c>
      <c r="HEG42">
        <f t="shared" si="126"/>
        <v>0</v>
      </c>
      <c r="HEH42">
        <f t="shared" si="126"/>
        <v>0</v>
      </c>
      <c r="HEI42">
        <f t="shared" si="126"/>
        <v>0</v>
      </c>
      <c r="HEJ42">
        <f t="shared" si="126"/>
        <v>0</v>
      </c>
      <c r="HEK42">
        <f t="shared" si="126"/>
        <v>0</v>
      </c>
      <c r="HEL42">
        <f t="shared" si="126"/>
        <v>0</v>
      </c>
      <c r="HEM42">
        <f t="shared" si="126"/>
        <v>0</v>
      </c>
      <c r="HEN42">
        <f t="shared" si="126"/>
        <v>0</v>
      </c>
      <c r="HEO42">
        <f t="shared" si="126"/>
        <v>0</v>
      </c>
      <c r="HEP42">
        <f t="shared" si="126"/>
        <v>0</v>
      </c>
      <c r="HEQ42">
        <f t="shared" si="126"/>
        <v>0</v>
      </c>
      <c r="HER42">
        <f t="shared" si="126"/>
        <v>0</v>
      </c>
      <c r="HES42">
        <f t="shared" si="126"/>
        <v>0</v>
      </c>
      <c r="HET42">
        <f t="shared" si="126"/>
        <v>0</v>
      </c>
      <c r="HEU42">
        <f t="shared" si="126"/>
        <v>0</v>
      </c>
      <c r="HEV42">
        <f t="shared" si="126"/>
        <v>0</v>
      </c>
      <c r="HEW42">
        <f t="shared" si="126"/>
        <v>0</v>
      </c>
      <c r="HEX42">
        <f t="shared" si="126"/>
        <v>0</v>
      </c>
      <c r="HEY42">
        <f t="shared" si="126"/>
        <v>0</v>
      </c>
      <c r="HEZ42">
        <f t="shared" si="126"/>
        <v>0</v>
      </c>
      <c r="HFA42">
        <f t="shared" si="126"/>
        <v>0</v>
      </c>
      <c r="HFB42">
        <f t="shared" ref="HFB42:HHM43" si="127">HFB41*1.6*1.2</f>
        <v>0</v>
      </c>
      <c r="HFC42">
        <f t="shared" si="127"/>
        <v>0</v>
      </c>
      <c r="HFD42">
        <f t="shared" si="127"/>
        <v>0</v>
      </c>
      <c r="HFE42">
        <f t="shared" si="127"/>
        <v>0</v>
      </c>
      <c r="HFF42">
        <f t="shared" si="127"/>
        <v>0</v>
      </c>
      <c r="HFG42">
        <f t="shared" si="127"/>
        <v>0</v>
      </c>
      <c r="HFH42">
        <f t="shared" si="127"/>
        <v>0</v>
      </c>
      <c r="HFI42">
        <f t="shared" si="127"/>
        <v>0</v>
      </c>
      <c r="HFJ42">
        <f t="shared" si="127"/>
        <v>0</v>
      </c>
      <c r="HFK42">
        <f t="shared" si="127"/>
        <v>0</v>
      </c>
      <c r="HFL42">
        <f t="shared" si="127"/>
        <v>0</v>
      </c>
      <c r="HFM42">
        <f t="shared" si="127"/>
        <v>0</v>
      </c>
      <c r="HFN42">
        <f t="shared" si="127"/>
        <v>0</v>
      </c>
      <c r="HFO42">
        <f t="shared" si="127"/>
        <v>0</v>
      </c>
      <c r="HFP42">
        <f t="shared" si="127"/>
        <v>0</v>
      </c>
      <c r="HFQ42">
        <f t="shared" si="127"/>
        <v>0</v>
      </c>
      <c r="HFR42">
        <f t="shared" si="127"/>
        <v>0</v>
      </c>
      <c r="HFS42">
        <f t="shared" si="127"/>
        <v>0</v>
      </c>
      <c r="HFT42">
        <f t="shared" si="127"/>
        <v>0</v>
      </c>
      <c r="HFU42">
        <f t="shared" si="127"/>
        <v>0</v>
      </c>
      <c r="HFV42">
        <f t="shared" si="127"/>
        <v>0</v>
      </c>
      <c r="HFW42">
        <f t="shared" si="127"/>
        <v>0</v>
      </c>
      <c r="HFX42">
        <f t="shared" si="127"/>
        <v>0</v>
      </c>
      <c r="HFY42">
        <f t="shared" si="127"/>
        <v>0</v>
      </c>
      <c r="HFZ42">
        <f t="shared" si="127"/>
        <v>0</v>
      </c>
      <c r="HGA42">
        <f t="shared" si="127"/>
        <v>0</v>
      </c>
      <c r="HGB42">
        <f t="shared" si="127"/>
        <v>0</v>
      </c>
      <c r="HGC42">
        <f t="shared" si="127"/>
        <v>0</v>
      </c>
      <c r="HGD42">
        <f t="shared" si="127"/>
        <v>0</v>
      </c>
      <c r="HGE42">
        <f t="shared" si="127"/>
        <v>0</v>
      </c>
      <c r="HGF42">
        <f t="shared" si="127"/>
        <v>0</v>
      </c>
      <c r="HGG42">
        <f t="shared" si="127"/>
        <v>0</v>
      </c>
      <c r="HGH42">
        <f t="shared" si="127"/>
        <v>0</v>
      </c>
      <c r="HGI42">
        <f t="shared" si="127"/>
        <v>0</v>
      </c>
      <c r="HGJ42">
        <f t="shared" si="127"/>
        <v>0</v>
      </c>
      <c r="HGK42">
        <f t="shared" si="127"/>
        <v>0</v>
      </c>
      <c r="HGL42">
        <f t="shared" si="127"/>
        <v>0</v>
      </c>
      <c r="HGM42">
        <f t="shared" si="127"/>
        <v>0</v>
      </c>
      <c r="HGN42">
        <f t="shared" si="127"/>
        <v>0</v>
      </c>
      <c r="HGO42">
        <f t="shared" si="127"/>
        <v>0</v>
      </c>
      <c r="HGP42">
        <f t="shared" si="127"/>
        <v>0</v>
      </c>
      <c r="HGQ42">
        <f t="shared" si="127"/>
        <v>0</v>
      </c>
      <c r="HGR42">
        <f t="shared" si="127"/>
        <v>0</v>
      </c>
      <c r="HGS42">
        <f t="shared" si="127"/>
        <v>0</v>
      </c>
      <c r="HGT42">
        <f t="shared" si="127"/>
        <v>0</v>
      </c>
      <c r="HGU42">
        <f t="shared" si="127"/>
        <v>0</v>
      </c>
      <c r="HGV42">
        <f t="shared" si="127"/>
        <v>0</v>
      </c>
      <c r="HGW42">
        <f t="shared" si="127"/>
        <v>0</v>
      </c>
      <c r="HGX42">
        <f t="shared" si="127"/>
        <v>0</v>
      </c>
      <c r="HGY42">
        <f t="shared" si="127"/>
        <v>0</v>
      </c>
      <c r="HGZ42">
        <f t="shared" si="127"/>
        <v>0</v>
      </c>
      <c r="HHA42">
        <f t="shared" si="127"/>
        <v>0</v>
      </c>
      <c r="HHB42">
        <f t="shared" si="127"/>
        <v>0</v>
      </c>
      <c r="HHC42">
        <f t="shared" si="127"/>
        <v>0</v>
      </c>
      <c r="HHD42">
        <f t="shared" si="127"/>
        <v>0</v>
      </c>
      <c r="HHE42">
        <f t="shared" si="127"/>
        <v>0</v>
      </c>
      <c r="HHF42">
        <f t="shared" si="127"/>
        <v>0</v>
      </c>
      <c r="HHG42">
        <f t="shared" si="127"/>
        <v>0</v>
      </c>
      <c r="HHH42">
        <f t="shared" si="127"/>
        <v>0</v>
      </c>
      <c r="HHI42">
        <f t="shared" si="127"/>
        <v>0</v>
      </c>
      <c r="HHJ42">
        <f t="shared" si="127"/>
        <v>0</v>
      </c>
      <c r="HHK42">
        <f t="shared" si="127"/>
        <v>0</v>
      </c>
      <c r="HHL42">
        <f t="shared" si="127"/>
        <v>0</v>
      </c>
      <c r="HHM42">
        <f t="shared" si="127"/>
        <v>0</v>
      </c>
      <c r="HHN42">
        <f t="shared" ref="HHN42:HJY43" si="128">HHN41*1.6*1.2</f>
        <v>0</v>
      </c>
      <c r="HHO42">
        <f t="shared" si="128"/>
        <v>0</v>
      </c>
      <c r="HHP42">
        <f t="shared" si="128"/>
        <v>0</v>
      </c>
      <c r="HHQ42">
        <f t="shared" si="128"/>
        <v>0</v>
      </c>
      <c r="HHR42">
        <f t="shared" si="128"/>
        <v>0</v>
      </c>
      <c r="HHS42">
        <f t="shared" si="128"/>
        <v>0</v>
      </c>
      <c r="HHT42">
        <f t="shared" si="128"/>
        <v>0</v>
      </c>
      <c r="HHU42">
        <f t="shared" si="128"/>
        <v>0</v>
      </c>
      <c r="HHV42">
        <f t="shared" si="128"/>
        <v>0</v>
      </c>
      <c r="HHW42">
        <f t="shared" si="128"/>
        <v>0</v>
      </c>
      <c r="HHX42">
        <f t="shared" si="128"/>
        <v>0</v>
      </c>
      <c r="HHY42">
        <f t="shared" si="128"/>
        <v>0</v>
      </c>
      <c r="HHZ42">
        <f t="shared" si="128"/>
        <v>0</v>
      </c>
      <c r="HIA42">
        <f t="shared" si="128"/>
        <v>0</v>
      </c>
      <c r="HIB42">
        <f t="shared" si="128"/>
        <v>0</v>
      </c>
      <c r="HIC42">
        <f t="shared" si="128"/>
        <v>0</v>
      </c>
      <c r="HID42">
        <f t="shared" si="128"/>
        <v>0</v>
      </c>
      <c r="HIE42">
        <f t="shared" si="128"/>
        <v>0</v>
      </c>
      <c r="HIF42">
        <f t="shared" si="128"/>
        <v>0</v>
      </c>
      <c r="HIG42">
        <f t="shared" si="128"/>
        <v>0</v>
      </c>
      <c r="HIH42">
        <f t="shared" si="128"/>
        <v>0</v>
      </c>
      <c r="HII42">
        <f t="shared" si="128"/>
        <v>0</v>
      </c>
      <c r="HIJ42">
        <f t="shared" si="128"/>
        <v>0</v>
      </c>
      <c r="HIK42">
        <f t="shared" si="128"/>
        <v>0</v>
      </c>
      <c r="HIL42">
        <f t="shared" si="128"/>
        <v>0</v>
      </c>
      <c r="HIM42">
        <f t="shared" si="128"/>
        <v>0</v>
      </c>
      <c r="HIN42">
        <f t="shared" si="128"/>
        <v>0</v>
      </c>
      <c r="HIO42">
        <f t="shared" si="128"/>
        <v>0</v>
      </c>
      <c r="HIP42">
        <f t="shared" si="128"/>
        <v>0</v>
      </c>
      <c r="HIQ42">
        <f t="shared" si="128"/>
        <v>0</v>
      </c>
      <c r="HIR42">
        <f t="shared" si="128"/>
        <v>0</v>
      </c>
      <c r="HIS42">
        <f t="shared" si="128"/>
        <v>0</v>
      </c>
      <c r="HIT42">
        <f t="shared" si="128"/>
        <v>0</v>
      </c>
      <c r="HIU42">
        <f t="shared" si="128"/>
        <v>0</v>
      </c>
      <c r="HIV42">
        <f t="shared" si="128"/>
        <v>0</v>
      </c>
      <c r="HIW42">
        <f t="shared" si="128"/>
        <v>0</v>
      </c>
      <c r="HIX42">
        <f t="shared" si="128"/>
        <v>0</v>
      </c>
      <c r="HIY42">
        <f t="shared" si="128"/>
        <v>0</v>
      </c>
      <c r="HIZ42">
        <f t="shared" si="128"/>
        <v>0</v>
      </c>
      <c r="HJA42">
        <f t="shared" si="128"/>
        <v>0</v>
      </c>
      <c r="HJB42">
        <f t="shared" si="128"/>
        <v>0</v>
      </c>
      <c r="HJC42">
        <f t="shared" si="128"/>
        <v>0</v>
      </c>
      <c r="HJD42">
        <f t="shared" si="128"/>
        <v>0</v>
      </c>
      <c r="HJE42">
        <f t="shared" si="128"/>
        <v>0</v>
      </c>
      <c r="HJF42">
        <f t="shared" si="128"/>
        <v>0</v>
      </c>
      <c r="HJG42">
        <f t="shared" si="128"/>
        <v>0</v>
      </c>
      <c r="HJH42">
        <f t="shared" si="128"/>
        <v>0</v>
      </c>
      <c r="HJI42">
        <f t="shared" si="128"/>
        <v>0</v>
      </c>
      <c r="HJJ42">
        <f t="shared" si="128"/>
        <v>0</v>
      </c>
      <c r="HJK42">
        <f t="shared" si="128"/>
        <v>0</v>
      </c>
      <c r="HJL42">
        <f t="shared" si="128"/>
        <v>0</v>
      </c>
      <c r="HJM42">
        <f t="shared" si="128"/>
        <v>0</v>
      </c>
      <c r="HJN42">
        <f t="shared" si="128"/>
        <v>0</v>
      </c>
      <c r="HJO42">
        <f t="shared" si="128"/>
        <v>0</v>
      </c>
      <c r="HJP42">
        <f t="shared" si="128"/>
        <v>0</v>
      </c>
      <c r="HJQ42">
        <f t="shared" si="128"/>
        <v>0</v>
      </c>
      <c r="HJR42">
        <f t="shared" si="128"/>
        <v>0</v>
      </c>
      <c r="HJS42">
        <f t="shared" si="128"/>
        <v>0</v>
      </c>
      <c r="HJT42">
        <f t="shared" si="128"/>
        <v>0</v>
      </c>
      <c r="HJU42">
        <f t="shared" si="128"/>
        <v>0</v>
      </c>
      <c r="HJV42">
        <f t="shared" si="128"/>
        <v>0</v>
      </c>
      <c r="HJW42">
        <f t="shared" si="128"/>
        <v>0</v>
      </c>
      <c r="HJX42">
        <f t="shared" si="128"/>
        <v>0</v>
      </c>
      <c r="HJY42">
        <f t="shared" si="128"/>
        <v>0</v>
      </c>
      <c r="HJZ42">
        <f t="shared" ref="HJZ42:HMK43" si="129">HJZ41*1.6*1.2</f>
        <v>0</v>
      </c>
      <c r="HKA42">
        <f t="shared" si="129"/>
        <v>0</v>
      </c>
      <c r="HKB42">
        <f t="shared" si="129"/>
        <v>0</v>
      </c>
      <c r="HKC42">
        <f t="shared" si="129"/>
        <v>0</v>
      </c>
      <c r="HKD42">
        <f t="shared" si="129"/>
        <v>0</v>
      </c>
      <c r="HKE42">
        <f t="shared" si="129"/>
        <v>0</v>
      </c>
      <c r="HKF42">
        <f t="shared" si="129"/>
        <v>0</v>
      </c>
      <c r="HKG42">
        <f t="shared" si="129"/>
        <v>0</v>
      </c>
      <c r="HKH42">
        <f t="shared" si="129"/>
        <v>0</v>
      </c>
      <c r="HKI42">
        <f t="shared" si="129"/>
        <v>0</v>
      </c>
      <c r="HKJ42">
        <f t="shared" si="129"/>
        <v>0</v>
      </c>
      <c r="HKK42">
        <f t="shared" si="129"/>
        <v>0</v>
      </c>
      <c r="HKL42">
        <f t="shared" si="129"/>
        <v>0</v>
      </c>
      <c r="HKM42">
        <f t="shared" si="129"/>
        <v>0</v>
      </c>
      <c r="HKN42">
        <f t="shared" si="129"/>
        <v>0</v>
      </c>
      <c r="HKO42">
        <f t="shared" si="129"/>
        <v>0</v>
      </c>
      <c r="HKP42">
        <f t="shared" si="129"/>
        <v>0</v>
      </c>
      <c r="HKQ42">
        <f t="shared" si="129"/>
        <v>0</v>
      </c>
      <c r="HKR42">
        <f t="shared" si="129"/>
        <v>0</v>
      </c>
      <c r="HKS42">
        <f t="shared" si="129"/>
        <v>0</v>
      </c>
      <c r="HKT42">
        <f t="shared" si="129"/>
        <v>0</v>
      </c>
      <c r="HKU42">
        <f t="shared" si="129"/>
        <v>0</v>
      </c>
      <c r="HKV42">
        <f t="shared" si="129"/>
        <v>0</v>
      </c>
      <c r="HKW42">
        <f t="shared" si="129"/>
        <v>0</v>
      </c>
      <c r="HKX42">
        <f t="shared" si="129"/>
        <v>0</v>
      </c>
      <c r="HKY42">
        <f t="shared" si="129"/>
        <v>0</v>
      </c>
      <c r="HKZ42">
        <f t="shared" si="129"/>
        <v>0</v>
      </c>
      <c r="HLA42">
        <f t="shared" si="129"/>
        <v>0</v>
      </c>
      <c r="HLB42">
        <f t="shared" si="129"/>
        <v>0</v>
      </c>
      <c r="HLC42">
        <f t="shared" si="129"/>
        <v>0</v>
      </c>
      <c r="HLD42">
        <f t="shared" si="129"/>
        <v>0</v>
      </c>
      <c r="HLE42">
        <f t="shared" si="129"/>
        <v>0</v>
      </c>
      <c r="HLF42">
        <f t="shared" si="129"/>
        <v>0</v>
      </c>
      <c r="HLG42">
        <f t="shared" si="129"/>
        <v>0</v>
      </c>
      <c r="HLH42">
        <f t="shared" si="129"/>
        <v>0</v>
      </c>
      <c r="HLI42">
        <f t="shared" si="129"/>
        <v>0</v>
      </c>
      <c r="HLJ42">
        <f t="shared" si="129"/>
        <v>0</v>
      </c>
      <c r="HLK42">
        <f t="shared" si="129"/>
        <v>0</v>
      </c>
      <c r="HLL42">
        <f t="shared" si="129"/>
        <v>0</v>
      </c>
      <c r="HLM42">
        <f t="shared" si="129"/>
        <v>0</v>
      </c>
      <c r="HLN42">
        <f t="shared" si="129"/>
        <v>0</v>
      </c>
      <c r="HLO42">
        <f t="shared" si="129"/>
        <v>0</v>
      </c>
      <c r="HLP42">
        <f t="shared" si="129"/>
        <v>0</v>
      </c>
      <c r="HLQ42">
        <f t="shared" si="129"/>
        <v>0</v>
      </c>
      <c r="HLR42">
        <f t="shared" si="129"/>
        <v>0</v>
      </c>
      <c r="HLS42">
        <f t="shared" si="129"/>
        <v>0</v>
      </c>
      <c r="HLT42">
        <f t="shared" si="129"/>
        <v>0</v>
      </c>
      <c r="HLU42">
        <f t="shared" si="129"/>
        <v>0</v>
      </c>
      <c r="HLV42">
        <f t="shared" si="129"/>
        <v>0</v>
      </c>
      <c r="HLW42">
        <f t="shared" si="129"/>
        <v>0</v>
      </c>
      <c r="HLX42">
        <f t="shared" si="129"/>
        <v>0</v>
      </c>
      <c r="HLY42">
        <f t="shared" si="129"/>
        <v>0</v>
      </c>
      <c r="HLZ42">
        <f t="shared" si="129"/>
        <v>0</v>
      </c>
      <c r="HMA42">
        <f t="shared" si="129"/>
        <v>0</v>
      </c>
      <c r="HMB42">
        <f t="shared" si="129"/>
        <v>0</v>
      </c>
      <c r="HMC42">
        <f t="shared" si="129"/>
        <v>0</v>
      </c>
      <c r="HMD42">
        <f t="shared" si="129"/>
        <v>0</v>
      </c>
      <c r="HME42">
        <f t="shared" si="129"/>
        <v>0</v>
      </c>
      <c r="HMF42">
        <f t="shared" si="129"/>
        <v>0</v>
      </c>
      <c r="HMG42">
        <f t="shared" si="129"/>
        <v>0</v>
      </c>
      <c r="HMH42">
        <f t="shared" si="129"/>
        <v>0</v>
      </c>
      <c r="HMI42">
        <f t="shared" si="129"/>
        <v>0</v>
      </c>
      <c r="HMJ42">
        <f t="shared" si="129"/>
        <v>0</v>
      </c>
      <c r="HMK42">
        <f t="shared" si="129"/>
        <v>0</v>
      </c>
      <c r="HML42">
        <f t="shared" ref="HML42:HOW43" si="130">HML41*1.6*1.2</f>
        <v>0</v>
      </c>
      <c r="HMM42">
        <f t="shared" si="130"/>
        <v>0</v>
      </c>
      <c r="HMN42">
        <f t="shared" si="130"/>
        <v>0</v>
      </c>
      <c r="HMO42">
        <f t="shared" si="130"/>
        <v>0</v>
      </c>
      <c r="HMP42">
        <f t="shared" si="130"/>
        <v>0</v>
      </c>
      <c r="HMQ42">
        <f t="shared" si="130"/>
        <v>0</v>
      </c>
      <c r="HMR42">
        <f t="shared" si="130"/>
        <v>0</v>
      </c>
      <c r="HMS42">
        <f t="shared" si="130"/>
        <v>0</v>
      </c>
      <c r="HMT42">
        <f t="shared" si="130"/>
        <v>0</v>
      </c>
      <c r="HMU42">
        <f t="shared" si="130"/>
        <v>0</v>
      </c>
      <c r="HMV42">
        <f t="shared" si="130"/>
        <v>0</v>
      </c>
      <c r="HMW42">
        <f t="shared" si="130"/>
        <v>0</v>
      </c>
      <c r="HMX42">
        <f t="shared" si="130"/>
        <v>0</v>
      </c>
      <c r="HMY42">
        <f t="shared" si="130"/>
        <v>0</v>
      </c>
      <c r="HMZ42">
        <f t="shared" si="130"/>
        <v>0</v>
      </c>
      <c r="HNA42">
        <f t="shared" si="130"/>
        <v>0</v>
      </c>
      <c r="HNB42">
        <f t="shared" si="130"/>
        <v>0</v>
      </c>
      <c r="HNC42">
        <f t="shared" si="130"/>
        <v>0</v>
      </c>
      <c r="HND42">
        <f t="shared" si="130"/>
        <v>0</v>
      </c>
      <c r="HNE42">
        <f t="shared" si="130"/>
        <v>0</v>
      </c>
      <c r="HNF42">
        <f t="shared" si="130"/>
        <v>0</v>
      </c>
      <c r="HNG42">
        <f t="shared" si="130"/>
        <v>0</v>
      </c>
      <c r="HNH42">
        <f t="shared" si="130"/>
        <v>0</v>
      </c>
      <c r="HNI42">
        <f t="shared" si="130"/>
        <v>0</v>
      </c>
      <c r="HNJ42">
        <f t="shared" si="130"/>
        <v>0</v>
      </c>
      <c r="HNK42">
        <f t="shared" si="130"/>
        <v>0</v>
      </c>
      <c r="HNL42">
        <f t="shared" si="130"/>
        <v>0</v>
      </c>
      <c r="HNM42">
        <f t="shared" si="130"/>
        <v>0</v>
      </c>
      <c r="HNN42">
        <f t="shared" si="130"/>
        <v>0</v>
      </c>
      <c r="HNO42">
        <f t="shared" si="130"/>
        <v>0</v>
      </c>
      <c r="HNP42">
        <f t="shared" si="130"/>
        <v>0</v>
      </c>
      <c r="HNQ42">
        <f t="shared" si="130"/>
        <v>0</v>
      </c>
      <c r="HNR42">
        <f t="shared" si="130"/>
        <v>0</v>
      </c>
      <c r="HNS42">
        <f t="shared" si="130"/>
        <v>0</v>
      </c>
      <c r="HNT42">
        <f t="shared" si="130"/>
        <v>0</v>
      </c>
      <c r="HNU42">
        <f t="shared" si="130"/>
        <v>0</v>
      </c>
      <c r="HNV42">
        <f t="shared" si="130"/>
        <v>0</v>
      </c>
      <c r="HNW42">
        <f t="shared" si="130"/>
        <v>0</v>
      </c>
      <c r="HNX42">
        <f t="shared" si="130"/>
        <v>0</v>
      </c>
      <c r="HNY42">
        <f t="shared" si="130"/>
        <v>0</v>
      </c>
      <c r="HNZ42">
        <f t="shared" si="130"/>
        <v>0</v>
      </c>
      <c r="HOA42">
        <f t="shared" si="130"/>
        <v>0</v>
      </c>
      <c r="HOB42">
        <f t="shared" si="130"/>
        <v>0</v>
      </c>
      <c r="HOC42">
        <f t="shared" si="130"/>
        <v>0</v>
      </c>
      <c r="HOD42">
        <f t="shared" si="130"/>
        <v>0</v>
      </c>
      <c r="HOE42">
        <f t="shared" si="130"/>
        <v>0</v>
      </c>
      <c r="HOF42">
        <f t="shared" si="130"/>
        <v>0</v>
      </c>
      <c r="HOG42">
        <f t="shared" si="130"/>
        <v>0</v>
      </c>
      <c r="HOH42">
        <f t="shared" si="130"/>
        <v>0</v>
      </c>
      <c r="HOI42">
        <f t="shared" si="130"/>
        <v>0</v>
      </c>
      <c r="HOJ42">
        <f t="shared" si="130"/>
        <v>0</v>
      </c>
      <c r="HOK42">
        <f t="shared" si="130"/>
        <v>0</v>
      </c>
      <c r="HOL42">
        <f t="shared" si="130"/>
        <v>0</v>
      </c>
      <c r="HOM42">
        <f t="shared" si="130"/>
        <v>0</v>
      </c>
      <c r="HON42">
        <f t="shared" si="130"/>
        <v>0</v>
      </c>
      <c r="HOO42">
        <f t="shared" si="130"/>
        <v>0</v>
      </c>
      <c r="HOP42">
        <f t="shared" si="130"/>
        <v>0</v>
      </c>
      <c r="HOQ42">
        <f t="shared" si="130"/>
        <v>0</v>
      </c>
      <c r="HOR42">
        <f t="shared" si="130"/>
        <v>0</v>
      </c>
      <c r="HOS42">
        <f t="shared" si="130"/>
        <v>0</v>
      </c>
      <c r="HOT42">
        <f t="shared" si="130"/>
        <v>0</v>
      </c>
      <c r="HOU42">
        <f t="shared" si="130"/>
        <v>0</v>
      </c>
      <c r="HOV42">
        <f t="shared" si="130"/>
        <v>0</v>
      </c>
      <c r="HOW42">
        <f t="shared" si="130"/>
        <v>0</v>
      </c>
      <c r="HOX42">
        <f t="shared" ref="HOX42:HRI43" si="131">HOX41*1.6*1.2</f>
        <v>0</v>
      </c>
      <c r="HOY42">
        <f t="shared" si="131"/>
        <v>0</v>
      </c>
      <c r="HOZ42">
        <f t="shared" si="131"/>
        <v>0</v>
      </c>
      <c r="HPA42">
        <f t="shared" si="131"/>
        <v>0</v>
      </c>
      <c r="HPB42">
        <f t="shared" si="131"/>
        <v>0</v>
      </c>
      <c r="HPC42">
        <f t="shared" si="131"/>
        <v>0</v>
      </c>
      <c r="HPD42">
        <f t="shared" si="131"/>
        <v>0</v>
      </c>
      <c r="HPE42">
        <f t="shared" si="131"/>
        <v>0</v>
      </c>
      <c r="HPF42">
        <f t="shared" si="131"/>
        <v>0</v>
      </c>
      <c r="HPG42">
        <f t="shared" si="131"/>
        <v>0</v>
      </c>
      <c r="HPH42">
        <f t="shared" si="131"/>
        <v>0</v>
      </c>
      <c r="HPI42">
        <f t="shared" si="131"/>
        <v>0</v>
      </c>
      <c r="HPJ42">
        <f t="shared" si="131"/>
        <v>0</v>
      </c>
      <c r="HPK42">
        <f t="shared" si="131"/>
        <v>0</v>
      </c>
      <c r="HPL42">
        <f t="shared" si="131"/>
        <v>0</v>
      </c>
      <c r="HPM42">
        <f t="shared" si="131"/>
        <v>0</v>
      </c>
      <c r="HPN42">
        <f t="shared" si="131"/>
        <v>0</v>
      </c>
      <c r="HPO42">
        <f t="shared" si="131"/>
        <v>0</v>
      </c>
      <c r="HPP42">
        <f t="shared" si="131"/>
        <v>0</v>
      </c>
      <c r="HPQ42">
        <f t="shared" si="131"/>
        <v>0</v>
      </c>
      <c r="HPR42">
        <f t="shared" si="131"/>
        <v>0</v>
      </c>
      <c r="HPS42">
        <f t="shared" si="131"/>
        <v>0</v>
      </c>
      <c r="HPT42">
        <f t="shared" si="131"/>
        <v>0</v>
      </c>
      <c r="HPU42">
        <f t="shared" si="131"/>
        <v>0</v>
      </c>
      <c r="HPV42">
        <f t="shared" si="131"/>
        <v>0</v>
      </c>
      <c r="HPW42">
        <f t="shared" si="131"/>
        <v>0</v>
      </c>
      <c r="HPX42">
        <f t="shared" si="131"/>
        <v>0</v>
      </c>
      <c r="HPY42">
        <f t="shared" si="131"/>
        <v>0</v>
      </c>
      <c r="HPZ42">
        <f t="shared" si="131"/>
        <v>0</v>
      </c>
      <c r="HQA42">
        <f t="shared" si="131"/>
        <v>0</v>
      </c>
      <c r="HQB42">
        <f t="shared" si="131"/>
        <v>0</v>
      </c>
      <c r="HQC42">
        <f t="shared" si="131"/>
        <v>0</v>
      </c>
      <c r="HQD42">
        <f t="shared" si="131"/>
        <v>0</v>
      </c>
      <c r="HQE42">
        <f t="shared" si="131"/>
        <v>0</v>
      </c>
      <c r="HQF42">
        <f t="shared" si="131"/>
        <v>0</v>
      </c>
      <c r="HQG42">
        <f t="shared" si="131"/>
        <v>0</v>
      </c>
      <c r="HQH42">
        <f t="shared" si="131"/>
        <v>0</v>
      </c>
      <c r="HQI42">
        <f t="shared" si="131"/>
        <v>0</v>
      </c>
      <c r="HQJ42">
        <f t="shared" si="131"/>
        <v>0</v>
      </c>
      <c r="HQK42">
        <f t="shared" si="131"/>
        <v>0</v>
      </c>
      <c r="HQL42">
        <f t="shared" si="131"/>
        <v>0</v>
      </c>
      <c r="HQM42">
        <f t="shared" si="131"/>
        <v>0</v>
      </c>
      <c r="HQN42">
        <f t="shared" si="131"/>
        <v>0</v>
      </c>
      <c r="HQO42">
        <f t="shared" si="131"/>
        <v>0</v>
      </c>
      <c r="HQP42">
        <f t="shared" si="131"/>
        <v>0</v>
      </c>
      <c r="HQQ42">
        <f t="shared" si="131"/>
        <v>0</v>
      </c>
      <c r="HQR42">
        <f t="shared" si="131"/>
        <v>0</v>
      </c>
      <c r="HQS42">
        <f t="shared" si="131"/>
        <v>0</v>
      </c>
      <c r="HQT42">
        <f t="shared" si="131"/>
        <v>0</v>
      </c>
      <c r="HQU42">
        <f t="shared" si="131"/>
        <v>0</v>
      </c>
      <c r="HQV42">
        <f t="shared" si="131"/>
        <v>0</v>
      </c>
      <c r="HQW42">
        <f t="shared" si="131"/>
        <v>0</v>
      </c>
      <c r="HQX42">
        <f t="shared" si="131"/>
        <v>0</v>
      </c>
      <c r="HQY42">
        <f t="shared" si="131"/>
        <v>0</v>
      </c>
      <c r="HQZ42">
        <f t="shared" si="131"/>
        <v>0</v>
      </c>
      <c r="HRA42">
        <f t="shared" si="131"/>
        <v>0</v>
      </c>
      <c r="HRB42">
        <f t="shared" si="131"/>
        <v>0</v>
      </c>
      <c r="HRC42">
        <f t="shared" si="131"/>
        <v>0</v>
      </c>
      <c r="HRD42">
        <f t="shared" si="131"/>
        <v>0</v>
      </c>
      <c r="HRE42">
        <f t="shared" si="131"/>
        <v>0</v>
      </c>
      <c r="HRF42">
        <f t="shared" si="131"/>
        <v>0</v>
      </c>
      <c r="HRG42">
        <f t="shared" si="131"/>
        <v>0</v>
      </c>
      <c r="HRH42">
        <f t="shared" si="131"/>
        <v>0</v>
      </c>
      <c r="HRI42">
        <f t="shared" si="131"/>
        <v>0</v>
      </c>
      <c r="HRJ42">
        <f t="shared" ref="HRJ42:HTU43" si="132">HRJ41*1.6*1.2</f>
        <v>0</v>
      </c>
      <c r="HRK42">
        <f t="shared" si="132"/>
        <v>0</v>
      </c>
      <c r="HRL42">
        <f t="shared" si="132"/>
        <v>0</v>
      </c>
      <c r="HRM42">
        <f t="shared" si="132"/>
        <v>0</v>
      </c>
      <c r="HRN42">
        <f t="shared" si="132"/>
        <v>0</v>
      </c>
      <c r="HRO42">
        <f t="shared" si="132"/>
        <v>0</v>
      </c>
      <c r="HRP42">
        <f t="shared" si="132"/>
        <v>0</v>
      </c>
      <c r="HRQ42">
        <f t="shared" si="132"/>
        <v>0</v>
      </c>
      <c r="HRR42">
        <f t="shared" si="132"/>
        <v>0</v>
      </c>
      <c r="HRS42">
        <f t="shared" si="132"/>
        <v>0</v>
      </c>
      <c r="HRT42">
        <f t="shared" si="132"/>
        <v>0</v>
      </c>
      <c r="HRU42">
        <f t="shared" si="132"/>
        <v>0</v>
      </c>
      <c r="HRV42">
        <f t="shared" si="132"/>
        <v>0</v>
      </c>
      <c r="HRW42">
        <f t="shared" si="132"/>
        <v>0</v>
      </c>
      <c r="HRX42">
        <f t="shared" si="132"/>
        <v>0</v>
      </c>
      <c r="HRY42">
        <f t="shared" si="132"/>
        <v>0</v>
      </c>
      <c r="HRZ42">
        <f t="shared" si="132"/>
        <v>0</v>
      </c>
      <c r="HSA42">
        <f t="shared" si="132"/>
        <v>0</v>
      </c>
      <c r="HSB42">
        <f t="shared" si="132"/>
        <v>0</v>
      </c>
      <c r="HSC42">
        <f t="shared" si="132"/>
        <v>0</v>
      </c>
      <c r="HSD42">
        <f t="shared" si="132"/>
        <v>0</v>
      </c>
      <c r="HSE42">
        <f t="shared" si="132"/>
        <v>0</v>
      </c>
      <c r="HSF42">
        <f t="shared" si="132"/>
        <v>0</v>
      </c>
      <c r="HSG42">
        <f t="shared" si="132"/>
        <v>0</v>
      </c>
      <c r="HSH42">
        <f t="shared" si="132"/>
        <v>0</v>
      </c>
      <c r="HSI42">
        <f t="shared" si="132"/>
        <v>0</v>
      </c>
      <c r="HSJ42">
        <f t="shared" si="132"/>
        <v>0</v>
      </c>
      <c r="HSK42">
        <f t="shared" si="132"/>
        <v>0</v>
      </c>
      <c r="HSL42">
        <f t="shared" si="132"/>
        <v>0</v>
      </c>
      <c r="HSM42">
        <f t="shared" si="132"/>
        <v>0</v>
      </c>
      <c r="HSN42">
        <f t="shared" si="132"/>
        <v>0</v>
      </c>
      <c r="HSO42">
        <f t="shared" si="132"/>
        <v>0</v>
      </c>
      <c r="HSP42">
        <f t="shared" si="132"/>
        <v>0</v>
      </c>
      <c r="HSQ42">
        <f t="shared" si="132"/>
        <v>0</v>
      </c>
      <c r="HSR42">
        <f t="shared" si="132"/>
        <v>0</v>
      </c>
      <c r="HSS42">
        <f t="shared" si="132"/>
        <v>0</v>
      </c>
      <c r="HST42">
        <f t="shared" si="132"/>
        <v>0</v>
      </c>
      <c r="HSU42">
        <f t="shared" si="132"/>
        <v>0</v>
      </c>
      <c r="HSV42">
        <f t="shared" si="132"/>
        <v>0</v>
      </c>
      <c r="HSW42">
        <f t="shared" si="132"/>
        <v>0</v>
      </c>
      <c r="HSX42">
        <f t="shared" si="132"/>
        <v>0</v>
      </c>
      <c r="HSY42">
        <f t="shared" si="132"/>
        <v>0</v>
      </c>
      <c r="HSZ42">
        <f t="shared" si="132"/>
        <v>0</v>
      </c>
      <c r="HTA42">
        <f t="shared" si="132"/>
        <v>0</v>
      </c>
      <c r="HTB42">
        <f t="shared" si="132"/>
        <v>0</v>
      </c>
      <c r="HTC42">
        <f t="shared" si="132"/>
        <v>0</v>
      </c>
      <c r="HTD42">
        <f t="shared" si="132"/>
        <v>0</v>
      </c>
      <c r="HTE42">
        <f t="shared" si="132"/>
        <v>0</v>
      </c>
      <c r="HTF42">
        <f t="shared" si="132"/>
        <v>0</v>
      </c>
      <c r="HTG42">
        <f t="shared" si="132"/>
        <v>0</v>
      </c>
      <c r="HTH42">
        <f t="shared" si="132"/>
        <v>0</v>
      </c>
      <c r="HTI42">
        <f t="shared" si="132"/>
        <v>0</v>
      </c>
      <c r="HTJ42">
        <f t="shared" si="132"/>
        <v>0</v>
      </c>
      <c r="HTK42">
        <f t="shared" si="132"/>
        <v>0</v>
      </c>
      <c r="HTL42">
        <f t="shared" si="132"/>
        <v>0</v>
      </c>
      <c r="HTM42">
        <f t="shared" si="132"/>
        <v>0</v>
      </c>
      <c r="HTN42">
        <f t="shared" si="132"/>
        <v>0</v>
      </c>
      <c r="HTO42">
        <f t="shared" si="132"/>
        <v>0</v>
      </c>
      <c r="HTP42">
        <f t="shared" si="132"/>
        <v>0</v>
      </c>
      <c r="HTQ42">
        <f t="shared" si="132"/>
        <v>0</v>
      </c>
      <c r="HTR42">
        <f t="shared" si="132"/>
        <v>0</v>
      </c>
      <c r="HTS42">
        <f t="shared" si="132"/>
        <v>0</v>
      </c>
      <c r="HTT42">
        <f t="shared" si="132"/>
        <v>0</v>
      </c>
      <c r="HTU42">
        <f t="shared" si="132"/>
        <v>0</v>
      </c>
      <c r="HTV42">
        <f t="shared" ref="HTV42:HWG43" si="133">HTV41*1.6*1.2</f>
        <v>0</v>
      </c>
      <c r="HTW42">
        <f t="shared" si="133"/>
        <v>0</v>
      </c>
      <c r="HTX42">
        <f t="shared" si="133"/>
        <v>0</v>
      </c>
      <c r="HTY42">
        <f t="shared" si="133"/>
        <v>0</v>
      </c>
      <c r="HTZ42">
        <f t="shared" si="133"/>
        <v>0</v>
      </c>
      <c r="HUA42">
        <f t="shared" si="133"/>
        <v>0</v>
      </c>
      <c r="HUB42">
        <f t="shared" si="133"/>
        <v>0</v>
      </c>
      <c r="HUC42">
        <f t="shared" si="133"/>
        <v>0</v>
      </c>
      <c r="HUD42">
        <f t="shared" si="133"/>
        <v>0</v>
      </c>
      <c r="HUE42">
        <f t="shared" si="133"/>
        <v>0</v>
      </c>
      <c r="HUF42">
        <f t="shared" si="133"/>
        <v>0</v>
      </c>
      <c r="HUG42">
        <f t="shared" si="133"/>
        <v>0</v>
      </c>
      <c r="HUH42">
        <f t="shared" si="133"/>
        <v>0</v>
      </c>
      <c r="HUI42">
        <f t="shared" si="133"/>
        <v>0</v>
      </c>
      <c r="HUJ42">
        <f t="shared" si="133"/>
        <v>0</v>
      </c>
      <c r="HUK42">
        <f t="shared" si="133"/>
        <v>0</v>
      </c>
      <c r="HUL42">
        <f t="shared" si="133"/>
        <v>0</v>
      </c>
      <c r="HUM42">
        <f t="shared" si="133"/>
        <v>0</v>
      </c>
      <c r="HUN42">
        <f t="shared" si="133"/>
        <v>0</v>
      </c>
      <c r="HUO42">
        <f t="shared" si="133"/>
        <v>0</v>
      </c>
      <c r="HUP42">
        <f t="shared" si="133"/>
        <v>0</v>
      </c>
      <c r="HUQ42">
        <f t="shared" si="133"/>
        <v>0</v>
      </c>
      <c r="HUR42">
        <f t="shared" si="133"/>
        <v>0</v>
      </c>
      <c r="HUS42">
        <f t="shared" si="133"/>
        <v>0</v>
      </c>
      <c r="HUT42">
        <f t="shared" si="133"/>
        <v>0</v>
      </c>
      <c r="HUU42">
        <f t="shared" si="133"/>
        <v>0</v>
      </c>
      <c r="HUV42">
        <f t="shared" si="133"/>
        <v>0</v>
      </c>
      <c r="HUW42">
        <f t="shared" si="133"/>
        <v>0</v>
      </c>
      <c r="HUX42">
        <f t="shared" si="133"/>
        <v>0</v>
      </c>
      <c r="HUY42">
        <f t="shared" si="133"/>
        <v>0</v>
      </c>
      <c r="HUZ42">
        <f t="shared" si="133"/>
        <v>0</v>
      </c>
      <c r="HVA42">
        <f t="shared" si="133"/>
        <v>0</v>
      </c>
      <c r="HVB42">
        <f t="shared" si="133"/>
        <v>0</v>
      </c>
      <c r="HVC42">
        <f t="shared" si="133"/>
        <v>0</v>
      </c>
      <c r="HVD42">
        <f t="shared" si="133"/>
        <v>0</v>
      </c>
      <c r="HVE42">
        <f t="shared" si="133"/>
        <v>0</v>
      </c>
      <c r="HVF42">
        <f t="shared" si="133"/>
        <v>0</v>
      </c>
      <c r="HVG42">
        <f t="shared" si="133"/>
        <v>0</v>
      </c>
      <c r="HVH42">
        <f t="shared" si="133"/>
        <v>0</v>
      </c>
      <c r="HVI42">
        <f t="shared" si="133"/>
        <v>0</v>
      </c>
      <c r="HVJ42">
        <f t="shared" si="133"/>
        <v>0</v>
      </c>
      <c r="HVK42">
        <f t="shared" si="133"/>
        <v>0</v>
      </c>
      <c r="HVL42">
        <f t="shared" si="133"/>
        <v>0</v>
      </c>
      <c r="HVM42">
        <f t="shared" si="133"/>
        <v>0</v>
      </c>
      <c r="HVN42">
        <f t="shared" si="133"/>
        <v>0</v>
      </c>
      <c r="HVO42">
        <f t="shared" si="133"/>
        <v>0</v>
      </c>
      <c r="HVP42">
        <f t="shared" si="133"/>
        <v>0</v>
      </c>
      <c r="HVQ42">
        <f t="shared" si="133"/>
        <v>0</v>
      </c>
      <c r="HVR42">
        <f t="shared" si="133"/>
        <v>0</v>
      </c>
      <c r="HVS42">
        <f t="shared" si="133"/>
        <v>0</v>
      </c>
      <c r="HVT42">
        <f t="shared" si="133"/>
        <v>0</v>
      </c>
      <c r="HVU42">
        <f t="shared" si="133"/>
        <v>0</v>
      </c>
      <c r="HVV42">
        <f t="shared" si="133"/>
        <v>0</v>
      </c>
      <c r="HVW42">
        <f t="shared" si="133"/>
        <v>0</v>
      </c>
      <c r="HVX42">
        <f t="shared" si="133"/>
        <v>0</v>
      </c>
      <c r="HVY42">
        <f t="shared" si="133"/>
        <v>0</v>
      </c>
      <c r="HVZ42">
        <f t="shared" si="133"/>
        <v>0</v>
      </c>
      <c r="HWA42">
        <f t="shared" si="133"/>
        <v>0</v>
      </c>
      <c r="HWB42">
        <f t="shared" si="133"/>
        <v>0</v>
      </c>
      <c r="HWC42">
        <f t="shared" si="133"/>
        <v>0</v>
      </c>
      <c r="HWD42">
        <f t="shared" si="133"/>
        <v>0</v>
      </c>
      <c r="HWE42">
        <f t="shared" si="133"/>
        <v>0</v>
      </c>
      <c r="HWF42">
        <f t="shared" si="133"/>
        <v>0</v>
      </c>
      <c r="HWG42">
        <f t="shared" si="133"/>
        <v>0</v>
      </c>
      <c r="HWH42">
        <f t="shared" ref="HWH42:HYS43" si="134">HWH41*1.6*1.2</f>
        <v>0</v>
      </c>
      <c r="HWI42">
        <f t="shared" si="134"/>
        <v>0</v>
      </c>
      <c r="HWJ42">
        <f t="shared" si="134"/>
        <v>0</v>
      </c>
      <c r="HWK42">
        <f t="shared" si="134"/>
        <v>0</v>
      </c>
      <c r="HWL42">
        <f t="shared" si="134"/>
        <v>0</v>
      </c>
      <c r="HWM42">
        <f t="shared" si="134"/>
        <v>0</v>
      </c>
      <c r="HWN42">
        <f t="shared" si="134"/>
        <v>0</v>
      </c>
      <c r="HWO42">
        <f t="shared" si="134"/>
        <v>0</v>
      </c>
      <c r="HWP42">
        <f t="shared" si="134"/>
        <v>0</v>
      </c>
      <c r="HWQ42">
        <f t="shared" si="134"/>
        <v>0</v>
      </c>
      <c r="HWR42">
        <f t="shared" si="134"/>
        <v>0</v>
      </c>
      <c r="HWS42">
        <f t="shared" si="134"/>
        <v>0</v>
      </c>
      <c r="HWT42">
        <f t="shared" si="134"/>
        <v>0</v>
      </c>
      <c r="HWU42">
        <f t="shared" si="134"/>
        <v>0</v>
      </c>
      <c r="HWV42">
        <f t="shared" si="134"/>
        <v>0</v>
      </c>
      <c r="HWW42">
        <f t="shared" si="134"/>
        <v>0</v>
      </c>
      <c r="HWX42">
        <f t="shared" si="134"/>
        <v>0</v>
      </c>
      <c r="HWY42">
        <f t="shared" si="134"/>
        <v>0</v>
      </c>
      <c r="HWZ42">
        <f t="shared" si="134"/>
        <v>0</v>
      </c>
      <c r="HXA42">
        <f t="shared" si="134"/>
        <v>0</v>
      </c>
      <c r="HXB42">
        <f t="shared" si="134"/>
        <v>0</v>
      </c>
      <c r="HXC42">
        <f t="shared" si="134"/>
        <v>0</v>
      </c>
      <c r="HXD42">
        <f t="shared" si="134"/>
        <v>0</v>
      </c>
      <c r="HXE42">
        <f t="shared" si="134"/>
        <v>0</v>
      </c>
      <c r="HXF42">
        <f t="shared" si="134"/>
        <v>0</v>
      </c>
      <c r="HXG42">
        <f t="shared" si="134"/>
        <v>0</v>
      </c>
      <c r="HXH42">
        <f t="shared" si="134"/>
        <v>0</v>
      </c>
      <c r="HXI42">
        <f t="shared" si="134"/>
        <v>0</v>
      </c>
      <c r="HXJ42">
        <f t="shared" si="134"/>
        <v>0</v>
      </c>
      <c r="HXK42">
        <f t="shared" si="134"/>
        <v>0</v>
      </c>
      <c r="HXL42">
        <f t="shared" si="134"/>
        <v>0</v>
      </c>
      <c r="HXM42">
        <f t="shared" si="134"/>
        <v>0</v>
      </c>
      <c r="HXN42">
        <f t="shared" si="134"/>
        <v>0</v>
      </c>
      <c r="HXO42">
        <f t="shared" si="134"/>
        <v>0</v>
      </c>
      <c r="HXP42">
        <f t="shared" si="134"/>
        <v>0</v>
      </c>
      <c r="HXQ42">
        <f t="shared" si="134"/>
        <v>0</v>
      </c>
      <c r="HXR42">
        <f t="shared" si="134"/>
        <v>0</v>
      </c>
      <c r="HXS42">
        <f t="shared" si="134"/>
        <v>0</v>
      </c>
      <c r="HXT42">
        <f t="shared" si="134"/>
        <v>0</v>
      </c>
      <c r="HXU42">
        <f t="shared" si="134"/>
        <v>0</v>
      </c>
      <c r="HXV42">
        <f t="shared" si="134"/>
        <v>0</v>
      </c>
      <c r="HXW42">
        <f t="shared" si="134"/>
        <v>0</v>
      </c>
      <c r="HXX42">
        <f t="shared" si="134"/>
        <v>0</v>
      </c>
      <c r="HXY42">
        <f t="shared" si="134"/>
        <v>0</v>
      </c>
      <c r="HXZ42">
        <f t="shared" si="134"/>
        <v>0</v>
      </c>
      <c r="HYA42">
        <f t="shared" si="134"/>
        <v>0</v>
      </c>
      <c r="HYB42">
        <f t="shared" si="134"/>
        <v>0</v>
      </c>
      <c r="HYC42">
        <f t="shared" si="134"/>
        <v>0</v>
      </c>
      <c r="HYD42">
        <f t="shared" si="134"/>
        <v>0</v>
      </c>
      <c r="HYE42">
        <f t="shared" si="134"/>
        <v>0</v>
      </c>
      <c r="HYF42">
        <f t="shared" si="134"/>
        <v>0</v>
      </c>
      <c r="HYG42">
        <f t="shared" si="134"/>
        <v>0</v>
      </c>
      <c r="HYH42">
        <f t="shared" si="134"/>
        <v>0</v>
      </c>
      <c r="HYI42">
        <f t="shared" si="134"/>
        <v>0</v>
      </c>
      <c r="HYJ42">
        <f t="shared" si="134"/>
        <v>0</v>
      </c>
      <c r="HYK42">
        <f t="shared" si="134"/>
        <v>0</v>
      </c>
      <c r="HYL42">
        <f t="shared" si="134"/>
        <v>0</v>
      </c>
      <c r="HYM42">
        <f t="shared" si="134"/>
        <v>0</v>
      </c>
      <c r="HYN42">
        <f t="shared" si="134"/>
        <v>0</v>
      </c>
      <c r="HYO42">
        <f t="shared" si="134"/>
        <v>0</v>
      </c>
      <c r="HYP42">
        <f t="shared" si="134"/>
        <v>0</v>
      </c>
      <c r="HYQ42">
        <f t="shared" si="134"/>
        <v>0</v>
      </c>
      <c r="HYR42">
        <f t="shared" si="134"/>
        <v>0</v>
      </c>
      <c r="HYS42">
        <f t="shared" si="134"/>
        <v>0</v>
      </c>
      <c r="HYT42">
        <f t="shared" ref="HYT42:IBE43" si="135">HYT41*1.6*1.2</f>
        <v>0</v>
      </c>
      <c r="HYU42">
        <f t="shared" si="135"/>
        <v>0</v>
      </c>
      <c r="HYV42">
        <f t="shared" si="135"/>
        <v>0</v>
      </c>
      <c r="HYW42">
        <f t="shared" si="135"/>
        <v>0</v>
      </c>
      <c r="HYX42">
        <f t="shared" si="135"/>
        <v>0</v>
      </c>
      <c r="HYY42">
        <f t="shared" si="135"/>
        <v>0</v>
      </c>
      <c r="HYZ42">
        <f t="shared" si="135"/>
        <v>0</v>
      </c>
      <c r="HZA42">
        <f t="shared" si="135"/>
        <v>0</v>
      </c>
      <c r="HZB42">
        <f t="shared" si="135"/>
        <v>0</v>
      </c>
      <c r="HZC42">
        <f t="shared" si="135"/>
        <v>0</v>
      </c>
      <c r="HZD42">
        <f t="shared" si="135"/>
        <v>0</v>
      </c>
      <c r="HZE42">
        <f t="shared" si="135"/>
        <v>0</v>
      </c>
      <c r="HZF42">
        <f t="shared" si="135"/>
        <v>0</v>
      </c>
      <c r="HZG42">
        <f t="shared" si="135"/>
        <v>0</v>
      </c>
      <c r="HZH42">
        <f t="shared" si="135"/>
        <v>0</v>
      </c>
      <c r="HZI42">
        <f t="shared" si="135"/>
        <v>0</v>
      </c>
      <c r="HZJ42">
        <f t="shared" si="135"/>
        <v>0</v>
      </c>
      <c r="HZK42">
        <f t="shared" si="135"/>
        <v>0</v>
      </c>
      <c r="HZL42">
        <f t="shared" si="135"/>
        <v>0</v>
      </c>
      <c r="HZM42">
        <f t="shared" si="135"/>
        <v>0</v>
      </c>
      <c r="HZN42">
        <f t="shared" si="135"/>
        <v>0</v>
      </c>
      <c r="HZO42">
        <f t="shared" si="135"/>
        <v>0</v>
      </c>
      <c r="HZP42">
        <f t="shared" si="135"/>
        <v>0</v>
      </c>
      <c r="HZQ42">
        <f t="shared" si="135"/>
        <v>0</v>
      </c>
      <c r="HZR42">
        <f t="shared" si="135"/>
        <v>0</v>
      </c>
      <c r="HZS42">
        <f t="shared" si="135"/>
        <v>0</v>
      </c>
      <c r="HZT42">
        <f t="shared" si="135"/>
        <v>0</v>
      </c>
      <c r="HZU42">
        <f t="shared" si="135"/>
        <v>0</v>
      </c>
      <c r="HZV42">
        <f t="shared" si="135"/>
        <v>0</v>
      </c>
      <c r="HZW42">
        <f t="shared" si="135"/>
        <v>0</v>
      </c>
      <c r="HZX42">
        <f t="shared" si="135"/>
        <v>0</v>
      </c>
      <c r="HZY42">
        <f t="shared" si="135"/>
        <v>0</v>
      </c>
      <c r="HZZ42">
        <f t="shared" si="135"/>
        <v>0</v>
      </c>
      <c r="IAA42">
        <f t="shared" si="135"/>
        <v>0</v>
      </c>
      <c r="IAB42">
        <f t="shared" si="135"/>
        <v>0</v>
      </c>
      <c r="IAC42">
        <f t="shared" si="135"/>
        <v>0</v>
      </c>
      <c r="IAD42">
        <f t="shared" si="135"/>
        <v>0</v>
      </c>
      <c r="IAE42">
        <f t="shared" si="135"/>
        <v>0</v>
      </c>
      <c r="IAF42">
        <f t="shared" si="135"/>
        <v>0</v>
      </c>
      <c r="IAG42">
        <f t="shared" si="135"/>
        <v>0</v>
      </c>
      <c r="IAH42">
        <f t="shared" si="135"/>
        <v>0</v>
      </c>
      <c r="IAI42">
        <f t="shared" si="135"/>
        <v>0</v>
      </c>
      <c r="IAJ42">
        <f t="shared" si="135"/>
        <v>0</v>
      </c>
      <c r="IAK42">
        <f t="shared" si="135"/>
        <v>0</v>
      </c>
      <c r="IAL42">
        <f t="shared" si="135"/>
        <v>0</v>
      </c>
      <c r="IAM42">
        <f t="shared" si="135"/>
        <v>0</v>
      </c>
      <c r="IAN42">
        <f t="shared" si="135"/>
        <v>0</v>
      </c>
      <c r="IAO42">
        <f t="shared" si="135"/>
        <v>0</v>
      </c>
      <c r="IAP42">
        <f t="shared" si="135"/>
        <v>0</v>
      </c>
      <c r="IAQ42">
        <f t="shared" si="135"/>
        <v>0</v>
      </c>
      <c r="IAR42">
        <f t="shared" si="135"/>
        <v>0</v>
      </c>
      <c r="IAS42">
        <f t="shared" si="135"/>
        <v>0</v>
      </c>
      <c r="IAT42">
        <f t="shared" si="135"/>
        <v>0</v>
      </c>
      <c r="IAU42">
        <f t="shared" si="135"/>
        <v>0</v>
      </c>
      <c r="IAV42">
        <f t="shared" si="135"/>
        <v>0</v>
      </c>
      <c r="IAW42">
        <f t="shared" si="135"/>
        <v>0</v>
      </c>
      <c r="IAX42">
        <f t="shared" si="135"/>
        <v>0</v>
      </c>
      <c r="IAY42">
        <f t="shared" si="135"/>
        <v>0</v>
      </c>
      <c r="IAZ42">
        <f t="shared" si="135"/>
        <v>0</v>
      </c>
      <c r="IBA42">
        <f t="shared" si="135"/>
        <v>0</v>
      </c>
      <c r="IBB42">
        <f t="shared" si="135"/>
        <v>0</v>
      </c>
      <c r="IBC42">
        <f t="shared" si="135"/>
        <v>0</v>
      </c>
      <c r="IBD42">
        <f t="shared" si="135"/>
        <v>0</v>
      </c>
      <c r="IBE42">
        <f t="shared" si="135"/>
        <v>0</v>
      </c>
      <c r="IBF42">
        <f t="shared" ref="IBF42:IDQ43" si="136">IBF41*1.6*1.2</f>
        <v>0</v>
      </c>
      <c r="IBG42">
        <f t="shared" si="136"/>
        <v>0</v>
      </c>
      <c r="IBH42">
        <f t="shared" si="136"/>
        <v>0</v>
      </c>
      <c r="IBI42">
        <f t="shared" si="136"/>
        <v>0</v>
      </c>
      <c r="IBJ42">
        <f t="shared" si="136"/>
        <v>0</v>
      </c>
      <c r="IBK42">
        <f t="shared" si="136"/>
        <v>0</v>
      </c>
      <c r="IBL42">
        <f t="shared" si="136"/>
        <v>0</v>
      </c>
      <c r="IBM42">
        <f t="shared" si="136"/>
        <v>0</v>
      </c>
      <c r="IBN42">
        <f t="shared" si="136"/>
        <v>0</v>
      </c>
      <c r="IBO42">
        <f t="shared" si="136"/>
        <v>0</v>
      </c>
      <c r="IBP42">
        <f t="shared" si="136"/>
        <v>0</v>
      </c>
      <c r="IBQ42">
        <f t="shared" si="136"/>
        <v>0</v>
      </c>
      <c r="IBR42">
        <f t="shared" si="136"/>
        <v>0</v>
      </c>
      <c r="IBS42">
        <f t="shared" si="136"/>
        <v>0</v>
      </c>
      <c r="IBT42">
        <f t="shared" si="136"/>
        <v>0</v>
      </c>
      <c r="IBU42">
        <f t="shared" si="136"/>
        <v>0</v>
      </c>
      <c r="IBV42">
        <f t="shared" si="136"/>
        <v>0</v>
      </c>
      <c r="IBW42">
        <f t="shared" si="136"/>
        <v>0</v>
      </c>
      <c r="IBX42">
        <f t="shared" si="136"/>
        <v>0</v>
      </c>
      <c r="IBY42">
        <f t="shared" si="136"/>
        <v>0</v>
      </c>
      <c r="IBZ42">
        <f t="shared" si="136"/>
        <v>0</v>
      </c>
      <c r="ICA42">
        <f t="shared" si="136"/>
        <v>0</v>
      </c>
      <c r="ICB42">
        <f t="shared" si="136"/>
        <v>0</v>
      </c>
      <c r="ICC42">
        <f t="shared" si="136"/>
        <v>0</v>
      </c>
      <c r="ICD42">
        <f t="shared" si="136"/>
        <v>0</v>
      </c>
      <c r="ICE42">
        <f t="shared" si="136"/>
        <v>0</v>
      </c>
      <c r="ICF42">
        <f t="shared" si="136"/>
        <v>0</v>
      </c>
      <c r="ICG42">
        <f t="shared" si="136"/>
        <v>0</v>
      </c>
      <c r="ICH42">
        <f t="shared" si="136"/>
        <v>0</v>
      </c>
      <c r="ICI42">
        <f t="shared" si="136"/>
        <v>0</v>
      </c>
      <c r="ICJ42">
        <f t="shared" si="136"/>
        <v>0</v>
      </c>
      <c r="ICK42">
        <f t="shared" si="136"/>
        <v>0</v>
      </c>
      <c r="ICL42">
        <f t="shared" si="136"/>
        <v>0</v>
      </c>
      <c r="ICM42">
        <f t="shared" si="136"/>
        <v>0</v>
      </c>
      <c r="ICN42">
        <f t="shared" si="136"/>
        <v>0</v>
      </c>
      <c r="ICO42">
        <f t="shared" si="136"/>
        <v>0</v>
      </c>
      <c r="ICP42">
        <f t="shared" si="136"/>
        <v>0</v>
      </c>
      <c r="ICQ42">
        <f t="shared" si="136"/>
        <v>0</v>
      </c>
      <c r="ICR42">
        <f t="shared" si="136"/>
        <v>0</v>
      </c>
      <c r="ICS42">
        <f t="shared" si="136"/>
        <v>0</v>
      </c>
      <c r="ICT42">
        <f t="shared" si="136"/>
        <v>0</v>
      </c>
      <c r="ICU42">
        <f t="shared" si="136"/>
        <v>0</v>
      </c>
      <c r="ICV42">
        <f t="shared" si="136"/>
        <v>0</v>
      </c>
      <c r="ICW42">
        <f t="shared" si="136"/>
        <v>0</v>
      </c>
      <c r="ICX42">
        <f t="shared" si="136"/>
        <v>0</v>
      </c>
      <c r="ICY42">
        <f t="shared" si="136"/>
        <v>0</v>
      </c>
      <c r="ICZ42">
        <f t="shared" si="136"/>
        <v>0</v>
      </c>
      <c r="IDA42">
        <f t="shared" si="136"/>
        <v>0</v>
      </c>
      <c r="IDB42">
        <f t="shared" si="136"/>
        <v>0</v>
      </c>
      <c r="IDC42">
        <f t="shared" si="136"/>
        <v>0</v>
      </c>
      <c r="IDD42">
        <f t="shared" si="136"/>
        <v>0</v>
      </c>
      <c r="IDE42">
        <f t="shared" si="136"/>
        <v>0</v>
      </c>
      <c r="IDF42">
        <f t="shared" si="136"/>
        <v>0</v>
      </c>
      <c r="IDG42">
        <f t="shared" si="136"/>
        <v>0</v>
      </c>
      <c r="IDH42">
        <f t="shared" si="136"/>
        <v>0</v>
      </c>
      <c r="IDI42">
        <f t="shared" si="136"/>
        <v>0</v>
      </c>
      <c r="IDJ42">
        <f t="shared" si="136"/>
        <v>0</v>
      </c>
      <c r="IDK42">
        <f t="shared" si="136"/>
        <v>0</v>
      </c>
      <c r="IDL42">
        <f t="shared" si="136"/>
        <v>0</v>
      </c>
      <c r="IDM42">
        <f t="shared" si="136"/>
        <v>0</v>
      </c>
      <c r="IDN42">
        <f t="shared" si="136"/>
        <v>0</v>
      </c>
      <c r="IDO42">
        <f t="shared" si="136"/>
        <v>0</v>
      </c>
      <c r="IDP42">
        <f t="shared" si="136"/>
        <v>0</v>
      </c>
      <c r="IDQ42">
        <f t="shared" si="136"/>
        <v>0</v>
      </c>
      <c r="IDR42">
        <f t="shared" ref="IDR42:IGC43" si="137">IDR41*1.6*1.2</f>
        <v>0</v>
      </c>
      <c r="IDS42">
        <f t="shared" si="137"/>
        <v>0</v>
      </c>
      <c r="IDT42">
        <f t="shared" si="137"/>
        <v>0</v>
      </c>
      <c r="IDU42">
        <f t="shared" si="137"/>
        <v>0</v>
      </c>
      <c r="IDV42">
        <f t="shared" si="137"/>
        <v>0</v>
      </c>
      <c r="IDW42">
        <f t="shared" si="137"/>
        <v>0</v>
      </c>
      <c r="IDX42">
        <f t="shared" si="137"/>
        <v>0</v>
      </c>
      <c r="IDY42">
        <f t="shared" si="137"/>
        <v>0</v>
      </c>
      <c r="IDZ42">
        <f t="shared" si="137"/>
        <v>0</v>
      </c>
      <c r="IEA42">
        <f t="shared" si="137"/>
        <v>0</v>
      </c>
      <c r="IEB42">
        <f t="shared" si="137"/>
        <v>0</v>
      </c>
      <c r="IEC42">
        <f t="shared" si="137"/>
        <v>0</v>
      </c>
      <c r="IED42">
        <f t="shared" si="137"/>
        <v>0</v>
      </c>
      <c r="IEE42">
        <f t="shared" si="137"/>
        <v>0</v>
      </c>
      <c r="IEF42">
        <f t="shared" si="137"/>
        <v>0</v>
      </c>
      <c r="IEG42">
        <f t="shared" si="137"/>
        <v>0</v>
      </c>
      <c r="IEH42">
        <f t="shared" si="137"/>
        <v>0</v>
      </c>
      <c r="IEI42">
        <f t="shared" si="137"/>
        <v>0</v>
      </c>
      <c r="IEJ42">
        <f t="shared" si="137"/>
        <v>0</v>
      </c>
      <c r="IEK42">
        <f t="shared" si="137"/>
        <v>0</v>
      </c>
      <c r="IEL42">
        <f t="shared" si="137"/>
        <v>0</v>
      </c>
      <c r="IEM42">
        <f t="shared" si="137"/>
        <v>0</v>
      </c>
      <c r="IEN42">
        <f t="shared" si="137"/>
        <v>0</v>
      </c>
      <c r="IEO42">
        <f t="shared" si="137"/>
        <v>0</v>
      </c>
      <c r="IEP42">
        <f t="shared" si="137"/>
        <v>0</v>
      </c>
      <c r="IEQ42">
        <f t="shared" si="137"/>
        <v>0</v>
      </c>
      <c r="IER42">
        <f t="shared" si="137"/>
        <v>0</v>
      </c>
      <c r="IES42">
        <f t="shared" si="137"/>
        <v>0</v>
      </c>
      <c r="IET42">
        <f t="shared" si="137"/>
        <v>0</v>
      </c>
      <c r="IEU42">
        <f t="shared" si="137"/>
        <v>0</v>
      </c>
      <c r="IEV42">
        <f t="shared" si="137"/>
        <v>0</v>
      </c>
      <c r="IEW42">
        <f t="shared" si="137"/>
        <v>0</v>
      </c>
      <c r="IEX42">
        <f t="shared" si="137"/>
        <v>0</v>
      </c>
      <c r="IEY42">
        <f t="shared" si="137"/>
        <v>0</v>
      </c>
      <c r="IEZ42">
        <f t="shared" si="137"/>
        <v>0</v>
      </c>
      <c r="IFA42">
        <f t="shared" si="137"/>
        <v>0</v>
      </c>
      <c r="IFB42">
        <f t="shared" si="137"/>
        <v>0</v>
      </c>
      <c r="IFC42">
        <f t="shared" si="137"/>
        <v>0</v>
      </c>
      <c r="IFD42">
        <f t="shared" si="137"/>
        <v>0</v>
      </c>
      <c r="IFE42">
        <f t="shared" si="137"/>
        <v>0</v>
      </c>
      <c r="IFF42">
        <f t="shared" si="137"/>
        <v>0</v>
      </c>
      <c r="IFG42">
        <f t="shared" si="137"/>
        <v>0</v>
      </c>
      <c r="IFH42">
        <f t="shared" si="137"/>
        <v>0</v>
      </c>
      <c r="IFI42">
        <f t="shared" si="137"/>
        <v>0</v>
      </c>
      <c r="IFJ42">
        <f t="shared" si="137"/>
        <v>0</v>
      </c>
      <c r="IFK42">
        <f t="shared" si="137"/>
        <v>0</v>
      </c>
      <c r="IFL42">
        <f t="shared" si="137"/>
        <v>0</v>
      </c>
      <c r="IFM42">
        <f t="shared" si="137"/>
        <v>0</v>
      </c>
      <c r="IFN42">
        <f t="shared" si="137"/>
        <v>0</v>
      </c>
      <c r="IFO42">
        <f t="shared" si="137"/>
        <v>0</v>
      </c>
      <c r="IFP42">
        <f t="shared" si="137"/>
        <v>0</v>
      </c>
      <c r="IFQ42">
        <f t="shared" si="137"/>
        <v>0</v>
      </c>
      <c r="IFR42">
        <f t="shared" si="137"/>
        <v>0</v>
      </c>
      <c r="IFS42">
        <f t="shared" si="137"/>
        <v>0</v>
      </c>
      <c r="IFT42">
        <f t="shared" si="137"/>
        <v>0</v>
      </c>
      <c r="IFU42">
        <f t="shared" si="137"/>
        <v>0</v>
      </c>
      <c r="IFV42">
        <f t="shared" si="137"/>
        <v>0</v>
      </c>
      <c r="IFW42">
        <f t="shared" si="137"/>
        <v>0</v>
      </c>
      <c r="IFX42">
        <f t="shared" si="137"/>
        <v>0</v>
      </c>
      <c r="IFY42">
        <f t="shared" si="137"/>
        <v>0</v>
      </c>
      <c r="IFZ42">
        <f t="shared" si="137"/>
        <v>0</v>
      </c>
      <c r="IGA42">
        <f t="shared" si="137"/>
        <v>0</v>
      </c>
      <c r="IGB42">
        <f t="shared" si="137"/>
        <v>0</v>
      </c>
      <c r="IGC42">
        <f t="shared" si="137"/>
        <v>0</v>
      </c>
      <c r="IGD42">
        <f t="shared" ref="IGD42:IIO43" si="138">IGD41*1.6*1.2</f>
        <v>0</v>
      </c>
      <c r="IGE42">
        <f t="shared" si="138"/>
        <v>0</v>
      </c>
      <c r="IGF42">
        <f t="shared" si="138"/>
        <v>0</v>
      </c>
      <c r="IGG42">
        <f t="shared" si="138"/>
        <v>0</v>
      </c>
      <c r="IGH42">
        <f t="shared" si="138"/>
        <v>0</v>
      </c>
      <c r="IGI42">
        <f t="shared" si="138"/>
        <v>0</v>
      </c>
      <c r="IGJ42">
        <f t="shared" si="138"/>
        <v>0</v>
      </c>
      <c r="IGK42">
        <f t="shared" si="138"/>
        <v>0</v>
      </c>
      <c r="IGL42">
        <f t="shared" si="138"/>
        <v>0</v>
      </c>
      <c r="IGM42">
        <f t="shared" si="138"/>
        <v>0</v>
      </c>
      <c r="IGN42">
        <f t="shared" si="138"/>
        <v>0</v>
      </c>
      <c r="IGO42">
        <f t="shared" si="138"/>
        <v>0</v>
      </c>
      <c r="IGP42">
        <f t="shared" si="138"/>
        <v>0</v>
      </c>
      <c r="IGQ42">
        <f t="shared" si="138"/>
        <v>0</v>
      </c>
      <c r="IGR42">
        <f t="shared" si="138"/>
        <v>0</v>
      </c>
      <c r="IGS42">
        <f t="shared" si="138"/>
        <v>0</v>
      </c>
      <c r="IGT42">
        <f t="shared" si="138"/>
        <v>0</v>
      </c>
      <c r="IGU42">
        <f t="shared" si="138"/>
        <v>0</v>
      </c>
      <c r="IGV42">
        <f t="shared" si="138"/>
        <v>0</v>
      </c>
      <c r="IGW42">
        <f t="shared" si="138"/>
        <v>0</v>
      </c>
      <c r="IGX42">
        <f t="shared" si="138"/>
        <v>0</v>
      </c>
      <c r="IGY42">
        <f t="shared" si="138"/>
        <v>0</v>
      </c>
      <c r="IGZ42">
        <f t="shared" si="138"/>
        <v>0</v>
      </c>
      <c r="IHA42">
        <f t="shared" si="138"/>
        <v>0</v>
      </c>
      <c r="IHB42">
        <f t="shared" si="138"/>
        <v>0</v>
      </c>
      <c r="IHC42">
        <f t="shared" si="138"/>
        <v>0</v>
      </c>
      <c r="IHD42">
        <f t="shared" si="138"/>
        <v>0</v>
      </c>
      <c r="IHE42">
        <f t="shared" si="138"/>
        <v>0</v>
      </c>
      <c r="IHF42">
        <f t="shared" si="138"/>
        <v>0</v>
      </c>
      <c r="IHG42">
        <f t="shared" si="138"/>
        <v>0</v>
      </c>
      <c r="IHH42">
        <f t="shared" si="138"/>
        <v>0</v>
      </c>
      <c r="IHI42">
        <f t="shared" si="138"/>
        <v>0</v>
      </c>
      <c r="IHJ42">
        <f t="shared" si="138"/>
        <v>0</v>
      </c>
      <c r="IHK42">
        <f t="shared" si="138"/>
        <v>0</v>
      </c>
      <c r="IHL42">
        <f t="shared" si="138"/>
        <v>0</v>
      </c>
      <c r="IHM42">
        <f t="shared" si="138"/>
        <v>0</v>
      </c>
      <c r="IHN42">
        <f t="shared" si="138"/>
        <v>0</v>
      </c>
      <c r="IHO42">
        <f t="shared" si="138"/>
        <v>0</v>
      </c>
      <c r="IHP42">
        <f t="shared" si="138"/>
        <v>0</v>
      </c>
      <c r="IHQ42">
        <f t="shared" si="138"/>
        <v>0</v>
      </c>
      <c r="IHR42">
        <f t="shared" si="138"/>
        <v>0</v>
      </c>
      <c r="IHS42">
        <f t="shared" si="138"/>
        <v>0</v>
      </c>
      <c r="IHT42">
        <f t="shared" si="138"/>
        <v>0</v>
      </c>
      <c r="IHU42">
        <f t="shared" si="138"/>
        <v>0</v>
      </c>
      <c r="IHV42">
        <f t="shared" si="138"/>
        <v>0</v>
      </c>
      <c r="IHW42">
        <f t="shared" si="138"/>
        <v>0</v>
      </c>
      <c r="IHX42">
        <f t="shared" si="138"/>
        <v>0</v>
      </c>
      <c r="IHY42">
        <f t="shared" si="138"/>
        <v>0</v>
      </c>
      <c r="IHZ42">
        <f t="shared" si="138"/>
        <v>0</v>
      </c>
      <c r="IIA42">
        <f t="shared" si="138"/>
        <v>0</v>
      </c>
      <c r="IIB42">
        <f t="shared" si="138"/>
        <v>0</v>
      </c>
      <c r="IIC42">
        <f t="shared" si="138"/>
        <v>0</v>
      </c>
      <c r="IID42">
        <f t="shared" si="138"/>
        <v>0</v>
      </c>
      <c r="IIE42">
        <f t="shared" si="138"/>
        <v>0</v>
      </c>
      <c r="IIF42">
        <f t="shared" si="138"/>
        <v>0</v>
      </c>
      <c r="IIG42">
        <f t="shared" si="138"/>
        <v>0</v>
      </c>
      <c r="IIH42">
        <f t="shared" si="138"/>
        <v>0</v>
      </c>
      <c r="III42">
        <f t="shared" si="138"/>
        <v>0</v>
      </c>
      <c r="IIJ42">
        <f t="shared" si="138"/>
        <v>0</v>
      </c>
      <c r="IIK42">
        <f t="shared" si="138"/>
        <v>0</v>
      </c>
      <c r="IIL42">
        <f t="shared" si="138"/>
        <v>0</v>
      </c>
      <c r="IIM42">
        <f t="shared" si="138"/>
        <v>0</v>
      </c>
      <c r="IIN42">
        <f t="shared" si="138"/>
        <v>0</v>
      </c>
      <c r="IIO42">
        <f t="shared" si="138"/>
        <v>0</v>
      </c>
      <c r="IIP42">
        <f t="shared" ref="IIP42:ILA43" si="139">IIP41*1.6*1.2</f>
        <v>0</v>
      </c>
      <c r="IIQ42">
        <f t="shared" si="139"/>
        <v>0</v>
      </c>
      <c r="IIR42">
        <f t="shared" si="139"/>
        <v>0</v>
      </c>
      <c r="IIS42">
        <f t="shared" si="139"/>
        <v>0</v>
      </c>
      <c r="IIT42">
        <f t="shared" si="139"/>
        <v>0</v>
      </c>
      <c r="IIU42">
        <f t="shared" si="139"/>
        <v>0</v>
      </c>
      <c r="IIV42">
        <f t="shared" si="139"/>
        <v>0</v>
      </c>
      <c r="IIW42">
        <f t="shared" si="139"/>
        <v>0</v>
      </c>
      <c r="IIX42">
        <f t="shared" si="139"/>
        <v>0</v>
      </c>
      <c r="IIY42">
        <f t="shared" si="139"/>
        <v>0</v>
      </c>
      <c r="IIZ42">
        <f t="shared" si="139"/>
        <v>0</v>
      </c>
      <c r="IJA42">
        <f t="shared" si="139"/>
        <v>0</v>
      </c>
      <c r="IJB42">
        <f t="shared" si="139"/>
        <v>0</v>
      </c>
      <c r="IJC42">
        <f t="shared" si="139"/>
        <v>0</v>
      </c>
      <c r="IJD42">
        <f t="shared" si="139"/>
        <v>0</v>
      </c>
      <c r="IJE42">
        <f t="shared" si="139"/>
        <v>0</v>
      </c>
      <c r="IJF42">
        <f t="shared" si="139"/>
        <v>0</v>
      </c>
      <c r="IJG42">
        <f t="shared" si="139"/>
        <v>0</v>
      </c>
      <c r="IJH42">
        <f t="shared" si="139"/>
        <v>0</v>
      </c>
      <c r="IJI42">
        <f t="shared" si="139"/>
        <v>0</v>
      </c>
      <c r="IJJ42">
        <f t="shared" si="139"/>
        <v>0</v>
      </c>
      <c r="IJK42">
        <f t="shared" si="139"/>
        <v>0</v>
      </c>
      <c r="IJL42">
        <f t="shared" si="139"/>
        <v>0</v>
      </c>
      <c r="IJM42">
        <f t="shared" si="139"/>
        <v>0</v>
      </c>
      <c r="IJN42">
        <f t="shared" si="139"/>
        <v>0</v>
      </c>
      <c r="IJO42">
        <f t="shared" si="139"/>
        <v>0</v>
      </c>
      <c r="IJP42">
        <f t="shared" si="139"/>
        <v>0</v>
      </c>
      <c r="IJQ42">
        <f t="shared" si="139"/>
        <v>0</v>
      </c>
      <c r="IJR42">
        <f t="shared" si="139"/>
        <v>0</v>
      </c>
      <c r="IJS42">
        <f t="shared" si="139"/>
        <v>0</v>
      </c>
      <c r="IJT42">
        <f t="shared" si="139"/>
        <v>0</v>
      </c>
      <c r="IJU42">
        <f t="shared" si="139"/>
        <v>0</v>
      </c>
      <c r="IJV42">
        <f t="shared" si="139"/>
        <v>0</v>
      </c>
      <c r="IJW42">
        <f t="shared" si="139"/>
        <v>0</v>
      </c>
      <c r="IJX42">
        <f t="shared" si="139"/>
        <v>0</v>
      </c>
      <c r="IJY42">
        <f t="shared" si="139"/>
        <v>0</v>
      </c>
      <c r="IJZ42">
        <f t="shared" si="139"/>
        <v>0</v>
      </c>
      <c r="IKA42">
        <f t="shared" si="139"/>
        <v>0</v>
      </c>
      <c r="IKB42">
        <f t="shared" si="139"/>
        <v>0</v>
      </c>
      <c r="IKC42">
        <f t="shared" si="139"/>
        <v>0</v>
      </c>
      <c r="IKD42">
        <f t="shared" si="139"/>
        <v>0</v>
      </c>
      <c r="IKE42">
        <f t="shared" si="139"/>
        <v>0</v>
      </c>
      <c r="IKF42">
        <f t="shared" si="139"/>
        <v>0</v>
      </c>
      <c r="IKG42">
        <f t="shared" si="139"/>
        <v>0</v>
      </c>
      <c r="IKH42">
        <f t="shared" si="139"/>
        <v>0</v>
      </c>
      <c r="IKI42">
        <f t="shared" si="139"/>
        <v>0</v>
      </c>
      <c r="IKJ42">
        <f t="shared" si="139"/>
        <v>0</v>
      </c>
      <c r="IKK42">
        <f t="shared" si="139"/>
        <v>0</v>
      </c>
      <c r="IKL42">
        <f t="shared" si="139"/>
        <v>0</v>
      </c>
      <c r="IKM42">
        <f t="shared" si="139"/>
        <v>0</v>
      </c>
      <c r="IKN42">
        <f t="shared" si="139"/>
        <v>0</v>
      </c>
      <c r="IKO42">
        <f t="shared" si="139"/>
        <v>0</v>
      </c>
      <c r="IKP42">
        <f t="shared" si="139"/>
        <v>0</v>
      </c>
      <c r="IKQ42">
        <f t="shared" si="139"/>
        <v>0</v>
      </c>
      <c r="IKR42">
        <f t="shared" si="139"/>
        <v>0</v>
      </c>
      <c r="IKS42">
        <f t="shared" si="139"/>
        <v>0</v>
      </c>
      <c r="IKT42">
        <f t="shared" si="139"/>
        <v>0</v>
      </c>
      <c r="IKU42">
        <f t="shared" si="139"/>
        <v>0</v>
      </c>
      <c r="IKV42">
        <f t="shared" si="139"/>
        <v>0</v>
      </c>
      <c r="IKW42">
        <f t="shared" si="139"/>
        <v>0</v>
      </c>
      <c r="IKX42">
        <f t="shared" si="139"/>
        <v>0</v>
      </c>
      <c r="IKY42">
        <f t="shared" si="139"/>
        <v>0</v>
      </c>
      <c r="IKZ42">
        <f t="shared" si="139"/>
        <v>0</v>
      </c>
      <c r="ILA42">
        <f t="shared" si="139"/>
        <v>0</v>
      </c>
      <c r="ILB42">
        <f t="shared" ref="ILB42:INM43" si="140">ILB41*1.6*1.2</f>
        <v>0</v>
      </c>
      <c r="ILC42">
        <f t="shared" si="140"/>
        <v>0</v>
      </c>
      <c r="ILD42">
        <f t="shared" si="140"/>
        <v>0</v>
      </c>
      <c r="ILE42">
        <f t="shared" si="140"/>
        <v>0</v>
      </c>
      <c r="ILF42">
        <f t="shared" si="140"/>
        <v>0</v>
      </c>
      <c r="ILG42">
        <f t="shared" si="140"/>
        <v>0</v>
      </c>
      <c r="ILH42">
        <f t="shared" si="140"/>
        <v>0</v>
      </c>
      <c r="ILI42">
        <f t="shared" si="140"/>
        <v>0</v>
      </c>
      <c r="ILJ42">
        <f t="shared" si="140"/>
        <v>0</v>
      </c>
      <c r="ILK42">
        <f t="shared" si="140"/>
        <v>0</v>
      </c>
      <c r="ILL42">
        <f t="shared" si="140"/>
        <v>0</v>
      </c>
      <c r="ILM42">
        <f t="shared" si="140"/>
        <v>0</v>
      </c>
      <c r="ILN42">
        <f t="shared" si="140"/>
        <v>0</v>
      </c>
      <c r="ILO42">
        <f t="shared" si="140"/>
        <v>0</v>
      </c>
      <c r="ILP42">
        <f t="shared" si="140"/>
        <v>0</v>
      </c>
      <c r="ILQ42">
        <f t="shared" si="140"/>
        <v>0</v>
      </c>
      <c r="ILR42">
        <f t="shared" si="140"/>
        <v>0</v>
      </c>
      <c r="ILS42">
        <f t="shared" si="140"/>
        <v>0</v>
      </c>
      <c r="ILT42">
        <f t="shared" si="140"/>
        <v>0</v>
      </c>
      <c r="ILU42">
        <f t="shared" si="140"/>
        <v>0</v>
      </c>
      <c r="ILV42">
        <f t="shared" si="140"/>
        <v>0</v>
      </c>
      <c r="ILW42">
        <f t="shared" si="140"/>
        <v>0</v>
      </c>
      <c r="ILX42">
        <f t="shared" si="140"/>
        <v>0</v>
      </c>
      <c r="ILY42">
        <f t="shared" si="140"/>
        <v>0</v>
      </c>
      <c r="ILZ42">
        <f t="shared" si="140"/>
        <v>0</v>
      </c>
      <c r="IMA42">
        <f t="shared" si="140"/>
        <v>0</v>
      </c>
      <c r="IMB42">
        <f t="shared" si="140"/>
        <v>0</v>
      </c>
      <c r="IMC42">
        <f t="shared" si="140"/>
        <v>0</v>
      </c>
      <c r="IMD42">
        <f t="shared" si="140"/>
        <v>0</v>
      </c>
      <c r="IME42">
        <f t="shared" si="140"/>
        <v>0</v>
      </c>
      <c r="IMF42">
        <f t="shared" si="140"/>
        <v>0</v>
      </c>
      <c r="IMG42">
        <f t="shared" si="140"/>
        <v>0</v>
      </c>
      <c r="IMH42">
        <f t="shared" si="140"/>
        <v>0</v>
      </c>
      <c r="IMI42">
        <f t="shared" si="140"/>
        <v>0</v>
      </c>
      <c r="IMJ42">
        <f t="shared" si="140"/>
        <v>0</v>
      </c>
      <c r="IMK42">
        <f t="shared" si="140"/>
        <v>0</v>
      </c>
      <c r="IML42">
        <f t="shared" si="140"/>
        <v>0</v>
      </c>
      <c r="IMM42">
        <f t="shared" si="140"/>
        <v>0</v>
      </c>
      <c r="IMN42">
        <f t="shared" si="140"/>
        <v>0</v>
      </c>
      <c r="IMO42">
        <f t="shared" si="140"/>
        <v>0</v>
      </c>
      <c r="IMP42">
        <f t="shared" si="140"/>
        <v>0</v>
      </c>
      <c r="IMQ42">
        <f t="shared" si="140"/>
        <v>0</v>
      </c>
      <c r="IMR42">
        <f t="shared" si="140"/>
        <v>0</v>
      </c>
      <c r="IMS42">
        <f t="shared" si="140"/>
        <v>0</v>
      </c>
      <c r="IMT42">
        <f t="shared" si="140"/>
        <v>0</v>
      </c>
      <c r="IMU42">
        <f t="shared" si="140"/>
        <v>0</v>
      </c>
      <c r="IMV42">
        <f t="shared" si="140"/>
        <v>0</v>
      </c>
      <c r="IMW42">
        <f t="shared" si="140"/>
        <v>0</v>
      </c>
      <c r="IMX42">
        <f t="shared" si="140"/>
        <v>0</v>
      </c>
      <c r="IMY42">
        <f t="shared" si="140"/>
        <v>0</v>
      </c>
      <c r="IMZ42">
        <f t="shared" si="140"/>
        <v>0</v>
      </c>
      <c r="INA42">
        <f t="shared" si="140"/>
        <v>0</v>
      </c>
      <c r="INB42">
        <f t="shared" si="140"/>
        <v>0</v>
      </c>
      <c r="INC42">
        <f t="shared" si="140"/>
        <v>0</v>
      </c>
      <c r="IND42">
        <f t="shared" si="140"/>
        <v>0</v>
      </c>
      <c r="INE42">
        <f t="shared" si="140"/>
        <v>0</v>
      </c>
      <c r="INF42">
        <f t="shared" si="140"/>
        <v>0</v>
      </c>
      <c r="ING42">
        <f t="shared" si="140"/>
        <v>0</v>
      </c>
      <c r="INH42">
        <f t="shared" si="140"/>
        <v>0</v>
      </c>
      <c r="INI42">
        <f t="shared" si="140"/>
        <v>0</v>
      </c>
      <c r="INJ42">
        <f t="shared" si="140"/>
        <v>0</v>
      </c>
      <c r="INK42">
        <f t="shared" si="140"/>
        <v>0</v>
      </c>
      <c r="INL42">
        <f t="shared" si="140"/>
        <v>0</v>
      </c>
      <c r="INM42">
        <f t="shared" si="140"/>
        <v>0</v>
      </c>
      <c r="INN42">
        <f t="shared" ref="INN42:IPY43" si="141">INN41*1.6*1.2</f>
        <v>0</v>
      </c>
      <c r="INO42">
        <f t="shared" si="141"/>
        <v>0</v>
      </c>
      <c r="INP42">
        <f t="shared" si="141"/>
        <v>0</v>
      </c>
      <c r="INQ42">
        <f t="shared" si="141"/>
        <v>0</v>
      </c>
      <c r="INR42">
        <f t="shared" si="141"/>
        <v>0</v>
      </c>
      <c r="INS42">
        <f t="shared" si="141"/>
        <v>0</v>
      </c>
      <c r="INT42">
        <f t="shared" si="141"/>
        <v>0</v>
      </c>
      <c r="INU42">
        <f t="shared" si="141"/>
        <v>0</v>
      </c>
      <c r="INV42">
        <f t="shared" si="141"/>
        <v>0</v>
      </c>
      <c r="INW42">
        <f t="shared" si="141"/>
        <v>0</v>
      </c>
      <c r="INX42">
        <f t="shared" si="141"/>
        <v>0</v>
      </c>
      <c r="INY42">
        <f t="shared" si="141"/>
        <v>0</v>
      </c>
      <c r="INZ42">
        <f t="shared" si="141"/>
        <v>0</v>
      </c>
      <c r="IOA42">
        <f t="shared" si="141"/>
        <v>0</v>
      </c>
      <c r="IOB42">
        <f t="shared" si="141"/>
        <v>0</v>
      </c>
      <c r="IOC42">
        <f t="shared" si="141"/>
        <v>0</v>
      </c>
      <c r="IOD42">
        <f t="shared" si="141"/>
        <v>0</v>
      </c>
      <c r="IOE42">
        <f t="shared" si="141"/>
        <v>0</v>
      </c>
      <c r="IOF42">
        <f t="shared" si="141"/>
        <v>0</v>
      </c>
      <c r="IOG42">
        <f t="shared" si="141"/>
        <v>0</v>
      </c>
      <c r="IOH42">
        <f t="shared" si="141"/>
        <v>0</v>
      </c>
      <c r="IOI42">
        <f t="shared" si="141"/>
        <v>0</v>
      </c>
      <c r="IOJ42">
        <f t="shared" si="141"/>
        <v>0</v>
      </c>
      <c r="IOK42">
        <f t="shared" si="141"/>
        <v>0</v>
      </c>
      <c r="IOL42">
        <f t="shared" si="141"/>
        <v>0</v>
      </c>
      <c r="IOM42">
        <f t="shared" si="141"/>
        <v>0</v>
      </c>
      <c r="ION42">
        <f t="shared" si="141"/>
        <v>0</v>
      </c>
      <c r="IOO42">
        <f t="shared" si="141"/>
        <v>0</v>
      </c>
      <c r="IOP42">
        <f t="shared" si="141"/>
        <v>0</v>
      </c>
      <c r="IOQ42">
        <f t="shared" si="141"/>
        <v>0</v>
      </c>
      <c r="IOR42">
        <f t="shared" si="141"/>
        <v>0</v>
      </c>
      <c r="IOS42">
        <f t="shared" si="141"/>
        <v>0</v>
      </c>
      <c r="IOT42">
        <f t="shared" si="141"/>
        <v>0</v>
      </c>
      <c r="IOU42">
        <f t="shared" si="141"/>
        <v>0</v>
      </c>
      <c r="IOV42">
        <f t="shared" si="141"/>
        <v>0</v>
      </c>
      <c r="IOW42">
        <f t="shared" si="141"/>
        <v>0</v>
      </c>
      <c r="IOX42">
        <f t="shared" si="141"/>
        <v>0</v>
      </c>
      <c r="IOY42">
        <f t="shared" si="141"/>
        <v>0</v>
      </c>
      <c r="IOZ42">
        <f t="shared" si="141"/>
        <v>0</v>
      </c>
      <c r="IPA42">
        <f t="shared" si="141"/>
        <v>0</v>
      </c>
      <c r="IPB42">
        <f t="shared" si="141"/>
        <v>0</v>
      </c>
      <c r="IPC42">
        <f t="shared" si="141"/>
        <v>0</v>
      </c>
      <c r="IPD42">
        <f t="shared" si="141"/>
        <v>0</v>
      </c>
      <c r="IPE42">
        <f t="shared" si="141"/>
        <v>0</v>
      </c>
      <c r="IPF42">
        <f t="shared" si="141"/>
        <v>0</v>
      </c>
      <c r="IPG42">
        <f t="shared" si="141"/>
        <v>0</v>
      </c>
      <c r="IPH42">
        <f t="shared" si="141"/>
        <v>0</v>
      </c>
      <c r="IPI42">
        <f t="shared" si="141"/>
        <v>0</v>
      </c>
      <c r="IPJ42">
        <f t="shared" si="141"/>
        <v>0</v>
      </c>
      <c r="IPK42">
        <f t="shared" si="141"/>
        <v>0</v>
      </c>
      <c r="IPL42">
        <f t="shared" si="141"/>
        <v>0</v>
      </c>
      <c r="IPM42">
        <f t="shared" si="141"/>
        <v>0</v>
      </c>
      <c r="IPN42">
        <f t="shared" si="141"/>
        <v>0</v>
      </c>
      <c r="IPO42">
        <f t="shared" si="141"/>
        <v>0</v>
      </c>
      <c r="IPP42">
        <f t="shared" si="141"/>
        <v>0</v>
      </c>
      <c r="IPQ42">
        <f t="shared" si="141"/>
        <v>0</v>
      </c>
      <c r="IPR42">
        <f t="shared" si="141"/>
        <v>0</v>
      </c>
      <c r="IPS42">
        <f t="shared" si="141"/>
        <v>0</v>
      </c>
      <c r="IPT42">
        <f t="shared" si="141"/>
        <v>0</v>
      </c>
      <c r="IPU42">
        <f t="shared" si="141"/>
        <v>0</v>
      </c>
      <c r="IPV42">
        <f t="shared" si="141"/>
        <v>0</v>
      </c>
      <c r="IPW42">
        <f t="shared" si="141"/>
        <v>0</v>
      </c>
      <c r="IPX42">
        <f t="shared" si="141"/>
        <v>0</v>
      </c>
      <c r="IPY42">
        <f t="shared" si="141"/>
        <v>0</v>
      </c>
      <c r="IPZ42">
        <f t="shared" ref="IPZ42:ISK43" si="142">IPZ41*1.6*1.2</f>
        <v>0</v>
      </c>
      <c r="IQA42">
        <f t="shared" si="142"/>
        <v>0</v>
      </c>
      <c r="IQB42">
        <f t="shared" si="142"/>
        <v>0</v>
      </c>
      <c r="IQC42">
        <f t="shared" si="142"/>
        <v>0</v>
      </c>
      <c r="IQD42">
        <f t="shared" si="142"/>
        <v>0</v>
      </c>
      <c r="IQE42">
        <f t="shared" si="142"/>
        <v>0</v>
      </c>
      <c r="IQF42">
        <f t="shared" si="142"/>
        <v>0</v>
      </c>
      <c r="IQG42">
        <f t="shared" si="142"/>
        <v>0</v>
      </c>
      <c r="IQH42">
        <f t="shared" si="142"/>
        <v>0</v>
      </c>
      <c r="IQI42">
        <f t="shared" si="142"/>
        <v>0</v>
      </c>
      <c r="IQJ42">
        <f t="shared" si="142"/>
        <v>0</v>
      </c>
      <c r="IQK42">
        <f t="shared" si="142"/>
        <v>0</v>
      </c>
      <c r="IQL42">
        <f t="shared" si="142"/>
        <v>0</v>
      </c>
      <c r="IQM42">
        <f t="shared" si="142"/>
        <v>0</v>
      </c>
      <c r="IQN42">
        <f t="shared" si="142"/>
        <v>0</v>
      </c>
      <c r="IQO42">
        <f t="shared" si="142"/>
        <v>0</v>
      </c>
      <c r="IQP42">
        <f t="shared" si="142"/>
        <v>0</v>
      </c>
      <c r="IQQ42">
        <f t="shared" si="142"/>
        <v>0</v>
      </c>
      <c r="IQR42">
        <f t="shared" si="142"/>
        <v>0</v>
      </c>
      <c r="IQS42">
        <f t="shared" si="142"/>
        <v>0</v>
      </c>
      <c r="IQT42">
        <f t="shared" si="142"/>
        <v>0</v>
      </c>
      <c r="IQU42">
        <f t="shared" si="142"/>
        <v>0</v>
      </c>
      <c r="IQV42">
        <f t="shared" si="142"/>
        <v>0</v>
      </c>
      <c r="IQW42">
        <f t="shared" si="142"/>
        <v>0</v>
      </c>
      <c r="IQX42">
        <f t="shared" si="142"/>
        <v>0</v>
      </c>
      <c r="IQY42">
        <f t="shared" si="142"/>
        <v>0</v>
      </c>
      <c r="IQZ42">
        <f t="shared" si="142"/>
        <v>0</v>
      </c>
      <c r="IRA42">
        <f t="shared" si="142"/>
        <v>0</v>
      </c>
      <c r="IRB42">
        <f t="shared" si="142"/>
        <v>0</v>
      </c>
      <c r="IRC42">
        <f t="shared" si="142"/>
        <v>0</v>
      </c>
      <c r="IRD42">
        <f t="shared" si="142"/>
        <v>0</v>
      </c>
      <c r="IRE42">
        <f t="shared" si="142"/>
        <v>0</v>
      </c>
      <c r="IRF42">
        <f t="shared" si="142"/>
        <v>0</v>
      </c>
      <c r="IRG42">
        <f t="shared" si="142"/>
        <v>0</v>
      </c>
      <c r="IRH42">
        <f t="shared" si="142"/>
        <v>0</v>
      </c>
      <c r="IRI42">
        <f t="shared" si="142"/>
        <v>0</v>
      </c>
      <c r="IRJ42">
        <f t="shared" si="142"/>
        <v>0</v>
      </c>
      <c r="IRK42">
        <f t="shared" si="142"/>
        <v>0</v>
      </c>
      <c r="IRL42">
        <f t="shared" si="142"/>
        <v>0</v>
      </c>
      <c r="IRM42">
        <f t="shared" si="142"/>
        <v>0</v>
      </c>
      <c r="IRN42">
        <f t="shared" si="142"/>
        <v>0</v>
      </c>
      <c r="IRO42">
        <f t="shared" si="142"/>
        <v>0</v>
      </c>
      <c r="IRP42">
        <f t="shared" si="142"/>
        <v>0</v>
      </c>
      <c r="IRQ42">
        <f t="shared" si="142"/>
        <v>0</v>
      </c>
      <c r="IRR42">
        <f t="shared" si="142"/>
        <v>0</v>
      </c>
      <c r="IRS42">
        <f t="shared" si="142"/>
        <v>0</v>
      </c>
      <c r="IRT42">
        <f t="shared" si="142"/>
        <v>0</v>
      </c>
      <c r="IRU42">
        <f t="shared" si="142"/>
        <v>0</v>
      </c>
      <c r="IRV42">
        <f t="shared" si="142"/>
        <v>0</v>
      </c>
      <c r="IRW42">
        <f t="shared" si="142"/>
        <v>0</v>
      </c>
      <c r="IRX42">
        <f t="shared" si="142"/>
        <v>0</v>
      </c>
      <c r="IRY42">
        <f t="shared" si="142"/>
        <v>0</v>
      </c>
      <c r="IRZ42">
        <f t="shared" si="142"/>
        <v>0</v>
      </c>
      <c r="ISA42">
        <f t="shared" si="142"/>
        <v>0</v>
      </c>
      <c r="ISB42">
        <f t="shared" si="142"/>
        <v>0</v>
      </c>
      <c r="ISC42">
        <f t="shared" si="142"/>
        <v>0</v>
      </c>
      <c r="ISD42">
        <f t="shared" si="142"/>
        <v>0</v>
      </c>
      <c r="ISE42">
        <f t="shared" si="142"/>
        <v>0</v>
      </c>
      <c r="ISF42">
        <f t="shared" si="142"/>
        <v>0</v>
      </c>
      <c r="ISG42">
        <f t="shared" si="142"/>
        <v>0</v>
      </c>
      <c r="ISH42">
        <f t="shared" si="142"/>
        <v>0</v>
      </c>
      <c r="ISI42">
        <f t="shared" si="142"/>
        <v>0</v>
      </c>
      <c r="ISJ42">
        <f t="shared" si="142"/>
        <v>0</v>
      </c>
      <c r="ISK42">
        <f t="shared" si="142"/>
        <v>0</v>
      </c>
      <c r="ISL42">
        <f t="shared" ref="ISL42:IUW43" si="143">ISL41*1.6*1.2</f>
        <v>0</v>
      </c>
      <c r="ISM42">
        <f t="shared" si="143"/>
        <v>0</v>
      </c>
      <c r="ISN42">
        <f t="shared" si="143"/>
        <v>0</v>
      </c>
      <c r="ISO42">
        <f t="shared" si="143"/>
        <v>0</v>
      </c>
      <c r="ISP42">
        <f t="shared" si="143"/>
        <v>0</v>
      </c>
      <c r="ISQ42">
        <f t="shared" si="143"/>
        <v>0</v>
      </c>
      <c r="ISR42">
        <f t="shared" si="143"/>
        <v>0</v>
      </c>
      <c r="ISS42">
        <f t="shared" si="143"/>
        <v>0</v>
      </c>
      <c r="IST42">
        <f t="shared" si="143"/>
        <v>0</v>
      </c>
      <c r="ISU42">
        <f t="shared" si="143"/>
        <v>0</v>
      </c>
      <c r="ISV42">
        <f t="shared" si="143"/>
        <v>0</v>
      </c>
      <c r="ISW42">
        <f t="shared" si="143"/>
        <v>0</v>
      </c>
      <c r="ISX42">
        <f t="shared" si="143"/>
        <v>0</v>
      </c>
      <c r="ISY42">
        <f t="shared" si="143"/>
        <v>0</v>
      </c>
      <c r="ISZ42">
        <f t="shared" si="143"/>
        <v>0</v>
      </c>
      <c r="ITA42">
        <f t="shared" si="143"/>
        <v>0</v>
      </c>
      <c r="ITB42">
        <f t="shared" si="143"/>
        <v>0</v>
      </c>
      <c r="ITC42">
        <f t="shared" si="143"/>
        <v>0</v>
      </c>
      <c r="ITD42">
        <f t="shared" si="143"/>
        <v>0</v>
      </c>
      <c r="ITE42">
        <f t="shared" si="143"/>
        <v>0</v>
      </c>
      <c r="ITF42">
        <f t="shared" si="143"/>
        <v>0</v>
      </c>
      <c r="ITG42">
        <f t="shared" si="143"/>
        <v>0</v>
      </c>
      <c r="ITH42">
        <f t="shared" si="143"/>
        <v>0</v>
      </c>
      <c r="ITI42">
        <f t="shared" si="143"/>
        <v>0</v>
      </c>
      <c r="ITJ42">
        <f t="shared" si="143"/>
        <v>0</v>
      </c>
      <c r="ITK42">
        <f t="shared" si="143"/>
        <v>0</v>
      </c>
      <c r="ITL42">
        <f t="shared" si="143"/>
        <v>0</v>
      </c>
      <c r="ITM42">
        <f t="shared" si="143"/>
        <v>0</v>
      </c>
      <c r="ITN42">
        <f t="shared" si="143"/>
        <v>0</v>
      </c>
      <c r="ITO42">
        <f t="shared" si="143"/>
        <v>0</v>
      </c>
      <c r="ITP42">
        <f t="shared" si="143"/>
        <v>0</v>
      </c>
      <c r="ITQ42">
        <f t="shared" si="143"/>
        <v>0</v>
      </c>
      <c r="ITR42">
        <f t="shared" si="143"/>
        <v>0</v>
      </c>
      <c r="ITS42">
        <f t="shared" si="143"/>
        <v>0</v>
      </c>
      <c r="ITT42">
        <f t="shared" si="143"/>
        <v>0</v>
      </c>
      <c r="ITU42">
        <f t="shared" si="143"/>
        <v>0</v>
      </c>
      <c r="ITV42">
        <f t="shared" si="143"/>
        <v>0</v>
      </c>
      <c r="ITW42">
        <f t="shared" si="143"/>
        <v>0</v>
      </c>
      <c r="ITX42">
        <f t="shared" si="143"/>
        <v>0</v>
      </c>
      <c r="ITY42">
        <f t="shared" si="143"/>
        <v>0</v>
      </c>
      <c r="ITZ42">
        <f t="shared" si="143"/>
        <v>0</v>
      </c>
      <c r="IUA42">
        <f t="shared" si="143"/>
        <v>0</v>
      </c>
      <c r="IUB42">
        <f t="shared" si="143"/>
        <v>0</v>
      </c>
      <c r="IUC42">
        <f t="shared" si="143"/>
        <v>0</v>
      </c>
      <c r="IUD42">
        <f t="shared" si="143"/>
        <v>0</v>
      </c>
      <c r="IUE42">
        <f t="shared" si="143"/>
        <v>0</v>
      </c>
      <c r="IUF42">
        <f t="shared" si="143"/>
        <v>0</v>
      </c>
      <c r="IUG42">
        <f t="shared" si="143"/>
        <v>0</v>
      </c>
      <c r="IUH42">
        <f t="shared" si="143"/>
        <v>0</v>
      </c>
      <c r="IUI42">
        <f t="shared" si="143"/>
        <v>0</v>
      </c>
      <c r="IUJ42">
        <f t="shared" si="143"/>
        <v>0</v>
      </c>
      <c r="IUK42">
        <f t="shared" si="143"/>
        <v>0</v>
      </c>
      <c r="IUL42">
        <f t="shared" si="143"/>
        <v>0</v>
      </c>
      <c r="IUM42">
        <f t="shared" si="143"/>
        <v>0</v>
      </c>
      <c r="IUN42">
        <f t="shared" si="143"/>
        <v>0</v>
      </c>
      <c r="IUO42">
        <f t="shared" si="143"/>
        <v>0</v>
      </c>
      <c r="IUP42">
        <f t="shared" si="143"/>
        <v>0</v>
      </c>
      <c r="IUQ42">
        <f t="shared" si="143"/>
        <v>0</v>
      </c>
      <c r="IUR42">
        <f t="shared" si="143"/>
        <v>0</v>
      </c>
      <c r="IUS42">
        <f t="shared" si="143"/>
        <v>0</v>
      </c>
      <c r="IUT42">
        <f t="shared" si="143"/>
        <v>0</v>
      </c>
      <c r="IUU42">
        <f t="shared" si="143"/>
        <v>0</v>
      </c>
      <c r="IUV42">
        <f t="shared" si="143"/>
        <v>0</v>
      </c>
      <c r="IUW42">
        <f t="shared" si="143"/>
        <v>0</v>
      </c>
      <c r="IUX42">
        <f t="shared" ref="IUX42:IXI43" si="144">IUX41*1.6*1.2</f>
        <v>0</v>
      </c>
      <c r="IUY42">
        <f t="shared" si="144"/>
        <v>0</v>
      </c>
      <c r="IUZ42">
        <f t="shared" si="144"/>
        <v>0</v>
      </c>
      <c r="IVA42">
        <f t="shared" si="144"/>
        <v>0</v>
      </c>
      <c r="IVB42">
        <f t="shared" si="144"/>
        <v>0</v>
      </c>
      <c r="IVC42">
        <f t="shared" si="144"/>
        <v>0</v>
      </c>
      <c r="IVD42">
        <f t="shared" si="144"/>
        <v>0</v>
      </c>
      <c r="IVE42">
        <f t="shared" si="144"/>
        <v>0</v>
      </c>
      <c r="IVF42">
        <f t="shared" si="144"/>
        <v>0</v>
      </c>
      <c r="IVG42">
        <f t="shared" si="144"/>
        <v>0</v>
      </c>
      <c r="IVH42">
        <f t="shared" si="144"/>
        <v>0</v>
      </c>
      <c r="IVI42">
        <f t="shared" si="144"/>
        <v>0</v>
      </c>
      <c r="IVJ42">
        <f t="shared" si="144"/>
        <v>0</v>
      </c>
      <c r="IVK42">
        <f t="shared" si="144"/>
        <v>0</v>
      </c>
      <c r="IVL42">
        <f t="shared" si="144"/>
        <v>0</v>
      </c>
      <c r="IVM42">
        <f t="shared" si="144"/>
        <v>0</v>
      </c>
      <c r="IVN42">
        <f t="shared" si="144"/>
        <v>0</v>
      </c>
      <c r="IVO42">
        <f t="shared" si="144"/>
        <v>0</v>
      </c>
      <c r="IVP42">
        <f t="shared" si="144"/>
        <v>0</v>
      </c>
      <c r="IVQ42">
        <f t="shared" si="144"/>
        <v>0</v>
      </c>
      <c r="IVR42">
        <f t="shared" si="144"/>
        <v>0</v>
      </c>
      <c r="IVS42">
        <f t="shared" si="144"/>
        <v>0</v>
      </c>
      <c r="IVT42">
        <f t="shared" si="144"/>
        <v>0</v>
      </c>
      <c r="IVU42">
        <f t="shared" si="144"/>
        <v>0</v>
      </c>
      <c r="IVV42">
        <f t="shared" si="144"/>
        <v>0</v>
      </c>
      <c r="IVW42">
        <f t="shared" si="144"/>
        <v>0</v>
      </c>
      <c r="IVX42">
        <f t="shared" si="144"/>
        <v>0</v>
      </c>
      <c r="IVY42">
        <f t="shared" si="144"/>
        <v>0</v>
      </c>
      <c r="IVZ42">
        <f t="shared" si="144"/>
        <v>0</v>
      </c>
      <c r="IWA42">
        <f t="shared" si="144"/>
        <v>0</v>
      </c>
      <c r="IWB42">
        <f t="shared" si="144"/>
        <v>0</v>
      </c>
      <c r="IWC42">
        <f t="shared" si="144"/>
        <v>0</v>
      </c>
      <c r="IWD42">
        <f t="shared" si="144"/>
        <v>0</v>
      </c>
      <c r="IWE42">
        <f t="shared" si="144"/>
        <v>0</v>
      </c>
      <c r="IWF42">
        <f t="shared" si="144"/>
        <v>0</v>
      </c>
      <c r="IWG42">
        <f t="shared" si="144"/>
        <v>0</v>
      </c>
      <c r="IWH42">
        <f t="shared" si="144"/>
        <v>0</v>
      </c>
      <c r="IWI42">
        <f t="shared" si="144"/>
        <v>0</v>
      </c>
      <c r="IWJ42">
        <f t="shared" si="144"/>
        <v>0</v>
      </c>
      <c r="IWK42">
        <f t="shared" si="144"/>
        <v>0</v>
      </c>
      <c r="IWL42">
        <f t="shared" si="144"/>
        <v>0</v>
      </c>
      <c r="IWM42">
        <f t="shared" si="144"/>
        <v>0</v>
      </c>
      <c r="IWN42">
        <f t="shared" si="144"/>
        <v>0</v>
      </c>
      <c r="IWO42">
        <f t="shared" si="144"/>
        <v>0</v>
      </c>
      <c r="IWP42">
        <f t="shared" si="144"/>
        <v>0</v>
      </c>
      <c r="IWQ42">
        <f t="shared" si="144"/>
        <v>0</v>
      </c>
      <c r="IWR42">
        <f t="shared" si="144"/>
        <v>0</v>
      </c>
      <c r="IWS42">
        <f t="shared" si="144"/>
        <v>0</v>
      </c>
      <c r="IWT42">
        <f t="shared" si="144"/>
        <v>0</v>
      </c>
      <c r="IWU42">
        <f t="shared" si="144"/>
        <v>0</v>
      </c>
      <c r="IWV42">
        <f t="shared" si="144"/>
        <v>0</v>
      </c>
      <c r="IWW42">
        <f t="shared" si="144"/>
        <v>0</v>
      </c>
      <c r="IWX42">
        <f t="shared" si="144"/>
        <v>0</v>
      </c>
      <c r="IWY42">
        <f t="shared" si="144"/>
        <v>0</v>
      </c>
      <c r="IWZ42">
        <f t="shared" si="144"/>
        <v>0</v>
      </c>
      <c r="IXA42">
        <f t="shared" si="144"/>
        <v>0</v>
      </c>
      <c r="IXB42">
        <f t="shared" si="144"/>
        <v>0</v>
      </c>
      <c r="IXC42">
        <f t="shared" si="144"/>
        <v>0</v>
      </c>
      <c r="IXD42">
        <f t="shared" si="144"/>
        <v>0</v>
      </c>
      <c r="IXE42">
        <f t="shared" si="144"/>
        <v>0</v>
      </c>
      <c r="IXF42">
        <f t="shared" si="144"/>
        <v>0</v>
      </c>
      <c r="IXG42">
        <f t="shared" si="144"/>
        <v>0</v>
      </c>
      <c r="IXH42">
        <f t="shared" si="144"/>
        <v>0</v>
      </c>
      <c r="IXI42">
        <f t="shared" si="144"/>
        <v>0</v>
      </c>
      <c r="IXJ42">
        <f t="shared" ref="IXJ42:IZU43" si="145">IXJ41*1.6*1.2</f>
        <v>0</v>
      </c>
      <c r="IXK42">
        <f t="shared" si="145"/>
        <v>0</v>
      </c>
      <c r="IXL42">
        <f t="shared" si="145"/>
        <v>0</v>
      </c>
      <c r="IXM42">
        <f t="shared" si="145"/>
        <v>0</v>
      </c>
      <c r="IXN42">
        <f t="shared" si="145"/>
        <v>0</v>
      </c>
      <c r="IXO42">
        <f t="shared" si="145"/>
        <v>0</v>
      </c>
      <c r="IXP42">
        <f t="shared" si="145"/>
        <v>0</v>
      </c>
      <c r="IXQ42">
        <f t="shared" si="145"/>
        <v>0</v>
      </c>
      <c r="IXR42">
        <f t="shared" si="145"/>
        <v>0</v>
      </c>
      <c r="IXS42">
        <f t="shared" si="145"/>
        <v>0</v>
      </c>
      <c r="IXT42">
        <f t="shared" si="145"/>
        <v>0</v>
      </c>
      <c r="IXU42">
        <f t="shared" si="145"/>
        <v>0</v>
      </c>
      <c r="IXV42">
        <f t="shared" si="145"/>
        <v>0</v>
      </c>
      <c r="IXW42">
        <f t="shared" si="145"/>
        <v>0</v>
      </c>
      <c r="IXX42">
        <f t="shared" si="145"/>
        <v>0</v>
      </c>
      <c r="IXY42">
        <f t="shared" si="145"/>
        <v>0</v>
      </c>
      <c r="IXZ42">
        <f t="shared" si="145"/>
        <v>0</v>
      </c>
      <c r="IYA42">
        <f t="shared" si="145"/>
        <v>0</v>
      </c>
      <c r="IYB42">
        <f t="shared" si="145"/>
        <v>0</v>
      </c>
      <c r="IYC42">
        <f t="shared" si="145"/>
        <v>0</v>
      </c>
      <c r="IYD42">
        <f t="shared" si="145"/>
        <v>0</v>
      </c>
      <c r="IYE42">
        <f t="shared" si="145"/>
        <v>0</v>
      </c>
      <c r="IYF42">
        <f t="shared" si="145"/>
        <v>0</v>
      </c>
      <c r="IYG42">
        <f t="shared" si="145"/>
        <v>0</v>
      </c>
      <c r="IYH42">
        <f t="shared" si="145"/>
        <v>0</v>
      </c>
      <c r="IYI42">
        <f t="shared" si="145"/>
        <v>0</v>
      </c>
      <c r="IYJ42">
        <f t="shared" si="145"/>
        <v>0</v>
      </c>
      <c r="IYK42">
        <f t="shared" si="145"/>
        <v>0</v>
      </c>
      <c r="IYL42">
        <f t="shared" si="145"/>
        <v>0</v>
      </c>
      <c r="IYM42">
        <f t="shared" si="145"/>
        <v>0</v>
      </c>
      <c r="IYN42">
        <f t="shared" si="145"/>
        <v>0</v>
      </c>
      <c r="IYO42">
        <f t="shared" si="145"/>
        <v>0</v>
      </c>
      <c r="IYP42">
        <f t="shared" si="145"/>
        <v>0</v>
      </c>
      <c r="IYQ42">
        <f t="shared" si="145"/>
        <v>0</v>
      </c>
      <c r="IYR42">
        <f t="shared" si="145"/>
        <v>0</v>
      </c>
      <c r="IYS42">
        <f t="shared" si="145"/>
        <v>0</v>
      </c>
      <c r="IYT42">
        <f t="shared" si="145"/>
        <v>0</v>
      </c>
      <c r="IYU42">
        <f t="shared" si="145"/>
        <v>0</v>
      </c>
      <c r="IYV42">
        <f t="shared" si="145"/>
        <v>0</v>
      </c>
      <c r="IYW42">
        <f t="shared" si="145"/>
        <v>0</v>
      </c>
      <c r="IYX42">
        <f t="shared" si="145"/>
        <v>0</v>
      </c>
      <c r="IYY42">
        <f t="shared" si="145"/>
        <v>0</v>
      </c>
      <c r="IYZ42">
        <f t="shared" si="145"/>
        <v>0</v>
      </c>
      <c r="IZA42">
        <f t="shared" si="145"/>
        <v>0</v>
      </c>
      <c r="IZB42">
        <f t="shared" si="145"/>
        <v>0</v>
      </c>
      <c r="IZC42">
        <f t="shared" si="145"/>
        <v>0</v>
      </c>
      <c r="IZD42">
        <f t="shared" si="145"/>
        <v>0</v>
      </c>
      <c r="IZE42">
        <f t="shared" si="145"/>
        <v>0</v>
      </c>
      <c r="IZF42">
        <f t="shared" si="145"/>
        <v>0</v>
      </c>
      <c r="IZG42">
        <f t="shared" si="145"/>
        <v>0</v>
      </c>
      <c r="IZH42">
        <f t="shared" si="145"/>
        <v>0</v>
      </c>
      <c r="IZI42">
        <f t="shared" si="145"/>
        <v>0</v>
      </c>
      <c r="IZJ42">
        <f t="shared" si="145"/>
        <v>0</v>
      </c>
      <c r="IZK42">
        <f t="shared" si="145"/>
        <v>0</v>
      </c>
      <c r="IZL42">
        <f t="shared" si="145"/>
        <v>0</v>
      </c>
      <c r="IZM42">
        <f t="shared" si="145"/>
        <v>0</v>
      </c>
      <c r="IZN42">
        <f t="shared" si="145"/>
        <v>0</v>
      </c>
      <c r="IZO42">
        <f t="shared" si="145"/>
        <v>0</v>
      </c>
      <c r="IZP42">
        <f t="shared" si="145"/>
        <v>0</v>
      </c>
      <c r="IZQ42">
        <f t="shared" si="145"/>
        <v>0</v>
      </c>
      <c r="IZR42">
        <f t="shared" si="145"/>
        <v>0</v>
      </c>
      <c r="IZS42">
        <f t="shared" si="145"/>
        <v>0</v>
      </c>
      <c r="IZT42">
        <f t="shared" si="145"/>
        <v>0</v>
      </c>
      <c r="IZU42">
        <f t="shared" si="145"/>
        <v>0</v>
      </c>
      <c r="IZV42">
        <f t="shared" ref="IZV42:JCG43" si="146">IZV41*1.6*1.2</f>
        <v>0</v>
      </c>
      <c r="IZW42">
        <f t="shared" si="146"/>
        <v>0</v>
      </c>
      <c r="IZX42">
        <f t="shared" si="146"/>
        <v>0</v>
      </c>
      <c r="IZY42">
        <f t="shared" si="146"/>
        <v>0</v>
      </c>
      <c r="IZZ42">
        <f t="shared" si="146"/>
        <v>0</v>
      </c>
      <c r="JAA42">
        <f t="shared" si="146"/>
        <v>0</v>
      </c>
      <c r="JAB42">
        <f t="shared" si="146"/>
        <v>0</v>
      </c>
      <c r="JAC42">
        <f t="shared" si="146"/>
        <v>0</v>
      </c>
      <c r="JAD42">
        <f t="shared" si="146"/>
        <v>0</v>
      </c>
      <c r="JAE42">
        <f t="shared" si="146"/>
        <v>0</v>
      </c>
      <c r="JAF42">
        <f t="shared" si="146"/>
        <v>0</v>
      </c>
      <c r="JAG42">
        <f t="shared" si="146"/>
        <v>0</v>
      </c>
      <c r="JAH42">
        <f t="shared" si="146"/>
        <v>0</v>
      </c>
      <c r="JAI42">
        <f t="shared" si="146"/>
        <v>0</v>
      </c>
      <c r="JAJ42">
        <f t="shared" si="146"/>
        <v>0</v>
      </c>
      <c r="JAK42">
        <f t="shared" si="146"/>
        <v>0</v>
      </c>
      <c r="JAL42">
        <f t="shared" si="146"/>
        <v>0</v>
      </c>
      <c r="JAM42">
        <f t="shared" si="146"/>
        <v>0</v>
      </c>
      <c r="JAN42">
        <f t="shared" si="146"/>
        <v>0</v>
      </c>
      <c r="JAO42">
        <f t="shared" si="146"/>
        <v>0</v>
      </c>
      <c r="JAP42">
        <f t="shared" si="146"/>
        <v>0</v>
      </c>
      <c r="JAQ42">
        <f t="shared" si="146"/>
        <v>0</v>
      </c>
      <c r="JAR42">
        <f t="shared" si="146"/>
        <v>0</v>
      </c>
      <c r="JAS42">
        <f t="shared" si="146"/>
        <v>0</v>
      </c>
      <c r="JAT42">
        <f t="shared" si="146"/>
        <v>0</v>
      </c>
      <c r="JAU42">
        <f t="shared" si="146"/>
        <v>0</v>
      </c>
      <c r="JAV42">
        <f t="shared" si="146"/>
        <v>0</v>
      </c>
      <c r="JAW42">
        <f t="shared" si="146"/>
        <v>0</v>
      </c>
      <c r="JAX42">
        <f t="shared" si="146"/>
        <v>0</v>
      </c>
      <c r="JAY42">
        <f t="shared" si="146"/>
        <v>0</v>
      </c>
      <c r="JAZ42">
        <f t="shared" si="146"/>
        <v>0</v>
      </c>
      <c r="JBA42">
        <f t="shared" si="146"/>
        <v>0</v>
      </c>
      <c r="JBB42">
        <f t="shared" si="146"/>
        <v>0</v>
      </c>
      <c r="JBC42">
        <f t="shared" si="146"/>
        <v>0</v>
      </c>
      <c r="JBD42">
        <f t="shared" si="146"/>
        <v>0</v>
      </c>
      <c r="JBE42">
        <f t="shared" si="146"/>
        <v>0</v>
      </c>
      <c r="JBF42">
        <f t="shared" si="146"/>
        <v>0</v>
      </c>
      <c r="JBG42">
        <f t="shared" si="146"/>
        <v>0</v>
      </c>
      <c r="JBH42">
        <f t="shared" si="146"/>
        <v>0</v>
      </c>
      <c r="JBI42">
        <f t="shared" si="146"/>
        <v>0</v>
      </c>
      <c r="JBJ42">
        <f t="shared" si="146"/>
        <v>0</v>
      </c>
      <c r="JBK42">
        <f t="shared" si="146"/>
        <v>0</v>
      </c>
      <c r="JBL42">
        <f t="shared" si="146"/>
        <v>0</v>
      </c>
      <c r="JBM42">
        <f t="shared" si="146"/>
        <v>0</v>
      </c>
      <c r="JBN42">
        <f t="shared" si="146"/>
        <v>0</v>
      </c>
      <c r="JBO42">
        <f t="shared" si="146"/>
        <v>0</v>
      </c>
      <c r="JBP42">
        <f t="shared" si="146"/>
        <v>0</v>
      </c>
      <c r="JBQ42">
        <f t="shared" si="146"/>
        <v>0</v>
      </c>
      <c r="JBR42">
        <f t="shared" si="146"/>
        <v>0</v>
      </c>
      <c r="JBS42">
        <f t="shared" si="146"/>
        <v>0</v>
      </c>
      <c r="JBT42">
        <f t="shared" si="146"/>
        <v>0</v>
      </c>
      <c r="JBU42">
        <f t="shared" si="146"/>
        <v>0</v>
      </c>
      <c r="JBV42">
        <f t="shared" si="146"/>
        <v>0</v>
      </c>
      <c r="JBW42">
        <f t="shared" si="146"/>
        <v>0</v>
      </c>
      <c r="JBX42">
        <f t="shared" si="146"/>
        <v>0</v>
      </c>
      <c r="JBY42">
        <f t="shared" si="146"/>
        <v>0</v>
      </c>
      <c r="JBZ42">
        <f t="shared" si="146"/>
        <v>0</v>
      </c>
      <c r="JCA42">
        <f t="shared" si="146"/>
        <v>0</v>
      </c>
      <c r="JCB42">
        <f t="shared" si="146"/>
        <v>0</v>
      </c>
      <c r="JCC42">
        <f t="shared" si="146"/>
        <v>0</v>
      </c>
      <c r="JCD42">
        <f t="shared" si="146"/>
        <v>0</v>
      </c>
      <c r="JCE42">
        <f t="shared" si="146"/>
        <v>0</v>
      </c>
      <c r="JCF42">
        <f t="shared" si="146"/>
        <v>0</v>
      </c>
      <c r="JCG42">
        <f t="shared" si="146"/>
        <v>0</v>
      </c>
      <c r="JCH42">
        <f t="shared" ref="JCH42:JES43" si="147">JCH41*1.6*1.2</f>
        <v>0</v>
      </c>
      <c r="JCI42">
        <f t="shared" si="147"/>
        <v>0</v>
      </c>
      <c r="JCJ42">
        <f t="shared" si="147"/>
        <v>0</v>
      </c>
      <c r="JCK42">
        <f t="shared" si="147"/>
        <v>0</v>
      </c>
      <c r="JCL42">
        <f t="shared" si="147"/>
        <v>0</v>
      </c>
      <c r="JCM42">
        <f t="shared" si="147"/>
        <v>0</v>
      </c>
      <c r="JCN42">
        <f t="shared" si="147"/>
        <v>0</v>
      </c>
      <c r="JCO42">
        <f t="shared" si="147"/>
        <v>0</v>
      </c>
      <c r="JCP42">
        <f t="shared" si="147"/>
        <v>0</v>
      </c>
      <c r="JCQ42">
        <f t="shared" si="147"/>
        <v>0</v>
      </c>
      <c r="JCR42">
        <f t="shared" si="147"/>
        <v>0</v>
      </c>
      <c r="JCS42">
        <f t="shared" si="147"/>
        <v>0</v>
      </c>
      <c r="JCT42">
        <f t="shared" si="147"/>
        <v>0</v>
      </c>
      <c r="JCU42">
        <f t="shared" si="147"/>
        <v>0</v>
      </c>
      <c r="JCV42">
        <f t="shared" si="147"/>
        <v>0</v>
      </c>
      <c r="JCW42">
        <f t="shared" si="147"/>
        <v>0</v>
      </c>
      <c r="JCX42">
        <f t="shared" si="147"/>
        <v>0</v>
      </c>
      <c r="JCY42">
        <f t="shared" si="147"/>
        <v>0</v>
      </c>
      <c r="JCZ42">
        <f t="shared" si="147"/>
        <v>0</v>
      </c>
      <c r="JDA42">
        <f t="shared" si="147"/>
        <v>0</v>
      </c>
      <c r="JDB42">
        <f t="shared" si="147"/>
        <v>0</v>
      </c>
      <c r="JDC42">
        <f t="shared" si="147"/>
        <v>0</v>
      </c>
      <c r="JDD42">
        <f t="shared" si="147"/>
        <v>0</v>
      </c>
      <c r="JDE42">
        <f t="shared" si="147"/>
        <v>0</v>
      </c>
      <c r="JDF42">
        <f t="shared" si="147"/>
        <v>0</v>
      </c>
      <c r="JDG42">
        <f t="shared" si="147"/>
        <v>0</v>
      </c>
      <c r="JDH42">
        <f t="shared" si="147"/>
        <v>0</v>
      </c>
      <c r="JDI42">
        <f t="shared" si="147"/>
        <v>0</v>
      </c>
      <c r="JDJ42">
        <f t="shared" si="147"/>
        <v>0</v>
      </c>
      <c r="JDK42">
        <f t="shared" si="147"/>
        <v>0</v>
      </c>
      <c r="JDL42">
        <f t="shared" si="147"/>
        <v>0</v>
      </c>
      <c r="JDM42">
        <f t="shared" si="147"/>
        <v>0</v>
      </c>
      <c r="JDN42">
        <f t="shared" si="147"/>
        <v>0</v>
      </c>
      <c r="JDO42">
        <f t="shared" si="147"/>
        <v>0</v>
      </c>
      <c r="JDP42">
        <f t="shared" si="147"/>
        <v>0</v>
      </c>
      <c r="JDQ42">
        <f t="shared" si="147"/>
        <v>0</v>
      </c>
      <c r="JDR42">
        <f t="shared" si="147"/>
        <v>0</v>
      </c>
      <c r="JDS42">
        <f t="shared" si="147"/>
        <v>0</v>
      </c>
      <c r="JDT42">
        <f t="shared" si="147"/>
        <v>0</v>
      </c>
      <c r="JDU42">
        <f t="shared" si="147"/>
        <v>0</v>
      </c>
      <c r="JDV42">
        <f t="shared" si="147"/>
        <v>0</v>
      </c>
      <c r="JDW42">
        <f t="shared" si="147"/>
        <v>0</v>
      </c>
      <c r="JDX42">
        <f t="shared" si="147"/>
        <v>0</v>
      </c>
      <c r="JDY42">
        <f t="shared" si="147"/>
        <v>0</v>
      </c>
      <c r="JDZ42">
        <f t="shared" si="147"/>
        <v>0</v>
      </c>
      <c r="JEA42">
        <f t="shared" si="147"/>
        <v>0</v>
      </c>
      <c r="JEB42">
        <f t="shared" si="147"/>
        <v>0</v>
      </c>
      <c r="JEC42">
        <f t="shared" si="147"/>
        <v>0</v>
      </c>
      <c r="JED42">
        <f t="shared" si="147"/>
        <v>0</v>
      </c>
      <c r="JEE42">
        <f t="shared" si="147"/>
        <v>0</v>
      </c>
      <c r="JEF42">
        <f t="shared" si="147"/>
        <v>0</v>
      </c>
      <c r="JEG42">
        <f t="shared" si="147"/>
        <v>0</v>
      </c>
      <c r="JEH42">
        <f t="shared" si="147"/>
        <v>0</v>
      </c>
      <c r="JEI42">
        <f t="shared" si="147"/>
        <v>0</v>
      </c>
      <c r="JEJ42">
        <f t="shared" si="147"/>
        <v>0</v>
      </c>
      <c r="JEK42">
        <f t="shared" si="147"/>
        <v>0</v>
      </c>
      <c r="JEL42">
        <f t="shared" si="147"/>
        <v>0</v>
      </c>
      <c r="JEM42">
        <f t="shared" si="147"/>
        <v>0</v>
      </c>
      <c r="JEN42">
        <f t="shared" si="147"/>
        <v>0</v>
      </c>
      <c r="JEO42">
        <f t="shared" si="147"/>
        <v>0</v>
      </c>
      <c r="JEP42">
        <f t="shared" si="147"/>
        <v>0</v>
      </c>
      <c r="JEQ42">
        <f t="shared" si="147"/>
        <v>0</v>
      </c>
      <c r="JER42">
        <f t="shared" si="147"/>
        <v>0</v>
      </c>
      <c r="JES42">
        <f t="shared" si="147"/>
        <v>0</v>
      </c>
      <c r="JET42">
        <f t="shared" ref="JET42:JHE43" si="148">JET41*1.6*1.2</f>
        <v>0</v>
      </c>
      <c r="JEU42">
        <f t="shared" si="148"/>
        <v>0</v>
      </c>
      <c r="JEV42">
        <f t="shared" si="148"/>
        <v>0</v>
      </c>
      <c r="JEW42">
        <f t="shared" si="148"/>
        <v>0</v>
      </c>
      <c r="JEX42">
        <f t="shared" si="148"/>
        <v>0</v>
      </c>
      <c r="JEY42">
        <f t="shared" si="148"/>
        <v>0</v>
      </c>
      <c r="JEZ42">
        <f t="shared" si="148"/>
        <v>0</v>
      </c>
      <c r="JFA42">
        <f t="shared" si="148"/>
        <v>0</v>
      </c>
      <c r="JFB42">
        <f t="shared" si="148"/>
        <v>0</v>
      </c>
      <c r="JFC42">
        <f t="shared" si="148"/>
        <v>0</v>
      </c>
      <c r="JFD42">
        <f t="shared" si="148"/>
        <v>0</v>
      </c>
      <c r="JFE42">
        <f t="shared" si="148"/>
        <v>0</v>
      </c>
      <c r="JFF42">
        <f t="shared" si="148"/>
        <v>0</v>
      </c>
      <c r="JFG42">
        <f t="shared" si="148"/>
        <v>0</v>
      </c>
      <c r="JFH42">
        <f t="shared" si="148"/>
        <v>0</v>
      </c>
      <c r="JFI42">
        <f t="shared" si="148"/>
        <v>0</v>
      </c>
      <c r="JFJ42">
        <f t="shared" si="148"/>
        <v>0</v>
      </c>
      <c r="JFK42">
        <f t="shared" si="148"/>
        <v>0</v>
      </c>
      <c r="JFL42">
        <f t="shared" si="148"/>
        <v>0</v>
      </c>
      <c r="JFM42">
        <f t="shared" si="148"/>
        <v>0</v>
      </c>
      <c r="JFN42">
        <f t="shared" si="148"/>
        <v>0</v>
      </c>
      <c r="JFO42">
        <f t="shared" si="148"/>
        <v>0</v>
      </c>
      <c r="JFP42">
        <f t="shared" si="148"/>
        <v>0</v>
      </c>
      <c r="JFQ42">
        <f t="shared" si="148"/>
        <v>0</v>
      </c>
      <c r="JFR42">
        <f t="shared" si="148"/>
        <v>0</v>
      </c>
      <c r="JFS42">
        <f t="shared" si="148"/>
        <v>0</v>
      </c>
      <c r="JFT42">
        <f t="shared" si="148"/>
        <v>0</v>
      </c>
      <c r="JFU42">
        <f t="shared" si="148"/>
        <v>0</v>
      </c>
      <c r="JFV42">
        <f t="shared" si="148"/>
        <v>0</v>
      </c>
      <c r="JFW42">
        <f t="shared" si="148"/>
        <v>0</v>
      </c>
      <c r="JFX42">
        <f t="shared" si="148"/>
        <v>0</v>
      </c>
      <c r="JFY42">
        <f t="shared" si="148"/>
        <v>0</v>
      </c>
      <c r="JFZ42">
        <f t="shared" si="148"/>
        <v>0</v>
      </c>
      <c r="JGA42">
        <f t="shared" si="148"/>
        <v>0</v>
      </c>
      <c r="JGB42">
        <f t="shared" si="148"/>
        <v>0</v>
      </c>
      <c r="JGC42">
        <f t="shared" si="148"/>
        <v>0</v>
      </c>
      <c r="JGD42">
        <f t="shared" si="148"/>
        <v>0</v>
      </c>
      <c r="JGE42">
        <f t="shared" si="148"/>
        <v>0</v>
      </c>
      <c r="JGF42">
        <f t="shared" si="148"/>
        <v>0</v>
      </c>
      <c r="JGG42">
        <f t="shared" si="148"/>
        <v>0</v>
      </c>
      <c r="JGH42">
        <f t="shared" si="148"/>
        <v>0</v>
      </c>
      <c r="JGI42">
        <f t="shared" si="148"/>
        <v>0</v>
      </c>
      <c r="JGJ42">
        <f t="shared" si="148"/>
        <v>0</v>
      </c>
      <c r="JGK42">
        <f t="shared" si="148"/>
        <v>0</v>
      </c>
      <c r="JGL42">
        <f t="shared" si="148"/>
        <v>0</v>
      </c>
      <c r="JGM42">
        <f t="shared" si="148"/>
        <v>0</v>
      </c>
      <c r="JGN42">
        <f t="shared" si="148"/>
        <v>0</v>
      </c>
      <c r="JGO42">
        <f t="shared" si="148"/>
        <v>0</v>
      </c>
      <c r="JGP42">
        <f t="shared" si="148"/>
        <v>0</v>
      </c>
      <c r="JGQ42">
        <f t="shared" si="148"/>
        <v>0</v>
      </c>
      <c r="JGR42">
        <f t="shared" si="148"/>
        <v>0</v>
      </c>
      <c r="JGS42">
        <f t="shared" si="148"/>
        <v>0</v>
      </c>
      <c r="JGT42">
        <f t="shared" si="148"/>
        <v>0</v>
      </c>
      <c r="JGU42">
        <f t="shared" si="148"/>
        <v>0</v>
      </c>
      <c r="JGV42">
        <f t="shared" si="148"/>
        <v>0</v>
      </c>
      <c r="JGW42">
        <f t="shared" si="148"/>
        <v>0</v>
      </c>
      <c r="JGX42">
        <f t="shared" si="148"/>
        <v>0</v>
      </c>
      <c r="JGY42">
        <f t="shared" si="148"/>
        <v>0</v>
      </c>
      <c r="JGZ42">
        <f t="shared" si="148"/>
        <v>0</v>
      </c>
      <c r="JHA42">
        <f t="shared" si="148"/>
        <v>0</v>
      </c>
      <c r="JHB42">
        <f t="shared" si="148"/>
        <v>0</v>
      </c>
      <c r="JHC42">
        <f t="shared" si="148"/>
        <v>0</v>
      </c>
      <c r="JHD42">
        <f t="shared" si="148"/>
        <v>0</v>
      </c>
      <c r="JHE42">
        <f t="shared" si="148"/>
        <v>0</v>
      </c>
      <c r="JHF42">
        <f t="shared" ref="JHF42:JJQ43" si="149">JHF41*1.6*1.2</f>
        <v>0</v>
      </c>
      <c r="JHG42">
        <f t="shared" si="149"/>
        <v>0</v>
      </c>
      <c r="JHH42">
        <f t="shared" si="149"/>
        <v>0</v>
      </c>
      <c r="JHI42">
        <f t="shared" si="149"/>
        <v>0</v>
      </c>
      <c r="JHJ42">
        <f t="shared" si="149"/>
        <v>0</v>
      </c>
      <c r="JHK42">
        <f t="shared" si="149"/>
        <v>0</v>
      </c>
      <c r="JHL42">
        <f t="shared" si="149"/>
        <v>0</v>
      </c>
      <c r="JHM42">
        <f t="shared" si="149"/>
        <v>0</v>
      </c>
      <c r="JHN42">
        <f t="shared" si="149"/>
        <v>0</v>
      </c>
      <c r="JHO42">
        <f t="shared" si="149"/>
        <v>0</v>
      </c>
      <c r="JHP42">
        <f t="shared" si="149"/>
        <v>0</v>
      </c>
      <c r="JHQ42">
        <f t="shared" si="149"/>
        <v>0</v>
      </c>
      <c r="JHR42">
        <f t="shared" si="149"/>
        <v>0</v>
      </c>
      <c r="JHS42">
        <f t="shared" si="149"/>
        <v>0</v>
      </c>
      <c r="JHT42">
        <f t="shared" si="149"/>
        <v>0</v>
      </c>
      <c r="JHU42">
        <f t="shared" si="149"/>
        <v>0</v>
      </c>
      <c r="JHV42">
        <f t="shared" si="149"/>
        <v>0</v>
      </c>
      <c r="JHW42">
        <f t="shared" si="149"/>
        <v>0</v>
      </c>
      <c r="JHX42">
        <f t="shared" si="149"/>
        <v>0</v>
      </c>
      <c r="JHY42">
        <f t="shared" si="149"/>
        <v>0</v>
      </c>
      <c r="JHZ42">
        <f t="shared" si="149"/>
        <v>0</v>
      </c>
      <c r="JIA42">
        <f t="shared" si="149"/>
        <v>0</v>
      </c>
      <c r="JIB42">
        <f t="shared" si="149"/>
        <v>0</v>
      </c>
      <c r="JIC42">
        <f t="shared" si="149"/>
        <v>0</v>
      </c>
      <c r="JID42">
        <f t="shared" si="149"/>
        <v>0</v>
      </c>
      <c r="JIE42">
        <f t="shared" si="149"/>
        <v>0</v>
      </c>
      <c r="JIF42">
        <f t="shared" si="149"/>
        <v>0</v>
      </c>
      <c r="JIG42">
        <f t="shared" si="149"/>
        <v>0</v>
      </c>
      <c r="JIH42">
        <f t="shared" si="149"/>
        <v>0</v>
      </c>
      <c r="JII42">
        <f t="shared" si="149"/>
        <v>0</v>
      </c>
      <c r="JIJ42">
        <f t="shared" si="149"/>
        <v>0</v>
      </c>
      <c r="JIK42">
        <f t="shared" si="149"/>
        <v>0</v>
      </c>
      <c r="JIL42">
        <f t="shared" si="149"/>
        <v>0</v>
      </c>
      <c r="JIM42">
        <f t="shared" si="149"/>
        <v>0</v>
      </c>
      <c r="JIN42">
        <f t="shared" si="149"/>
        <v>0</v>
      </c>
      <c r="JIO42">
        <f t="shared" si="149"/>
        <v>0</v>
      </c>
      <c r="JIP42">
        <f t="shared" si="149"/>
        <v>0</v>
      </c>
      <c r="JIQ42">
        <f t="shared" si="149"/>
        <v>0</v>
      </c>
      <c r="JIR42">
        <f t="shared" si="149"/>
        <v>0</v>
      </c>
      <c r="JIS42">
        <f t="shared" si="149"/>
        <v>0</v>
      </c>
      <c r="JIT42">
        <f t="shared" si="149"/>
        <v>0</v>
      </c>
      <c r="JIU42">
        <f t="shared" si="149"/>
        <v>0</v>
      </c>
      <c r="JIV42">
        <f t="shared" si="149"/>
        <v>0</v>
      </c>
      <c r="JIW42">
        <f t="shared" si="149"/>
        <v>0</v>
      </c>
      <c r="JIX42">
        <f t="shared" si="149"/>
        <v>0</v>
      </c>
      <c r="JIY42">
        <f t="shared" si="149"/>
        <v>0</v>
      </c>
      <c r="JIZ42">
        <f t="shared" si="149"/>
        <v>0</v>
      </c>
      <c r="JJA42">
        <f t="shared" si="149"/>
        <v>0</v>
      </c>
      <c r="JJB42">
        <f t="shared" si="149"/>
        <v>0</v>
      </c>
      <c r="JJC42">
        <f t="shared" si="149"/>
        <v>0</v>
      </c>
      <c r="JJD42">
        <f t="shared" si="149"/>
        <v>0</v>
      </c>
      <c r="JJE42">
        <f t="shared" si="149"/>
        <v>0</v>
      </c>
      <c r="JJF42">
        <f t="shared" si="149"/>
        <v>0</v>
      </c>
      <c r="JJG42">
        <f t="shared" si="149"/>
        <v>0</v>
      </c>
      <c r="JJH42">
        <f t="shared" si="149"/>
        <v>0</v>
      </c>
      <c r="JJI42">
        <f t="shared" si="149"/>
        <v>0</v>
      </c>
      <c r="JJJ42">
        <f t="shared" si="149"/>
        <v>0</v>
      </c>
      <c r="JJK42">
        <f t="shared" si="149"/>
        <v>0</v>
      </c>
      <c r="JJL42">
        <f t="shared" si="149"/>
        <v>0</v>
      </c>
      <c r="JJM42">
        <f t="shared" si="149"/>
        <v>0</v>
      </c>
      <c r="JJN42">
        <f t="shared" si="149"/>
        <v>0</v>
      </c>
      <c r="JJO42">
        <f t="shared" si="149"/>
        <v>0</v>
      </c>
      <c r="JJP42">
        <f t="shared" si="149"/>
        <v>0</v>
      </c>
      <c r="JJQ42">
        <f t="shared" si="149"/>
        <v>0</v>
      </c>
      <c r="JJR42">
        <f t="shared" ref="JJR42:JMC43" si="150">JJR41*1.6*1.2</f>
        <v>0</v>
      </c>
      <c r="JJS42">
        <f t="shared" si="150"/>
        <v>0</v>
      </c>
      <c r="JJT42">
        <f t="shared" si="150"/>
        <v>0</v>
      </c>
      <c r="JJU42">
        <f t="shared" si="150"/>
        <v>0</v>
      </c>
      <c r="JJV42">
        <f t="shared" si="150"/>
        <v>0</v>
      </c>
      <c r="JJW42">
        <f t="shared" si="150"/>
        <v>0</v>
      </c>
      <c r="JJX42">
        <f t="shared" si="150"/>
        <v>0</v>
      </c>
      <c r="JJY42">
        <f t="shared" si="150"/>
        <v>0</v>
      </c>
      <c r="JJZ42">
        <f t="shared" si="150"/>
        <v>0</v>
      </c>
      <c r="JKA42">
        <f t="shared" si="150"/>
        <v>0</v>
      </c>
      <c r="JKB42">
        <f t="shared" si="150"/>
        <v>0</v>
      </c>
      <c r="JKC42">
        <f t="shared" si="150"/>
        <v>0</v>
      </c>
      <c r="JKD42">
        <f t="shared" si="150"/>
        <v>0</v>
      </c>
      <c r="JKE42">
        <f t="shared" si="150"/>
        <v>0</v>
      </c>
      <c r="JKF42">
        <f t="shared" si="150"/>
        <v>0</v>
      </c>
      <c r="JKG42">
        <f t="shared" si="150"/>
        <v>0</v>
      </c>
      <c r="JKH42">
        <f t="shared" si="150"/>
        <v>0</v>
      </c>
      <c r="JKI42">
        <f t="shared" si="150"/>
        <v>0</v>
      </c>
      <c r="JKJ42">
        <f t="shared" si="150"/>
        <v>0</v>
      </c>
      <c r="JKK42">
        <f t="shared" si="150"/>
        <v>0</v>
      </c>
      <c r="JKL42">
        <f t="shared" si="150"/>
        <v>0</v>
      </c>
      <c r="JKM42">
        <f t="shared" si="150"/>
        <v>0</v>
      </c>
      <c r="JKN42">
        <f t="shared" si="150"/>
        <v>0</v>
      </c>
      <c r="JKO42">
        <f t="shared" si="150"/>
        <v>0</v>
      </c>
      <c r="JKP42">
        <f t="shared" si="150"/>
        <v>0</v>
      </c>
      <c r="JKQ42">
        <f t="shared" si="150"/>
        <v>0</v>
      </c>
      <c r="JKR42">
        <f t="shared" si="150"/>
        <v>0</v>
      </c>
      <c r="JKS42">
        <f t="shared" si="150"/>
        <v>0</v>
      </c>
      <c r="JKT42">
        <f t="shared" si="150"/>
        <v>0</v>
      </c>
      <c r="JKU42">
        <f t="shared" si="150"/>
        <v>0</v>
      </c>
      <c r="JKV42">
        <f t="shared" si="150"/>
        <v>0</v>
      </c>
      <c r="JKW42">
        <f t="shared" si="150"/>
        <v>0</v>
      </c>
      <c r="JKX42">
        <f t="shared" si="150"/>
        <v>0</v>
      </c>
      <c r="JKY42">
        <f t="shared" si="150"/>
        <v>0</v>
      </c>
      <c r="JKZ42">
        <f t="shared" si="150"/>
        <v>0</v>
      </c>
      <c r="JLA42">
        <f t="shared" si="150"/>
        <v>0</v>
      </c>
      <c r="JLB42">
        <f t="shared" si="150"/>
        <v>0</v>
      </c>
      <c r="JLC42">
        <f t="shared" si="150"/>
        <v>0</v>
      </c>
      <c r="JLD42">
        <f t="shared" si="150"/>
        <v>0</v>
      </c>
      <c r="JLE42">
        <f t="shared" si="150"/>
        <v>0</v>
      </c>
      <c r="JLF42">
        <f t="shared" si="150"/>
        <v>0</v>
      </c>
      <c r="JLG42">
        <f t="shared" si="150"/>
        <v>0</v>
      </c>
      <c r="JLH42">
        <f t="shared" si="150"/>
        <v>0</v>
      </c>
      <c r="JLI42">
        <f t="shared" si="150"/>
        <v>0</v>
      </c>
      <c r="JLJ42">
        <f t="shared" si="150"/>
        <v>0</v>
      </c>
      <c r="JLK42">
        <f t="shared" si="150"/>
        <v>0</v>
      </c>
      <c r="JLL42">
        <f t="shared" si="150"/>
        <v>0</v>
      </c>
      <c r="JLM42">
        <f t="shared" si="150"/>
        <v>0</v>
      </c>
      <c r="JLN42">
        <f t="shared" si="150"/>
        <v>0</v>
      </c>
      <c r="JLO42">
        <f t="shared" si="150"/>
        <v>0</v>
      </c>
      <c r="JLP42">
        <f t="shared" si="150"/>
        <v>0</v>
      </c>
      <c r="JLQ42">
        <f t="shared" si="150"/>
        <v>0</v>
      </c>
      <c r="JLR42">
        <f t="shared" si="150"/>
        <v>0</v>
      </c>
      <c r="JLS42">
        <f t="shared" si="150"/>
        <v>0</v>
      </c>
      <c r="JLT42">
        <f t="shared" si="150"/>
        <v>0</v>
      </c>
      <c r="JLU42">
        <f t="shared" si="150"/>
        <v>0</v>
      </c>
      <c r="JLV42">
        <f t="shared" si="150"/>
        <v>0</v>
      </c>
      <c r="JLW42">
        <f t="shared" si="150"/>
        <v>0</v>
      </c>
      <c r="JLX42">
        <f t="shared" si="150"/>
        <v>0</v>
      </c>
      <c r="JLY42">
        <f t="shared" si="150"/>
        <v>0</v>
      </c>
      <c r="JLZ42">
        <f t="shared" si="150"/>
        <v>0</v>
      </c>
      <c r="JMA42">
        <f t="shared" si="150"/>
        <v>0</v>
      </c>
      <c r="JMB42">
        <f t="shared" si="150"/>
        <v>0</v>
      </c>
      <c r="JMC42">
        <f t="shared" si="150"/>
        <v>0</v>
      </c>
      <c r="JMD42">
        <f t="shared" ref="JMD42:JOO43" si="151">JMD41*1.6*1.2</f>
        <v>0</v>
      </c>
      <c r="JME42">
        <f t="shared" si="151"/>
        <v>0</v>
      </c>
      <c r="JMF42">
        <f t="shared" si="151"/>
        <v>0</v>
      </c>
      <c r="JMG42">
        <f t="shared" si="151"/>
        <v>0</v>
      </c>
      <c r="JMH42">
        <f t="shared" si="151"/>
        <v>0</v>
      </c>
      <c r="JMI42">
        <f t="shared" si="151"/>
        <v>0</v>
      </c>
      <c r="JMJ42">
        <f t="shared" si="151"/>
        <v>0</v>
      </c>
      <c r="JMK42">
        <f t="shared" si="151"/>
        <v>0</v>
      </c>
      <c r="JML42">
        <f t="shared" si="151"/>
        <v>0</v>
      </c>
      <c r="JMM42">
        <f t="shared" si="151"/>
        <v>0</v>
      </c>
      <c r="JMN42">
        <f t="shared" si="151"/>
        <v>0</v>
      </c>
      <c r="JMO42">
        <f t="shared" si="151"/>
        <v>0</v>
      </c>
      <c r="JMP42">
        <f t="shared" si="151"/>
        <v>0</v>
      </c>
      <c r="JMQ42">
        <f t="shared" si="151"/>
        <v>0</v>
      </c>
      <c r="JMR42">
        <f t="shared" si="151"/>
        <v>0</v>
      </c>
      <c r="JMS42">
        <f t="shared" si="151"/>
        <v>0</v>
      </c>
      <c r="JMT42">
        <f t="shared" si="151"/>
        <v>0</v>
      </c>
      <c r="JMU42">
        <f t="shared" si="151"/>
        <v>0</v>
      </c>
      <c r="JMV42">
        <f t="shared" si="151"/>
        <v>0</v>
      </c>
      <c r="JMW42">
        <f t="shared" si="151"/>
        <v>0</v>
      </c>
      <c r="JMX42">
        <f t="shared" si="151"/>
        <v>0</v>
      </c>
      <c r="JMY42">
        <f t="shared" si="151"/>
        <v>0</v>
      </c>
      <c r="JMZ42">
        <f t="shared" si="151"/>
        <v>0</v>
      </c>
      <c r="JNA42">
        <f t="shared" si="151"/>
        <v>0</v>
      </c>
      <c r="JNB42">
        <f t="shared" si="151"/>
        <v>0</v>
      </c>
      <c r="JNC42">
        <f t="shared" si="151"/>
        <v>0</v>
      </c>
      <c r="JND42">
        <f t="shared" si="151"/>
        <v>0</v>
      </c>
      <c r="JNE42">
        <f t="shared" si="151"/>
        <v>0</v>
      </c>
      <c r="JNF42">
        <f t="shared" si="151"/>
        <v>0</v>
      </c>
      <c r="JNG42">
        <f t="shared" si="151"/>
        <v>0</v>
      </c>
      <c r="JNH42">
        <f t="shared" si="151"/>
        <v>0</v>
      </c>
      <c r="JNI42">
        <f t="shared" si="151"/>
        <v>0</v>
      </c>
      <c r="JNJ42">
        <f t="shared" si="151"/>
        <v>0</v>
      </c>
      <c r="JNK42">
        <f t="shared" si="151"/>
        <v>0</v>
      </c>
      <c r="JNL42">
        <f t="shared" si="151"/>
        <v>0</v>
      </c>
      <c r="JNM42">
        <f t="shared" si="151"/>
        <v>0</v>
      </c>
      <c r="JNN42">
        <f t="shared" si="151"/>
        <v>0</v>
      </c>
      <c r="JNO42">
        <f t="shared" si="151"/>
        <v>0</v>
      </c>
      <c r="JNP42">
        <f t="shared" si="151"/>
        <v>0</v>
      </c>
      <c r="JNQ42">
        <f t="shared" si="151"/>
        <v>0</v>
      </c>
      <c r="JNR42">
        <f t="shared" si="151"/>
        <v>0</v>
      </c>
      <c r="JNS42">
        <f t="shared" si="151"/>
        <v>0</v>
      </c>
      <c r="JNT42">
        <f t="shared" si="151"/>
        <v>0</v>
      </c>
      <c r="JNU42">
        <f t="shared" si="151"/>
        <v>0</v>
      </c>
      <c r="JNV42">
        <f t="shared" si="151"/>
        <v>0</v>
      </c>
      <c r="JNW42">
        <f t="shared" si="151"/>
        <v>0</v>
      </c>
      <c r="JNX42">
        <f t="shared" si="151"/>
        <v>0</v>
      </c>
      <c r="JNY42">
        <f t="shared" si="151"/>
        <v>0</v>
      </c>
      <c r="JNZ42">
        <f t="shared" si="151"/>
        <v>0</v>
      </c>
      <c r="JOA42">
        <f t="shared" si="151"/>
        <v>0</v>
      </c>
      <c r="JOB42">
        <f t="shared" si="151"/>
        <v>0</v>
      </c>
      <c r="JOC42">
        <f t="shared" si="151"/>
        <v>0</v>
      </c>
      <c r="JOD42">
        <f t="shared" si="151"/>
        <v>0</v>
      </c>
      <c r="JOE42">
        <f t="shared" si="151"/>
        <v>0</v>
      </c>
      <c r="JOF42">
        <f t="shared" si="151"/>
        <v>0</v>
      </c>
      <c r="JOG42">
        <f t="shared" si="151"/>
        <v>0</v>
      </c>
      <c r="JOH42">
        <f t="shared" si="151"/>
        <v>0</v>
      </c>
      <c r="JOI42">
        <f t="shared" si="151"/>
        <v>0</v>
      </c>
      <c r="JOJ42">
        <f t="shared" si="151"/>
        <v>0</v>
      </c>
      <c r="JOK42">
        <f t="shared" si="151"/>
        <v>0</v>
      </c>
      <c r="JOL42">
        <f t="shared" si="151"/>
        <v>0</v>
      </c>
      <c r="JOM42">
        <f t="shared" si="151"/>
        <v>0</v>
      </c>
      <c r="JON42">
        <f t="shared" si="151"/>
        <v>0</v>
      </c>
      <c r="JOO42">
        <f t="shared" si="151"/>
        <v>0</v>
      </c>
      <c r="JOP42">
        <f t="shared" ref="JOP42:JRA43" si="152">JOP41*1.6*1.2</f>
        <v>0</v>
      </c>
      <c r="JOQ42">
        <f t="shared" si="152"/>
        <v>0</v>
      </c>
      <c r="JOR42">
        <f t="shared" si="152"/>
        <v>0</v>
      </c>
      <c r="JOS42">
        <f t="shared" si="152"/>
        <v>0</v>
      </c>
      <c r="JOT42">
        <f t="shared" si="152"/>
        <v>0</v>
      </c>
      <c r="JOU42">
        <f t="shared" si="152"/>
        <v>0</v>
      </c>
      <c r="JOV42">
        <f t="shared" si="152"/>
        <v>0</v>
      </c>
      <c r="JOW42">
        <f t="shared" si="152"/>
        <v>0</v>
      </c>
      <c r="JOX42">
        <f t="shared" si="152"/>
        <v>0</v>
      </c>
      <c r="JOY42">
        <f t="shared" si="152"/>
        <v>0</v>
      </c>
      <c r="JOZ42">
        <f t="shared" si="152"/>
        <v>0</v>
      </c>
      <c r="JPA42">
        <f t="shared" si="152"/>
        <v>0</v>
      </c>
      <c r="JPB42">
        <f t="shared" si="152"/>
        <v>0</v>
      </c>
      <c r="JPC42">
        <f t="shared" si="152"/>
        <v>0</v>
      </c>
      <c r="JPD42">
        <f t="shared" si="152"/>
        <v>0</v>
      </c>
      <c r="JPE42">
        <f t="shared" si="152"/>
        <v>0</v>
      </c>
      <c r="JPF42">
        <f t="shared" si="152"/>
        <v>0</v>
      </c>
      <c r="JPG42">
        <f t="shared" si="152"/>
        <v>0</v>
      </c>
      <c r="JPH42">
        <f t="shared" si="152"/>
        <v>0</v>
      </c>
      <c r="JPI42">
        <f t="shared" si="152"/>
        <v>0</v>
      </c>
      <c r="JPJ42">
        <f t="shared" si="152"/>
        <v>0</v>
      </c>
      <c r="JPK42">
        <f t="shared" si="152"/>
        <v>0</v>
      </c>
      <c r="JPL42">
        <f t="shared" si="152"/>
        <v>0</v>
      </c>
      <c r="JPM42">
        <f t="shared" si="152"/>
        <v>0</v>
      </c>
      <c r="JPN42">
        <f t="shared" si="152"/>
        <v>0</v>
      </c>
      <c r="JPO42">
        <f t="shared" si="152"/>
        <v>0</v>
      </c>
      <c r="JPP42">
        <f t="shared" si="152"/>
        <v>0</v>
      </c>
      <c r="JPQ42">
        <f t="shared" si="152"/>
        <v>0</v>
      </c>
      <c r="JPR42">
        <f t="shared" si="152"/>
        <v>0</v>
      </c>
      <c r="JPS42">
        <f t="shared" si="152"/>
        <v>0</v>
      </c>
      <c r="JPT42">
        <f t="shared" si="152"/>
        <v>0</v>
      </c>
      <c r="JPU42">
        <f t="shared" si="152"/>
        <v>0</v>
      </c>
      <c r="JPV42">
        <f t="shared" si="152"/>
        <v>0</v>
      </c>
      <c r="JPW42">
        <f t="shared" si="152"/>
        <v>0</v>
      </c>
      <c r="JPX42">
        <f t="shared" si="152"/>
        <v>0</v>
      </c>
      <c r="JPY42">
        <f t="shared" si="152"/>
        <v>0</v>
      </c>
      <c r="JPZ42">
        <f t="shared" si="152"/>
        <v>0</v>
      </c>
      <c r="JQA42">
        <f t="shared" si="152"/>
        <v>0</v>
      </c>
      <c r="JQB42">
        <f t="shared" si="152"/>
        <v>0</v>
      </c>
      <c r="JQC42">
        <f t="shared" si="152"/>
        <v>0</v>
      </c>
      <c r="JQD42">
        <f t="shared" si="152"/>
        <v>0</v>
      </c>
      <c r="JQE42">
        <f t="shared" si="152"/>
        <v>0</v>
      </c>
      <c r="JQF42">
        <f t="shared" si="152"/>
        <v>0</v>
      </c>
      <c r="JQG42">
        <f t="shared" si="152"/>
        <v>0</v>
      </c>
      <c r="JQH42">
        <f t="shared" si="152"/>
        <v>0</v>
      </c>
      <c r="JQI42">
        <f t="shared" si="152"/>
        <v>0</v>
      </c>
      <c r="JQJ42">
        <f t="shared" si="152"/>
        <v>0</v>
      </c>
      <c r="JQK42">
        <f t="shared" si="152"/>
        <v>0</v>
      </c>
      <c r="JQL42">
        <f t="shared" si="152"/>
        <v>0</v>
      </c>
      <c r="JQM42">
        <f t="shared" si="152"/>
        <v>0</v>
      </c>
      <c r="JQN42">
        <f t="shared" si="152"/>
        <v>0</v>
      </c>
      <c r="JQO42">
        <f t="shared" si="152"/>
        <v>0</v>
      </c>
      <c r="JQP42">
        <f t="shared" si="152"/>
        <v>0</v>
      </c>
      <c r="JQQ42">
        <f t="shared" si="152"/>
        <v>0</v>
      </c>
      <c r="JQR42">
        <f t="shared" si="152"/>
        <v>0</v>
      </c>
      <c r="JQS42">
        <f t="shared" si="152"/>
        <v>0</v>
      </c>
      <c r="JQT42">
        <f t="shared" si="152"/>
        <v>0</v>
      </c>
      <c r="JQU42">
        <f t="shared" si="152"/>
        <v>0</v>
      </c>
      <c r="JQV42">
        <f t="shared" si="152"/>
        <v>0</v>
      </c>
      <c r="JQW42">
        <f t="shared" si="152"/>
        <v>0</v>
      </c>
      <c r="JQX42">
        <f t="shared" si="152"/>
        <v>0</v>
      </c>
      <c r="JQY42">
        <f t="shared" si="152"/>
        <v>0</v>
      </c>
      <c r="JQZ42">
        <f t="shared" si="152"/>
        <v>0</v>
      </c>
      <c r="JRA42">
        <f t="shared" si="152"/>
        <v>0</v>
      </c>
      <c r="JRB42">
        <f t="shared" ref="JRB42:JTM43" si="153">JRB41*1.6*1.2</f>
        <v>0</v>
      </c>
      <c r="JRC42">
        <f t="shared" si="153"/>
        <v>0</v>
      </c>
      <c r="JRD42">
        <f t="shared" si="153"/>
        <v>0</v>
      </c>
      <c r="JRE42">
        <f t="shared" si="153"/>
        <v>0</v>
      </c>
      <c r="JRF42">
        <f t="shared" si="153"/>
        <v>0</v>
      </c>
      <c r="JRG42">
        <f t="shared" si="153"/>
        <v>0</v>
      </c>
      <c r="JRH42">
        <f t="shared" si="153"/>
        <v>0</v>
      </c>
      <c r="JRI42">
        <f t="shared" si="153"/>
        <v>0</v>
      </c>
      <c r="JRJ42">
        <f t="shared" si="153"/>
        <v>0</v>
      </c>
      <c r="JRK42">
        <f t="shared" si="153"/>
        <v>0</v>
      </c>
      <c r="JRL42">
        <f t="shared" si="153"/>
        <v>0</v>
      </c>
      <c r="JRM42">
        <f t="shared" si="153"/>
        <v>0</v>
      </c>
      <c r="JRN42">
        <f t="shared" si="153"/>
        <v>0</v>
      </c>
      <c r="JRO42">
        <f t="shared" si="153"/>
        <v>0</v>
      </c>
      <c r="JRP42">
        <f t="shared" si="153"/>
        <v>0</v>
      </c>
      <c r="JRQ42">
        <f t="shared" si="153"/>
        <v>0</v>
      </c>
      <c r="JRR42">
        <f t="shared" si="153"/>
        <v>0</v>
      </c>
      <c r="JRS42">
        <f t="shared" si="153"/>
        <v>0</v>
      </c>
      <c r="JRT42">
        <f t="shared" si="153"/>
        <v>0</v>
      </c>
      <c r="JRU42">
        <f t="shared" si="153"/>
        <v>0</v>
      </c>
      <c r="JRV42">
        <f t="shared" si="153"/>
        <v>0</v>
      </c>
      <c r="JRW42">
        <f t="shared" si="153"/>
        <v>0</v>
      </c>
      <c r="JRX42">
        <f t="shared" si="153"/>
        <v>0</v>
      </c>
      <c r="JRY42">
        <f t="shared" si="153"/>
        <v>0</v>
      </c>
      <c r="JRZ42">
        <f t="shared" si="153"/>
        <v>0</v>
      </c>
      <c r="JSA42">
        <f t="shared" si="153"/>
        <v>0</v>
      </c>
      <c r="JSB42">
        <f t="shared" si="153"/>
        <v>0</v>
      </c>
      <c r="JSC42">
        <f t="shared" si="153"/>
        <v>0</v>
      </c>
      <c r="JSD42">
        <f t="shared" si="153"/>
        <v>0</v>
      </c>
      <c r="JSE42">
        <f t="shared" si="153"/>
        <v>0</v>
      </c>
      <c r="JSF42">
        <f t="shared" si="153"/>
        <v>0</v>
      </c>
      <c r="JSG42">
        <f t="shared" si="153"/>
        <v>0</v>
      </c>
      <c r="JSH42">
        <f t="shared" si="153"/>
        <v>0</v>
      </c>
      <c r="JSI42">
        <f t="shared" si="153"/>
        <v>0</v>
      </c>
      <c r="JSJ42">
        <f t="shared" si="153"/>
        <v>0</v>
      </c>
      <c r="JSK42">
        <f t="shared" si="153"/>
        <v>0</v>
      </c>
      <c r="JSL42">
        <f t="shared" si="153"/>
        <v>0</v>
      </c>
      <c r="JSM42">
        <f t="shared" si="153"/>
        <v>0</v>
      </c>
      <c r="JSN42">
        <f t="shared" si="153"/>
        <v>0</v>
      </c>
      <c r="JSO42">
        <f t="shared" si="153"/>
        <v>0</v>
      </c>
      <c r="JSP42">
        <f t="shared" si="153"/>
        <v>0</v>
      </c>
      <c r="JSQ42">
        <f t="shared" si="153"/>
        <v>0</v>
      </c>
      <c r="JSR42">
        <f t="shared" si="153"/>
        <v>0</v>
      </c>
      <c r="JSS42">
        <f t="shared" si="153"/>
        <v>0</v>
      </c>
      <c r="JST42">
        <f t="shared" si="153"/>
        <v>0</v>
      </c>
      <c r="JSU42">
        <f t="shared" si="153"/>
        <v>0</v>
      </c>
      <c r="JSV42">
        <f t="shared" si="153"/>
        <v>0</v>
      </c>
      <c r="JSW42">
        <f t="shared" si="153"/>
        <v>0</v>
      </c>
      <c r="JSX42">
        <f t="shared" si="153"/>
        <v>0</v>
      </c>
      <c r="JSY42">
        <f t="shared" si="153"/>
        <v>0</v>
      </c>
      <c r="JSZ42">
        <f t="shared" si="153"/>
        <v>0</v>
      </c>
      <c r="JTA42">
        <f t="shared" si="153"/>
        <v>0</v>
      </c>
      <c r="JTB42">
        <f t="shared" si="153"/>
        <v>0</v>
      </c>
      <c r="JTC42">
        <f t="shared" si="153"/>
        <v>0</v>
      </c>
      <c r="JTD42">
        <f t="shared" si="153"/>
        <v>0</v>
      </c>
      <c r="JTE42">
        <f t="shared" si="153"/>
        <v>0</v>
      </c>
      <c r="JTF42">
        <f t="shared" si="153"/>
        <v>0</v>
      </c>
      <c r="JTG42">
        <f t="shared" si="153"/>
        <v>0</v>
      </c>
      <c r="JTH42">
        <f t="shared" si="153"/>
        <v>0</v>
      </c>
      <c r="JTI42">
        <f t="shared" si="153"/>
        <v>0</v>
      </c>
      <c r="JTJ42">
        <f t="shared" si="153"/>
        <v>0</v>
      </c>
      <c r="JTK42">
        <f t="shared" si="153"/>
        <v>0</v>
      </c>
      <c r="JTL42">
        <f t="shared" si="153"/>
        <v>0</v>
      </c>
      <c r="JTM42">
        <f t="shared" si="153"/>
        <v>0</v>
      </c>
      <c r="JTN42">
        <f t="shared" ref="JTN42:JVY43" si="154">JTN41*1.6*1.2</f>
        <v>0</v>
      </c>
      <c r="JTO42">
        <f t="shared" si="154"/>
        <v>0</v>
      </c>
      <c r="JTP42">
        <f t="shared" si="154"/>
        <v>0</v>
      </c>
      <c r="JTQ42">
        <f t="shared" si="154"/>
        <v>0</v>
      </c>
      <c r="JTR42">
        <f t="shared" si="154"/>
        <v>0</v>
      </c>
      <c r="JTS42">
        <f t="shared" si="154"/>
        <v>0</v>
      </c>
      <c r="JTT42">
        <f t="shared" si="154"/>
        <v>0</v>
      </c>
      <c r="JTU42">
        <f t="shared" si="154"/>
        <v>0</v>
      </c>
      <c r="JTV42">
        <f t="shared" si="154"/>
        <v>0</v>
      </c>
      <c r="JTW42">
        <f t="shared" si="154"/>
        <v>0</v>
      </c>
      <c r="JTX42">
        <f t="shared" si="154"/>
        <v>0</v>
      </c>
      <c r="JTY42">
        <f t="shared" si="154"/>
        <v>0</v>
      </c>
      <c r="JTZ42">
        <f t="shared" si="154"/>
        <v>0</v>
      </c>
      <c r="JUA42">
        <f t="shared" si="154"/>
        <v>0</v>
      </c>
      <c r="JUB42">
        <f t="shared" si="154"/>
        <v>0</v>
      </c>
      <c r="JUC42">
        <f t="shared" si="154"/>
        <v>0</v>
      </c>
      <c r="JUD42">
        <f t="shared" si="154"/>
        <v>0</v>
      </c>
      <c r="JUE42">
        <f t="shared" si="154"/>
        <v>0</v>
      </c>
      <c r="JUF42">
        <f t="shared" si="154"/>
        <v>0</v>
      </c>
      <c r="JUG42">
        <f t="shared" si="154"/>
        <v>0</v>
      </c>
      <c r="JUH42">
        <f t="shared" si="154"/>
        <v>0</v>
      </c>
      <c r="JUI42">
        <f t="shared" si="154"/>
        <v>0</v>
      </c>
      <c r="JUJ42">
        <f t="shared" si="154"/>
        <v>0</v>
      </c>
      <c r="JUK42">
        <f t="shared" si="154"/>
        <v>0</v>
      </c>
      <c r="JUL42">
        <f t="shared" si="154"/>
        <v>0</v>
      </c>
      <c r="JUM42">
        <f t="shared" si="154"/>
        <v>0</v>
      </c>
      <c r="JUN42">
        <f t="shared" si="154"/>
        <v>0</v>
      </c>
      <c r="JUO42">
        <f t="shared" si="154"/>
        <v>0</v>
      </c>
      <c r="JUP42">
        <f t="shared" si="154"/>
        <v>0</v>
      </c>
      <c r="JUQ42">
        <f t="shared" si="154"/>
        <v>0</v>
      </c>
      <c r="JUR42">
        <f t="shared" si="154"/>
        <v>0</v>
      </c>
      <c r="JUS42">
        <f t="shared" si="154"/>
        <v>0</v>
      </c>
      <c r="JUT42">
        <f t="shared" si="154"/>
        <v>0</v>
      </c>
      <c r="JUU42">
        <f t="shared" si="154"/>
        <v>0</v>
      </c>
      <c r="JUV42">
        <f t="shared" si="154"/>
        <v>0</v>
      </c>
      <c r="JUW42">
        <f t="shared" si="154"/>
        <v>0</v>
      </c>
      <c r="JUX42">
        <f t="shared" si="154"/>
        <v>0</v>
      </c>
      <c r="JUY42">
        <f t="shared" si="154"/>
        <v>0</v>
      </c>
      <c r="JUZ42">
        <f t="shared" si="154"/>
        <v>0</v>
      </c>
      <c r="JVA42">
        <f t="shared" si="154"/>
        <v>0</v>
      </c>
      <c r="JVB42">
        <f t="shared" si="154"/>
        <v>0</v>
      </c>
      <c r="JVC42">
        <f t="shared" si="154"/>
        <v>0</v>
      </c>
      <c r="JVD42">
        <f t="shared" si="154"/>
        <v>0</v>
      </c>
      <c r="JVE42">
        <f t="shared" si="154"/>
        <v>0</v>
      </c>
      <c r="JVF42">
        <f t="shared" si="154"/>
        <v>0</v>
      </c>
      <c r="JVG42">
        <f t="shared" si="154"/>
        <v>0</v>
      </c>
      <c r="JVH42">
        <f t="shared" si="154"/>
        <v>0</v>
      </c>
      <c r="JVI42">
        <f t="shared" si="154"/>
        <v>0</v>
      </c>
      <c r="JVJ42">
        <f t="shared" si="154"/>
        <v>0</v>
      </c>
      <c r="JVK42">
        <f t="shared" si="154"/>
        <v>0</v>
      </c>
      <c r="JVL42">
        <f t="shared" si="154"/>
        <v>0</v>
      </c>
      <c r="JVM42">
        <f t="shared" si="154"/>
        <v>0</v>
      </c>
      <c r="JVN42">
        <f t="shared" si="154"/>
        <v>0</v>
      </c>
      <c r="JVO42">
        <f t="shared" si="154"/>
        <v>0</v>
      </c>
      <c r="JVP42">
        <f t="shared" si="154"/>
        <v>0</v>
      </c>
      <c r="JVQ42">
        <f t="shared" si="154"/>
        <v>0</v>
      </c>
      <c r="JVR42">
        <f t="shared" si="154"/>
        <v>0</v>
      </c>
      <c r="JVS42">
        <f t="shared" si="154"/>
        <v>0</v>
      </c>
      <c r="JVT42">
        <f t="shared" si="154"/>
        <v>0</v>
      </c>
      <c r="JVU42">
        <f t="shared" si="154"/>
        <v>0</v>
      </c>
      <c r="JVV42">
        <f t="shared" si="154"/>
        <v>0</v>
      </c>
      <c r="JVW42">
        <f t="shared" si="154"/>
        <v>0</v>
      </c>
      <c r="JVX42">
        <f t="shared" si="154"/>
        <v>0</v>
      </c>
      <c r="JVY42">
        <f t="shared" si="154"/>
        <v>0</v>
      </c>
      <c r="JVZ42">
        <f t="shared" ref="JVZ42:JYK43" si="155">JVZ41*1.6*1.2</f>
        <v>0</v>
      </c>
      <c r="JWA42">
        <f t="shared" si="155"/>
        <v>0</v>
      </c>
      <c r="JWB42">
        <f t="shared" si="155"/>
        <v>0</v>
      </c>
      <c r="JWC42">
        <f t="shared" si="155"/>
        <v>0</v>
      </c>
      <c r="JWD42">
        <f t="shared" si="155"/>
        <v>0</v>
      </c>
      <c r="JWE42">
        <f t="shared" si="155"/>
        <v>0</v>
      </c>
      <c r="JWF42">
        <f t="shared" si="155"/>
        <v>0</v>
      </c>
      <c r="JWG42">
        <f t="shared" si="155"/>
        <v>0</v>
      </c>
      <c r="JWH42">
        <f t="shared" si="155"/>
        <v>0</v>
      </c>
      <c r="JWI42">
        <f t="shared" si="155"/>
        <v>0</v>
      </c>
      <c r="JWJ42">
        <f t="shared" si="155"/>
        <v>0</v>
      </c>
      <c r="JWK42">
        <f t="shared" si="155"/>
        <v>0</v>
      </c>
      <c r="JWL42">
        <f t="shared" si="155"/>
        <v>0</v>
      </c>
      <c r="JWM42">
        <f t="shared" si="155"/>
        <v>0</v>
      </c>
      <c r="JWN42">
        <f t="shared" si="155"/>
        <v>0</v>
      </c>
      <c r="JWO42">
        <f t="shared" si="155"/>
        <v>0</v>
      </c>
      <c r="JWP42">
        <f t="shared" si="155"/>
        <v>0</v>
      </c>
      <c r="JWQ42">
        <f t="shared" si="155"/>
        <v>0</v>
      </c>
      <c r="JWR42">
        <f t="shared" si="155"/>
        <v>0</v>
      </c>
      <c r="JWS42">
        <f t="shared" si="155"/>
        <v>0</v>
      </c>
      <c r="JWT42">
        <f t="shared" si="155"/>
        <v>0</v>
      </c>
      <c r="JWU42">
        <f t="shared" si="155"/>
        <v>0</v>
      </c>
      <c r="JWV42">
        <f t="shared" si="155"/>
        <v>0</v>
      </c>
      <c r="JWW42">
        <f t="shared" si="155"/>
        <v>0</v>
      </c>
      <c r="JWX42">
        <f t="shared" si="155"/>
        <v>0</v>
      </c>
      <c r="JWY42">
        <f t="shared" si="155"/>
        <v>0</v>
      </c>
      <c r="JWZ42">
        <f t="shared" si="155"/>
        <v>0</v>
      </c>
      <c r="JXA42">
        <f t="shared" si="155"/>
        <v>0</v>
      </c>
      <c r="JXB42">
        <f t="shared" si="155"/>
        <v>0</v>
      </c>
      <c r="JXC42">
        <f t="shared" si="155"/>
        <v>0</v>
      </c>
      <c r="JXD42">
        <f t="shared" si="155"/>
        <v>0</v>
      </c>
      <c r="JXE42">
        <f t="shared" si="155"/>
        <v>0</v>
      </c>
      <c r="JXF42">
        <f t="shared" si="155"/>
        <v>0</v>
      </c>
      <c r="JXG42">
        <f t="shared" si="155"/>
        <v>0</v>
      </c>
      <c r="JXH42">
        <f t="shared" si="155"/>
        <v>0</v>
      </c>
      <c r="JXI42">
        <f t="shared" si="155"/>
        <v>0</v>
      </c>
      <c r="JXJ42">
        <f t="shared" si="155"/>
        <v>0</v>
      </c>
      <c r="JXK42">
        <f t="shared" si="155"/>
        <v>0</v>
      </c>
      <c r="JXL42">
        <f t="shared" si="155"/>
        <v>0</v>
      </c>
      <c r="JXM42">
        <f t="shared" si="155"/>
        <v>0</v>
      </c>
      <c r="JXN42">
        <f t="shared" si="155"/>
        <v>0</v>
      </c>
      <c r="JXO42">
        <f t="shared" si="155"/>
        <v>0</v>
      </c>
      <c r="JXP42">
        <f t="shared" si="155"/>
        <v>0</v>
      </c>
      <c r="JXQ42">
        <f t="shared" si="155"/>
        <v>0</v>
      </c>
      <c r="JXR42">
        <f t="shared" si="155"/>
        <v>0</v>
      </c>
      <c r="JXS42">
        <f t="shared" si="155"/>
        <v>0</v>
      </c>
      <c r="JXT42">
        <f t="shared" si="155"/>
        <v>0</v>
      </c>
      <c r="JXU42">
        <f t="shared" si="155"/>
        <v>0</v>
      </c>
      <c r="JXV42">
        <f t="shared" si="155"/>
        <v>0</v>
      </c>
      <c r="JXW42">
        <f t="shared" si="155"/>
        <v>0</v>
      </c>
      <c r="JXX42">
        <f t="shared" si="155"/>
        <v>0</v>
      </c>
      <c r="JXY42">
        <f t="shared" si="155"/>
        <v>0</v>
      </c>
      <c r="JXZ42">
        <f t="shared" si="155"/>
        <v>0</v>
      </c>
      <c r="JYA42">
        <f t="shared" si="155"/>
        <v>0</v>
      </c>
      <c r="JYB42">
        <f t="shared" si="155"/>
        <v>0</v>
      </c>
      <c r="JYC42">
        <f t="shared" si="155"/>
        <v>0</v>
      </c>
      <c r="JYD42">
        <f t="shared" si="155"/>
        <v>0</v>
      </c>
      <c r="JYE42">
        <f t="shared" si="155"/>
        <v>0</v>
      </c>
      <c r="JYF42">
        <f t="shared" si="155"/>
        <v>0</v>
      </c>
      <c r="JYG42">
        <f t="shared" si="155"/>
        <v>0</v>
      </c>
      <c r="JYH42">
        <f t="shared" si="155"/>
        <v>0</v>
      </c>
      <c r="JYI42">
        <f t="shared" si="155"/>
        <v>0</v>
      </c>
      <c r="JYJ42">
        <f t="shared" si="155"/>
        <v>0</v>
      </c>
      <c r="JYK42">
        <f t="shared" si="155"/>
        <v>0</v>
      </c>
      <c r="JYL42">
        <f t="shared" ref="JYL42:KAW43" si="156">JYL41*1.6*1.2</f>
        <v>0</v>
      </c>
      <c r="JYM42">
        <f t="shared" si="156"/>
        <v>0</v>
      </c>
      <c r="JYN42">
        <f t="shared" si="156"/>
        <v>0</v>
      </c>
      <c r="JYO42">
        <f t="shared" si="156"/>
        <v>0</v>
      </c>
      <c r="JYP42">
        <f t="shared" si="156"/>
        <v>0</v>
      </c>
      <c r="JYQ42">
        <f t="shared" si="156"/>
        <v>0</v>
      </c>
      <c r="JYR42">
        <f t="shared" si="156"/>
        <v>0</v>
      </c>
      <c r="JYS42">
        <f t="shared" si="156"/>
        <v>0</v>
      </c>
      <c r="JYT42">
        <f t="shared" si="156"/>
        <v>0</v>
      </c>
      <c r="JYU42">
        <f t="shared" si="156"/>
        <v>0</v>
      </c>
      <c r="JYV42">
        <f t="shared" si="156"/>
        <v>0</v>
      </c>
      <c r="JYW42">
        <f t="shared" si="156"/>
        <v>0</v>
      </c>
      <c r="JYX42">
        <f t="shared" si="156"/>
        <v>0</v>
      </c>
      <c r="JYY42">
        <f t="shared" si="156"/>
        <v>0</v>
      </c>
      <c r="JYZ42">
        <f t="shared" si="156"/>
        <v>0</v>
      </c>
      <c r="JZA42">
        <f t="shared" si="156"/>
        <v>0</v>
      </c>
      <c r="JZB42">
        <f t="shared" si="156"/>
        <v>0</v>
      </c>
      <c r="JZC42">
        <f t="shared" si="156"/>
        <v>0</v>
      </c>
      <c r="JZD42">
        <f t="shared" si="156"/>
        <v>0</v>
      </c>
      <c r="JZE42">
        <f t="shared" si="156"/>
        <v>0</v>
      </c>
      <c r="JZF42">
        <f t="shared" si="156"/>
        <v>0</v>
      </c>
      <c r="JZG42">
        <f t="shared" si="156"/>
        <v>0</v>
      </c>
      <c r="JZH42">
        <f t="shared" si="156"/>
        <v>0</v>
      </c>
      <c r="JZI42">
        <f t="shared" si="156"/>
        <v>0</v>
      </c>
      <c r="JZJ42">
        <f t="shared" si="156"/>
        <v>0</v>
      </c>
      <c r="JZK42">
        <f t="shared" si="156"/>
        <v>0</v>
      </c>
      <c r="JZL42">
        <f t="shared" si="156"/>
        <v>0</v>
      </c>
      <c r="JZM42">
        <f t="shared" si="156"/>
        <v>0</v>
      </c>
      <c r="JZN42">
        <f t="shared" si="156"/>
        <v>0</v>
      </c>
      <c r="JZO42">
        <f t="shared" si="156"/>
        <v>0</v>
      </c>
      <c r="JZP42">
        <f t="shared" si="156"/>
        <v>0</v>
      </c>
      <c r="JZQ42">
        <f t="shared" si="156"/>
        <v>0</v>
      </c>
      <c r="JZR42">
        <f t="shared" si="156"/>
        <v>0</v>
      </c>
      <c r="JZS42">
        <f t="shared" si="156"/>
        <v>0</v>
      </c>
      <c r="JZT42">
        <f t="shared" si="156"/>
        <v>0</v>
      </c>
      <c r="JZU42">
        <f t="shared" si="156"/>
        <v>0</v>
      </c>
      <c r="JZV42">
        <f t="shared" si="156"/>
        <v>0</v>
      </c>
      <c r="JZW42">
        <f t="shared" si="156"/>
        <v>0</v>
      </c>
      <c r="JZX42">
        <f t="shared" si="156"/>
        <v>0</v>
      </c>
      <c r="JZY42">
        <f t="shared" si="156"/>
        <v>0</v>
      </c>
      <c r="JZZ42">
        <f t="shared" si="156"/>
        <v>0</v>
      </c>
      <c r="KAA42">
        <f t="shared" si="156"/>
        <v>0</v>
      </c>
      <c r="KAB42">
        <f t="shared" si="156"/>
        <v>0</v>
      </c>
      <c r="KAC42">
        <f t="shared" si="156"/>
        <v>0</v>
      </c>
      <c r="KAD42">
        <f t="shared" si="156"/>
        <v>0</v>
      </c>
      <c r="KAE42">
        <f t="shared" si="156"/>
        <v>0</v>
      </c>
      <c r="KAF42">
        <f t="shared" si="156"/>
        <v>0</v>
      </c>
      <c r="KAG42">
        <f t="shared" si="156"/>
        <v>0</v>
      </c>
      <c r="KAH42">
        <f t="shared" si="156"/>
        <v>0</v>
      </c>
      <c r="KAI42">
        <f t="shared" si="156"/>
        <v>0</v>
      </c>
      <c r="KAJ42">
        <f t="shared" si="156"/>
        <v>0</v>
      </c>
      <c r="KAK42">
        <f t="shared" si="156"/>
        <v>0</v>
      </c>
      <c r="KAL42">
        <f t="shared" si="156"/>
        <v>0</v>
      </c>
      <c r="KAM42">
        <f t="shared" si="156"/>
        <v>0</v>
      </c>
      <c r="KAN42">
        <f t="shared" si="156"/>
        <v>0</v>
      </c>
      <c r="KAO42">
        <f t="shared" si="156"/>
        <v>0</v>
      </c>
      <c r="KAP42">
        <f t="shared" si="156"/>
        <v>0</v>
      </c>
      <c r="KAQ42">
        <f t="shared" si="156"/>
        <v>0</v>
      </c>
      <c r="KAR42">
        <f t="shared" si="156"/>
        <v>0</v>
      </c>
      <c r="KAS42">
        <f t="shared" si="156"/>
        <v>0</v>
      </c>
      <c r="KAT42">
        <f t="shared" si="156"/>
        <v>0</v>
      </c>
      <c r="KAU42">
        <f t="shared" si="156"/>
        <v>0</v>
      </c>
      <c r="KAV42">
        <f t="shared" si="156"/>
        <v>0</v>
      </c>
      <c r="KAW42">
        <f t="shared" si="156"/>
        <v>0</v>
      </c>
      <c r="KAX42">
        <f t="shared" ref="KAX42:KDI43" si="157">KAX41*1.6*1.2</f>
        <v>0</v>
      </c>
      <c r="KAY42">
        <f t="shared" si="157"/>
        <v>0</v>
      </c>
      <c r="KAZ42">
        <f t="shared" si="157"/>
        <v>0</v>
      </c>
      <c r="KBA42">
        <f t="shared" si="157"/>
        <v>0</v>
      </c>
      <c r="KBB42">
        <f t="shared" si="157"/>
        <v>0</v>
      </c>
      <c r="KBC42">
        <f t="shared" si="157"/>
        <v>0</v>
      </c>
      <c r="KBD42">
        <f t="shared" si="157"/>
        <v>0</v>
      </c>
      <c r="KBE42">
        <f t="shared" si="157"/>
        <v>0</v>
      </c>
      <c r="KBF42">
        <f t="shared" si="157"/>
        <v>0</v>
      </c>
      <c r="KBG42">
        <f t="shared" si="157"/>
        <v>0</v>
      </c>
      <c r="KBH42">
        <f t="shared" si="157"/>
        <v>0</v>
      </c>
      <c r="KBI42">
        <f t="shared" si="157"/>
        <v>0</v>
      </c>
      <c r="KBJ42">
        <f t="shared" si="157"/>
        <v>0</v>
      </c>
      <c r="KBK42">
        <f t="shared" si="157"/>
        <v>0</v>
      </c>
      <c r="KBL42">
        <f t="shared" si="157"/>
        <v>0</v>
      </c>
      <c r="KBM42">
        <f t="shared" si="157"/>
        <v>0</v>
      </c>
      <c r="KBN42">
        <f t="shared" si="157"/>
        <v>0</v>
      </c>
      <c r="KBO42">
        <f t="shared" si="157"/>
        <v>0</v>
      </c>
      <c r="KBP42">
        <f t="shared" si="157"/>
        <v>0</v>
      </c>
      <c r="KBQ42">
        <f t="shared" si="157"/>
        <v>0</v>
      </c>
      <c r="KBR42">
        <f t="shared" si="157"/>
        <v>0</v>
      </c>
      <c r="KBS42">
        <f t="shared" si="157"/>
        <v>0</v>
      </c>
      <c r="KBT42">
        <f t="shared" si="157"/>
        <v>0</v>
      </c>
      <c r="KBU42">
        <f t="shared" si="157"/>
        <v>0</v>
      </c>
      <c r="KBV42">
        <f t="shared" si="157"/>
        <v>0</v>
      </c>
      <c r="KBW42">
        <f t="shared" si="157"/>
        <v>0</v>
      </c>
      <c r="KBX42">
        <f t="shared" si="157"/>
        <v>0</v>
      </c>
      <c r="KBY42">
        <f t="shared" si="157"/>
        <v>0</v>
      </c>
      <c r="KBZ42">
        <f t="shared" si="157"/>
        <v>0</v>
      </c>
      <c r="KCA42">
        <f t="shared" si="157"/>
        <v>0</v>
      </c>
      <c r="KCB42">
        <f t="shared" si="157"/>
        <v>0</v>
      </c>
      <c r="KCC42">
        <f t="shared" si="157"/>
        <v>0</v>
      </c>
      <c r="KCD42">
        <f t="shared" si="157"/>
        <v>0</v>
      </c>
      <c r="KCE42">
        <f t="shared" si="157"/>
        <v>0</v>
      </c>
      <c r="KCF42">
        <f t="shared" si="157"/>
        <v>0</v>
      </c>
      <c r="KCG42">
        <f t="shared" si="157"/>
        <v>0</v>
      </c>
      <c r="KCH42">
        <f t="shared" si="157"/>
        <v>0</v>
      </c>
      <c r="KCI42">
        <f t="shared" si="157"/>
        <v>0</v>
      </c>
      <c r="KCJ42">
        <f t="shared" si="157"/>
        <v>0</v>
      </c>
      <c r="KCK42">
        <f t="shared" si="157"/>
        <v>0</v>
      </c>
      <c r="KCL42">
        <f t="shared" si="157"/>
        <v>0</v>
      </c>
      <c r="KCM42">
        <f t="shared" si="157"/>
        <v>0</v>
      </c>
      <c r="KCN42">
        <f t="shared" si="157"/>
        <v>0</v>
      </c>
      <c r="KCO42">
        <f t="shared" si="157"/>
        <v>0</v>
      </c>
      <c r="KCP42">
        <f t="shared" si="157"/>
        <v>0</v>
      </c>
      <c r="KCQ42">
        <f t="shared" si="157"/>
        <v>0</v>
      </c>
      <c r="KCR42">
        <f t="shared" si="157"/>
        <v>0</v>
      </c>
      <c r="KCS42">
        <f t="shared" si="157"/>
        <v>0</v>
      </c>
      <c r="KCT42">
        <f t="shared" si="157"/>
        <v>0</v>
      </c>
      <c r="KCU42">
        <f t="shared" si="157"/>
        <v>0</v>
      </c>
      <c r="KCV42">
        <f t="shared" si="157"/>
        <v>0</v>
      </c>
      <c r="KCW42">
        <f t="shared" si="157"/>
        <v>0</v>
      </c>
      <c r="KCX42">
        <f t="shared" si="157"/>
        <v>0</v>
      </c>
      <c r="KCY42">
        <f t="shared" si="157"/>
        <v>0</v>
      </c>
      <c r="KCZ42">
        <f t="shared" si="157"/>
        <v>0</v>
      </c>
      <c r="KDA42">
        <f t="shared" si="157"/>
        <v>0</v>
      </c>
      <c r="KDB42">
        <f t="shared" si="157"/>
        <v>0</v>
      </c>
      <c r="KDC42">
        <f t="shared" si="157"/>
        <v>0</v>
      </c>
      <c r="KDD42">
        <f t="shared" si="157"/>
        <v>0</v>
      </c>
      <c r="KDE42">
        <f t="shared" si="157"/>
        <v>0</v>
      </c>
      <c r="KDF42">
        <f t="shared" si="157"/>
        <v>0</v>
      </c>
      <c r="KDG42">
        <f t="shared" si="157"/>
        <v>0</v>
      </c>
      <c r="KDH42">
        <f t="shared" si="157"/>
        <v>0</v>
      </c>
      <c r="KDI42">
        <f t="shared" si="157"/>
        <v>0</v>
      </c>
      <c r="KDJ42">
        <f t="shared" ref="KDJ42:KFU43" si="158">KDJ41*1.6*1.2</f>
        <v>0</v>
      </c>
      <c r="KDK42">
        <f t="shared" si="158"/>
        <v>0</v>
      </c>
      <c r="KDL42">
        <f t="shared" si="158"/>
        <v>0</v>
      </c>
      <c r="KDM42">
        <f t="shared" si="158"/>
        <v>0</v>
      </c>
      <c r="KDN42">
        <f t="shared" si="158"/>
        <v>0</v>
      </c>
      <c r="KDO42">
        <f t="shared" si="158"/>
        <v>0</v>
      </c>
      <c r="KDP42">
        <f t="shared" si="158"/>
        <v>0</v>
      </c>
      <c r="KDQ42">
        <f t="shared" si="158"/>
        <v>0</v>
      </c>
      <c r="KDR42">
        <f t="shared" si="158"/>
        <v>0</v>
      </c>
      <c r="KDS42">
        <f t="shared" si="158"/>
        <v>0</v>
      </c>
      <c r="KDT42">
        <f t="shared" si="158"/>
        <v>0</v>
      </c>
      <c r="KDU42">
        <f t="shared" si="158"/>
        <v>0</v>
      </c>
      <c r="KDV42">
        <f t="shared" si="158"/>
        <v>0</v>
      </c>
      <c r="KDW42">
        <f t="shared" si="158"/>
        <v>0</v>
      </c>
      <c r="KDX42">
        <f t="shared" si="158"/>
        <v>0</v>
      </c>
      <c r="KDY42">
        <f t="shared" si="158"/>
        <v>0</v>
      </c>
      <c r="KDZ42">
        <f t="shared" si="158"/>
        <v>0</v>
      </c>
      <c r="KEA42">
        <f t="shared" si="158"/>
        <v>0</v>
      </c>
      <c r="KEB42">
        <f t="shared" si="158"/>
        <v>0</v>
      </c>
      <c r="KEC42">
        <f t="shared" si="158"/>
        <v>0</v>
      </c>
      <c r="KED42">
        <f t="shared" si="158"/>
        <v>0</v>
      </c>
      <c r="KEE42">
        <f t="shared" si="158"/>
        <v>0</v>
      </c>
      <c r="KEF42">
        <f t="shared" si="158"/>
        <v>0</v>
      </c>
      <c r="KEG42">
        <f t="shared" si="158"/>
        <v>0</v>
      </c>
      <c r="KEH42">
        <f t="shared" si="158"/>
        <v>0</v>
      </c>
      <c r="KEI42">
        <f t="shared" si="158"/>
        <v>0</v>
      </c>
      <c r="KEJ42">
        <f t="shared" si="158"/>
        <v>0</v>
      </c>
      <c r="KEK42">
        <f t="shared" si="158"/>
        <v>0</v>
      </c>
      <c r="KEL42">
        <f t="shared" si="158"/>
        <v>0</v>
      </c>
      <c r="KEM42">
        <f t="shared" si="158"/>
        <v>0</v>
      </c>
      <c r="KEN42">
        <f t="shared" si="158"/>
        <v>0</v>
      </c>
      <c r="KEO42">
        <f t="shared" si="158"/>
        <v>0</v>
      </c>
      <c r="KEP42">
        <f t="shared" si="158"/>
        <v>0</v>
      </c>
      <c r="KEQ42">
        <f t="shared" si="158"/>
        <v>0</v>
      </c>
      <c r="KER42">
        <f t="shared" si="158"/>
        <v>0</v>
      </c>
      <c r="KES42">
        <f t="shared" si="158"/>
        <v>0</v>
      </c>
      <c r="KET42">
        <f t="shared" si="158"/>
        <v>0</v>
      </c>
      <c r="KEU42">
        <f t="shared" si="158"/>
        <v>0</v>
      </c>
      <c r="KEV42">
        <f t="shared" si="158"/>
        <v>0</v>
      </c>
      <c r="KEW42">
        <f t="shared" si="158"/>
        <v>0</v>
      </c>
      <c r="KEX42">
        <f t="shared" si="158"/>
        <v>0</v>
      </c>
      <c r="KEY42">
        <f t="shared" si="158"/>
        <v>0</v>
      </c>
      <c r="KEZ42">
        <f t="shared" si="158"/>
        <v>0</v>
      </c>
      <c r="KFA42">
        <f t="shared" si="158"/>
        <v>0</v>
      </c>
      <c r="KFB42">
        <f t="shared" si="158"/>
        <v>0</v>
      </c>
      <c r="KFC42">
        <f t="shared" si="158"/>
        <v>0</v>
      </c>
      <c r="KFD42">
        <f t="shared" si="158"/>
        <v>0</v>
      </c>
      <c r="KFE42">
        <f t="shared" si="158"/>
        <v>0</v>
      </c>
      <c r="KFF42">
        <f t="shared" si="158"/>
        <v>0</v>
      </c>
      <c r="KFG42">
        <f t="shared" si="158"/>
        <v>0</v>
      </c>
      <c r="KFH42">
        <f t="shared" si="158"/>
        <v>0</v>
      </c>
      <c r="KFI42">
        <f t="shared" si="158"/>
        <v>0</v>
      </c>
      <c r="KFJ42">
        <f t="shared" si="158"/>
        <v>0</v>
      </c>
      <c r="KFK42">
        <f t="shared" si="158"/>
        <v>0</v>
      </c>
      <c r="KFL42">
        <f t="shared" si="158"/>
        <v>0</v>
      </c>
      <c r="KFM42">
        <f t="shared" si="158"/>
        <v>0</v>
      </c>
      <c r="KFN42">
        <f t="shared" si="158"/>
        <v>0</v>
      </c>
      <c r="KFO42">
        <f t="shared" si="158"/>
        <v>0</v>
      </c>
      <c r="KFP42">
        <f t="shared" si="158"/>
        <v>0</v>
      </c>
      <c r="KFQ42">
        <f t="shared" si="158"/>
        <v>0</v>
      </c>
      <c r="KFR42">
        <f t="shared" si="158"/>
        <v>0</v>
      </c>
      <c r="KFS42">
        <f t="shared" si="158"/>
        <v>0</v>
      </c>
      <c r="KFT42">
        <f t="shared" si="158"/>
        <v>0</v>
      </c>
      <c r="KFU42">
        <f t="shared" si="158"/>
        <v>0</v>
      </c>
      <c r="KFV42">
        <f t="shared" ref="KFV42:KIG43" si="159">KFV41*1.6*1.2</f>
        <v>0</v>
      </c>
      <c r="KFW42">
        <f t="shared" si="159"/>
        <v>0</v>
      </c>
      <c r="KFX42">
        <f t="shared" si="159"/>
        <v>0</v>
      </c>
      <c r="KFY42">
        <f t="shared" si="159"/>
        <v>0</v>
      </c>
      <c r="KFZ42">
        <f t="shared" si="159"/>
        <v>0</v>
      </c>
      <c r="KGA42">
        <f t="shared" si="159"/>
        <v>0</v>
      </c>
      <c r="KGB42">
        <f t="shared" si="159"/>
        <v>0</v>
      </c>
      <c r="KGC42">
        <f t="shared" si="159"/>
        <v>0</v>
      </c>
      <c r="KGD42">
        <f t="shared" si="159"/>
        <v>0</v>
      </c>
      <c r="KGE42">
        <f t="shared" si="159"/>
        <v>0</v>
      </c>
      <c r="KGF42">
        <f t="shared" si="159"/>
        <v>0</v>
      </c>
      <c r="KGG42">
        <f t="shared" si="159"/>
        <v>0</v>
      </c>
      <c r="KGH42">
        <f t="shared" si="159"/>
        <v>0</v>
      </c>
      <c r="KGI42">
        <f t="shared" si="159"/>
        <v>0</v>
      </c>
      <c r="KGJ42">
        <f t="shared" si="159"/>
        <v>0</v>
      </c>
      <c r="KGK42">
        <f t="shared" si="159"/>
        <v>0</v>
      </c>
      <c r="KGL42">
        <f t="shared" si="159"/>
        <v>0</v>
      </c>
      <c r="KGM42">
        <f t="shared" si="159"/>
        <v>0</v>
      </c>
      <c r="KGN42">
        <f t="shared" si="159"/>
        <v>0</v>
      </c>
      <c r="KGO42">
        <f t="shared" si="159"/>
        <v>0</v>
      </c>
      <c r="KGP42">
        <f t="shared" si="159"/>
        <v>0</v>
      </c>
      <c r="KGQ42">
        <f t="shared" si="159"/>
        <v>0</v>
      </c>
      <c r="KGR42">
        <f t="shared" si="159"/>
        <v>0</v>
      </c>
      <c r="KGS42">
        <f t="shared" si="159"/>
        <v>0</v>
      </c>
      <c r="KGT42">
        <f t="shared" si="159"/>
        <v>0</v>
      </c>
      <c r="KGU42">
        <f t="shared" si="159"/>
        <v>0</v>
      </c>
      <c r="KGV42">
        <f t="shared" si="159"/>
        <v>0</v>
      </c>
      <c r="KGW42">
        <f t="shared" si="159"/>
        <v>0</v>
      </c>
      <c r="KGX42">
        <f t="shared" si="159"/>
        <v>0</v>
      </c>
      <c r="KGY42">
        <f t="shared" si="159"/>
        <v>0</v>
      </c>
      <c r="KGZ42">
        <f t="shared" si="159"/>
        <v>0</v>
      </c>
      <c r="KHA42">
        <f t="shared" si="159"/>
        <v>0</v>
      </c>
      <c r="KHB42">
        <f t="shared" si="159"/>
        <v>0</v>
      </c>
      <c r="KHC42">
        <f t="shared" si="159"/>
        <v>0</v>
      </c>
      <c r="KHD42">
        <f t="shared" si="159"/>
        <v>0</v>
      </c>
      <c r="KHE42">
        <f t="shared" si="159"/>
        <v>0</v>
      </c>
      <c r="KHF42">
        <f t="shared" si="159"/>
        <v>0</v>
      </c>
      <c r="KHG42">
        <f t="shared" si="159"/>
        <v>0</v>
      </c>
      <c r="KHH42">
        <f t="shared" si="159"/>
        <v>0</v>
      </c>
      <c r="KHI42">
        <f t="shared" si="159"/>
        <v>0</v>
      </c>
      <c r="KHJ42">
        <f t="shared" si="159"/>
        <v>0</v>
      </c>
      <c r="KHK42">
        <f t="shared" si="159"/>
        <v>0</v>
      </c>
      <c r="KHL42">
        <f t="shared" si="159"/>
        <v>0</v>
      </c>
      <c r="KHM42">
        <f t="shared" si="159"/>
        <v>0</v>
      </c>
      <c r="KHN42">
        <f t="shared" si="159"/>
        <v>0</v>
      </c>
      <c r="KHO42">
        <f t="shared" si="159"/>
        <v>0</v>
      </c>
      <c r="KHP42">
        <f t="shared" si="159"/>
        <v>0</v>
      </c>
      <c r="KHQ42">
        <f t="shared" si="159"/>
        <v>0</v>
      </c>
      <c r="KHR42">
        <f t="shared" si="159"/>
        <v>0</v>
      </c>
      <c r="KHS42">
        <f t="shared" si="159"/>
        <v>0</v>
      </c>
      <c r="KHT42">
        <f t="shared" si="159"/>
        <v>0</v>
      </c>
      <c r="KHU42">
        <f t="shared" si="159"/>
        <v>0</v>
      </c>
      <c r="KHV42">
        <f t="shared" si="159"/>
        <v>0</v>
      </c>
      <c r="KHW42">
        <f t="shared" si="159"/>
        <v>0</v>
      </c>
      <c r="KHX42">
        <f t="shared" si="159"/>
        <v>0</v>
      </c>
      <c r="KHY42">
        <f t="shared" si="159"/>
        <v>0</v>
      </c>
      <c r="KHZ42">
        <f t="shared" si="159"/>
        <v>0</v>
      </c>
      <c r="KIA42">
        <f t="shared" si="159"/>
        <v>0</v>
      </c>
      <c r="KIB42">
        <f t="shared" si="159"/>
        <v>0</v>
      </c>
      <c r="KIC42">
        <f t="shared" si="159"/>
        <v>0</v>
      </c>
      <c r="KID42">
        <f t="shared" si="159"/>
        <v>0</v>
      </c>
      <c r="KIE42">
        <f t="shared" si="159"/>
        <v>0</v>
      </c>
      <c r="KIF42">
        <f t="shared" si="159"/>
        <v>0</v>
      </c>
      <c r="KIG42">
        <f t="shared" si="159"/>
        <v>0</v>
      </c>
      <c r="KIH42">
        <f t="shared" ref="KIH42:KKS43" si="160">KIH41*1.6*1.2</f>
        <v>0</v>
      </c>
      <c r="KII42">
        <f t="shared" si="160"/>
        <v>0</v>
      </c>
      <c r="KIJ42">
        <f t="shared" si="160"/>
        <v>0</v>
      </c>
      <c r="KIK42">
        <f t="shared" si="160"/>
        <v>0</v>
      </c>
      <c r="KIL42">
        <f t="shared" si="160"/>
        <v>0</v>
      </c>
      <c r="KIM42">
        <f t="shared" si="160"/>
        <v>0</v>
      </c>
      <c r="KIN42">
        <f t="shared" si="160"/>
        <v>0</v>
      </c>
      <c r="KIO42">
        <f t="shared" si="160"/>
        <v>0</v>
      </c>
      <c r="KIP42">
        <f t="shared" si="160"/>
        <v>0</v>
      </c>
      <c r="KIQ42">
        <f t="shared" si="160"/>
        <v>0</v>
      </c>
      <c r="KIR42">
        <f t="shared" si="160"/>
        <v>0</v>
      </c>
      <c r="KIS42">
        <f t="shared" si="160"/>
        <v>0</v>
      </c>
      <c r="KIT42">
        <f t="shared" si="160"/>
        <v>0</v>
      </c>
      <c r="KIU42">
        <f t="shared" si="160"/>
        <v>0</v>
      </c>
      <c r="KIV42">
        <f t="shared" si="160"/>
        <v>0</v>
      </c>
      <c r="KIW42">
        <f t="shared" si="160"/>
        <v>0</v>
      </c>
      <c r="KIX42">
        <f t="shared" si="160"/>
        <v>0</v>
      </c>
      <c r="KIY42">
        <f t="shared" si="160"/>
        <v>0</v>
      </c>
      <c r="KIZ42">
        <f t="shared" si="160"/>
        <v>0</v>
      </c>
      <c r="KJA42">
        <f t="shared" si="160"/>
        <v>0</v>
      </c>
      <c r="KJB42">
        <f t="shared" si="160"/>
        <v>0</v>
      </c>
      <c r="KJC42">
        <f t="shared" si="160"/>
        <v>0</v>
      </c>
      <c r="KJD42">
        <f t="shared" si="160"/>
        <v>0</v>
      </c>
      <c r="KJE42">
        <f t="shared" si="160"/>
        <v>0</v>
      </c>
      <c r="KJF42">
        <f t="shared" si="160"/>
        <v>0</v>
      </c>
      <c r="KJG42">
        <f t="shared" si="160"/>
        <v>0</v>
      </c>
      <c r="KJH42">
        <f t="shared" si="160"/>
        <v>0</v>
      </c>
      <c r="KJI42">
        <f t="shared" si="160"/>
        <v>0</v>
      </c>
      <c r="KJJ42">
        <f t="shared" si="160"/>
        <v>0</v>
      </c>
      <c r="KJK42">
        <f t="shared" si="160"/>
        <v>0</v>
      </c>
      <c r="KJL42">
        <f t="shared" si="160"/>
        <v>0</v>
      </c>
      <c r="KJM42">
        <f t="shared" si="160"/>
        <v>0</v>
      </c>
      <c r="KJN42">
        <f t="shared" si="160"/>
        <v>0</v>
      </c>
      <c r="KJO42">
        <f t="shared" si="160"/>
        <v>0</v>
      </c>
      <c r="KJP42">
        <f t="shared" si="160"/>
        <v>0</v>
      </c>
      <c r="KJQ42">
        <f t="shared" si="160"/>
        <v>0</v>
      </c>
      <c r="KJR42">
        <f t="shared" si="160"/>
        <v>0</v>
      </c>
      <c r="KJS42">
        <f t="shared" si="160"/>
        <v>0</v>
      </c>
      <c r="KJT42">
        <f t="shared" si="160"/>
        <v>0</v>
      </c>
      <c r="KJU42">
        <f t="shared" si="160"/>
        <v>0</v>
      </c>
      <c r="KJV42">
        <f t="shared" si="160"/>
        <v>0</v>
      </c>
      <c r="KJW42">
        <f t="shared" si="160"/>
        <v>0</v>
      </c>
      <c r="KJX42">
        <f t="shared" si="160"/>
        <v>0</v>
      </c>
      <c r="KJY42">
        <f t="shared" si="160"/>
        <v>0</v>
      </c>
      <c r="KJZ42">
        <f t="shared" si="160"/>
        <v>0</v>
      </c>
      <c r="KKA42">
        <f t="shared" si="160"/>
        <v>0</v>
      </c>
      <c r="KKB42">
        <f t="shared" si="160"/>
        <v>0</v>
      </c>
      <c r="KKC42">
        <f t="shared" si="160"/>
        <v>0</v>
      </c>
      <c r="KKD42">
        <f t="shared" si="160"/>
        <v>0</v>
      </c>
      <c r="KKE42">
        <f t="shared" si="160"/>
        <v>0</v>
      </c>
      <c r="KKF42">
        <f t="shared" si="160"/>
        <v>0</v>
      </c>
      <c r="KKG42">
        <f t="shared" si="160"/>
        <v>0</v>
      </c>
      <c r="KKH42">
        <f t="shared" si="160"/>
        <v>0</v>
      </c>
      <c r="KKI42">
        <f t="shared" si="160"/>
        <v>0</v>
      </c>
      <c r="KKJ42">
        <f t="shared" si="160"/>
        <v>0</v>
      </c>
      <c r="KKK42">
        <f t="shared" si="160"/>
        <v>0</v>
      </c>
      <c r="KKL42">
        <f t="shared" si="160"/>
        <v>0</v>
      </c>
      <c r="KKM42">
        <f t="shared" si="160"/>
        <v>0</v>
      </c>
      <c r="KKN42">
        <f t="shared" si="160"/>
        <v>0</v>
      </c>
      <c r="KKO42">
        <f t="shared" si="160"/>
        <v>0</v>
      </c>
      <c r="KKP42">
        <f t="shared" si="160"/>
        <v>0</v>
      </c>
      <c r="KKQ42">
        <f t="shared" si="160"/>
        <v>0</v>
      </c>
      <c r="KKR42">
        <f t="shared" si="160"/>
        <v>0</v>
      </c>
      <c r="KKS42">
        <f t="shared" si="160"/>
        <v>0</v>
      </c>
      <c r="KKT42">
        <f t="shared" ref="KKT42:KNE43" si="161">KKT41*1.6*1.2</f>
        <v>0</v>
      </c>
      <c r="KKU42">
        <f t="shared" si="161"/>
        <v>0</v>
      </c>
      <c r="KKV42">
        <f t="shared" si="161"/>
        <v>0</v>
      </c>
      <c r="KKW42">
        <f t="shared" si="161"/>
        <v>0</v>
      </c>
      <c r="KKX42">
        <f t="shared" si="161"/>
        <v>0</v>
      </c>
      <c r="KKY42">
        <f t="shared" si="161"/>
        <v>0</v>
      </c>
      <c r="KKZ42">
        <f t="shared" si="161"/>
        <v>0</v>
      </c>
      <c r="KLA42">
        <f t="shared" si="161"/>
        <v>0</v>
      </c>
      <c r="KLB42">
        <f t="shared" si="161"/>
        <v>0</v>
      </c>
      <c r="KLC42">
        <f t="shared" si="161"/>
        <v>0</v>
      </c>
      <c r="KLD42">
        <f t="shared" si="161"/>
        <v>0</v>
      </c>
      <c r="KLE42">
        <f t="shared" si="161"/>
        <v>0</v>
      </c>
      <c r="KLF42">
        <f t="shared" si="161"/>
        <v>0</v>
      </c>
      <c r="KLG42">
        <f t="shared" si="161"/>
        <v>0</v>
      </c>
      <c r="KLH42">
        <f t="shared" si="161"/>
        <v>0</v>
      </c>
      <c r="KLI42">
        <f t="shared" si="161"/>
        <v>0</v>
      </c>
      <c r="KLJ42">
        <f t="shared" si="161"/>
        <v>0</v>
      </c>
      <c r="KLK42">
        <f t="shared" si="161"/>
        <v>0</v>
      </c>
      <c r="KLL42">
        <f t="shared" si="161"/>
        <v>0</v>
      </c>
      <c r="KLM42">
        <f t="shared" si="161"/>
        <v>0</v>
      </c>
      <c r="KLN42">
        <f t="shared" si="161"/>
        <v>0</v>
      </c>
      <c r="KLO42">
        <f t="shared" si="161"/>
        <v>0</v>
      </c>
      <c r="KLP42">
        <f t="shared" si="161"/>
        <v>0</v>
      </c>
      <c r="KLQ42">
        <f t="shared" si="161"/>
        <v>0</v>
      </c>
      <c r="KLR42">
        <f t="shared" si="161"/>
        <v>0</v>
      </c>
      <c r="KLS42">
        <f t="shared" si="161"/>
        <v>0</v>
      </c>
      <c r="KLT42">
        <f t="shared" si="161"/>
        <v>0</v>
      </c>
      <c r="KLU42">
        <f t="shared" si="161"/>
        <v>0</v>
      </c>
      <c r="KLV42">
        <f t="shared" si="161"/>
        <v>0</v>
      </c>
      <c r="KLW42">
        <f t="shared" si="161"/>
        <v>0</v>
      </c>
      <c r="KLX42">
        <f t="shared" si="161"/>
        <v>0</v>
      </c>
      <c r="KLY42">
        <f t="shared" si="161"/>
        <v>0</v>
      </c>
      <c r="KLZ42">
        <f t="shared" si="161"/>
        <v>0</v>
      </c>
      <c r="KMA42">
        <f t="shared" si="161"/>
        <v>0</v>
      </c>
      <c r="KMB42">
        <f t="shared" si="161"/>
        <v>0</v>
      </c>
      <c r="KMC42">
        <f t="shared" si="161"/>
        <v>0</v>
      </c>
      <c r="KMD42">
        <f t="shared" si="161"/>
        <v>0</v>
      </c>
      <c r="KME42">
        <f t="shared" si="161"/>
        <v>0</v>
      </c>
      <c r="KMF42">
        <f t="shared" si="161"/>
        <v>0</v>
      </c>
      <c r="KMG42">
        <f t="shared" si="161"/>
        <v>0</v>
      </c>
      <c r="KMH42">
        <f t="shared" si="161"/>
        <v>0</v>
      </c>
      <c r="KMI42">
        <f t="shared" si="161"/>
        <v>0</v>
      </c>
      <c r="KMJ42">
        <f t="shared" si="161"/>
        <v>0</v>
      </c>
      <c r="KMK42">
        <f t="shared" si="161"/>
        <v>0</v>
      </c>
      <c r="KML42">
        <f t="shared" si="161"/>
        <v>0</v>
      </c>
      <c r="KMM42">
        <f t="shared" si="161"/>
        <v>0</v>
      </c>
      <c r="KMN42">
        <f t="shared" si="161"/>
        <v>0</v>
      </c>
      <c r="KMO42">
        <f t="shared" si="161"/>
        <v>0</v>
      </c>
      <c r="KMP42">
        <f t="shared" si="161"/>
        <v>0</v>
      </c>
      <c r="KMQ42">
        <f t="shared" si="161"/>
        <v>0</v>
      </c>
      <c r="KMR42">
        <f t="shared" si="161"/>
        <v>0</v>
      </c>
      <c r="KMS42">
        <f t="shared" si="161"/>
        <v>0</v>
      </c>
      <c r="KMT42">
        <f t="shared" si="161"/>
        <v>0</v>
      </c>
      <c r="KMU42">
        <f t="shared" si="161"/>
        <v>0</v>
      </c>
      <c r="KMV42">
        <f t="shared" si="161"/>
        <v>0</v>
      </c>
      <c r="KMW42">
        <f t="shared" si="161"/>
        <v>0</v>
      </c>
      <c r="KMX42">
        <f t="shared" si="161"/>
        <v>0</v>
      </c>
      <c r="KMY42">
        <f t="shared" si="161"/>
        <v>0</v>
      </c>
      <c r="KMZ42">
        <f t="shared" si="161"/>
        <v>0</v>
      </c>
      <c r="KNA42">
        <f t="shared" si="161"/>
        <v>0</v>
      </c>
      <c r="KNB42">
        <f t="shared" si="161"/>
        <v>0</v>
      </c>
      <c r="KNC42">
        <f t="shared" si="161"/>
        <v>0</v>
      </c>
      <c r="KND42">
        <f t="shared" si="161"/>
        <v>0</v>
      </c>
      <c r="KNE42">
        <f t="shared" si="161"/>
        <v>0</v>
      </c>
      <c r="KNF42">
        <f t="shared" ref="KNF42:KPQ43" si="162">KNF41*1.6*1.2</f>
        <v>0</v>
      </c>
      <c r="KNG42">
        <f t="shared" si="162"/>
        <v>0</v>
      </c>
      <c r="KNH42">
        <f t="shared" si="162"/>
        <v>0</v>
      </c>
      <c r="KNI42">
        <f t="shared" si="162"/>
        <v>0</v>
      </c>
      <c r="KNJ42">
        <f t="shared" si="162"/>
        <v>0</v>
      </c>
      <c r="KNK42">
        <f t="shared" si="162"/>
        <v>0</v>
      </c>
      <c r="KNL42">
        <f t="shared" si="162"/>
        <v>0</v>
      </c>
      <c r="KNM42">
        <f t="shared" si="162"/>
        <v>0</v>
      </c>
      <c r="KNN42">
        <f t="shared" si="162"/>
        <v>0</v>
      </c>
      <c r="KNO42">
        <f t="shared" si="162"/>
        <v>0</v>
      </c>
      <c r="KNP42">
        <f t="shared" si="162"/>
        <v>0</v>
      </c>
      <c r="KNQ42">
        <f t="shared" si="162"/>
        <v>0</v>
      </c>
      <c r="KNR42">
        <f t="shared" si="162"/>
        <v>0</v>
      </c>
      <c r="KNS42">
        <f t="shared" si="162"/>
        <v>0</v>
      </c>
      <c r="KNT42">
        <f t="shared" si="162"/>
        <v>0</v>
      </c>
      <c r="KNU42">
        <f t="shared" si="162"/>
        <v>0</v>
      </c>
      <c r="KNV42">
        <f t="shared" si="162"/>
        <v>0</v>
      </c>
      <c r="KNW42">
        <f t="shared" si="162"/>
        <v>0</v>
      </c>
      <c r="KNX42">
        <f t="shared" si="162"/>
        <v>0</v>
      </c>
      <c r="KNY42">
        <f t="shared" si="162"/>
        <v>0</v>
      </c>
      <c r="KNZ42">
        <f t="shared" si="162"/>
        <v>0</v>
      </c>
      <c r="KOA42">
        <f t="shared" si="162"/>
        <v>0</v>
      </c>
      <c r="KOB42">
        <f t="shared" si="162"/>
        <v>0</v>
      </c>
      <c r="KOC42">
        <f t="shared" si="162"/>
        <v>0</v>
      </c>
      <c r="KOD42">
        <f t="shared" si="162"/>
        <v>0</v>
      </c>
      <c r="KOE42">
        <f t="shared" si="162"/>
        <v>0</v>
      </c>
      <c r="KOF42">
        <f t="shared" si="162"/>
        <v>0</v>
      </c>
      <c r="KOG42">
        <f t="shared" si="162"/>
        <v>0</v>
      </c>
      <c r="KOH42">
        <f t="shared" si="162"/>
        <v>0</v>
      </c>
      <c r="KOI42">
        <f t="shared" si="162"/>
        <v>0</v>
      </c>
      <c r="KOJ42">
        <f t="shared" si="162"/>
        <v>0</v>
      </c>
      <c r="KOK42">
        <f t="shared" si="162"/>
        <v>0</v>
      </c>
      <c r="KOL42">
        <f t="shared" si="162"/>
        <v>0</v>
      </c>
      <c r="KOM42">
        <f t="shared" si="162"/>
        <v>0</v>
      </c>
      <c r="KON42">
        <f t="shared" si="162"/>
        <v>0</v>
      </c>
      <c r="KOO42">
        <f t="shared" si="162"/>
        <v>0</v>
      </c>
      <c r="KOP42">
        <f t="shared" si="162"/>
        <v>0</v>
      </c>
      <c r="KOQ42">
        <f t="shared" si="162"/>
        <v>0</v>
      </c>
      <c r="KOR42">
        <f t="shared" si="162"/>
        <v>0</v>
      </c>
      <c r="KOS42">
        <f t="shared" si="162"/>
        <v>0</v>
      </c>
      <c r="KOT42">
        <f t="shared" si="162"/>
        <v>0</v>
      </c>
      <c r="KOU42">
        <f t="shared" si="162"/>
        <v>0</v>
      </c>
      <c r="KOV42">
        <f t="shared" si="162"/>
        <v>0</v>
      </c>
      <c r="KOW42">
        <f t="shared" si="162"/>
        <v>0</v>
      </c>
      <c r="KOX42">
        <f t="shared" si="162"/>
        <v>0</v>
      </c>
      <c r="KOY42">
        <f t="shared" si="162"/>
        <v>0</v>
      </c>
      <c r="KOZ42">
        <f t="shared" si="162"/>
        <v>0</v>
      </c>
      <c r="KPA42">
        <f t="shared" si="162"/>
        <v>0</v>
      </c>
      <c r="KPB42">
        <f t="shared" si="162"/>
        <v>0</v>
      </c>
      <c r="KPC42">
        <f t="shared" si="162"/>
        <v>0</v>
      </c>
      <c r="KPD42">
        <f t="shared" si="162"/>
        <v>0</v>
      </c>
      <c r="KPE42">
        <f t="shared" si="162"/>
        <v>0</v>
      </c>
      <c r="KPF42">
        <f t="shared" si="162"/>
        <v>0</v>
      </c>
      <c r="KPG42">
        <f t="shared" si="162"/>
        <v>0</v>
      </c>
      <c r="KPH42">
        <f t="shared" si="162"/>
        <v>0</v>
      </c>
      <c r="KPI42">
        <f t="shared" si="162"/>
        <v>0</v>
      </c>
      <c r="KPJ42">
        <f t="shared" si="162"/>
        <v>0</v>
      </c>
      <c r="KPK42">
        <f t="shared" si="162"/>
        <v>0</v>
      </c>
      <c r="KPL42">
        <f t="shared" si="162"/>
        <v>0</v>
      </c>
      <c r="KPM42">
        <f t="shared" si="162"/>
        <v>0</v>
      </c>
      <c r="KPN42">
        <f t="shared" si="162"/>
        <v>0</v>
      </c>
      <c r="KPO42">
        <f t="shared" si="162"/>
        <v>0</v>
      </c>
      <c r="KPP42">
        <f t="shared" si="162"/>
        <v>0</v>
      </c>
      <c r="KPQ42">
        <f t="shared" si="162"/>
        <v>0</v>
      </c>
      <c r="KPR42">
        <f t="shared" ref="KPR42:KSC43" si="163">KPR41*1.6*1.2</f>
        <v>0</v>
      </c>
      <c r="KPS42">
        <f t="shared" si="163"/>
        <v>0</v>
      </c>
      <c r="KPT42">
        <f t="shared" si="163"/>
        <v>0</v>
      </c>
      <c r="KPU42">
        <f t="shared" si="163"/>
        <v>0</v>
      </c>
      <c r="KPV42">
        <f t="shared" si="163"/>
        <v>0</v>
      </c>
      <c r="KPW42">
        <f t="shared" si="163"/>
        <v>0</v>
      </c>
      <c r="KPX42">
        <f t="shared" si="163"/>
        <v>0</v>
      </c>
      <c r="KPY42">
        <f t="shared" si="163"/>
        <v>0</v>
      </c>
      <c r="KPZ42">
        <f t="shared" si="163"/>
        <v>0</v>
      </c>
      <c r="KQA42">
        <f t="shared" si="163"/>
        <v>0</v>
      </c>
      <c r="KQB42">
        <f t="shared" si="163"/>
        <v>0</v>
      </c>
      <c r="KQC42">
        <f t="shared" si="163"/>
        <v>0</v>
      </c>
      <c r="KQD42">
        <f t="shared" si="163"/>
        <v>0</v>
      </c>
      <c r="KQE42">
        <f t="shared" si="163"/>
        <v>0</v>
      </c>
      <c r="KQF42">
        <f t="shared" si="163"/>
        <v>0</v>
      </c>
      <c r="KQG42">
        <f t="shared" si="163"/>
        <v>0</v>
      </c>
      <c r="KQH42">
        <f t="shared" si="163"/>
        <v>0</v>
      </c>
      <c r="KQI42">
        <f t="shared" si="163"/>
        <v>0</v>
      </c>
      <c r="KQJ42">
        <f t="shared" si="163"/>
        <v>0</v>
      </c>
      <c r="KQK42">
        <f t="shared" si="163"/>
        <v>0</v>
      </c>
      <c r="KQL42">
        <f t="shared" si="163"/>
        <v>0</v>
      </c>
      <c r="KQM42">
        <f t="shared" si="163"/>
        <v>0</v>
      </c>
      <c r="KQN42">
        <f t="shared" si="163"/>
        <v>0</v>
      </c>
      <c r="KQO42">
        <f t="shared" si="163"/>
        <v>0</v>
      </c>
      <c r="KQP42">
        <f t="shared" si="163"/>
        <v>0</v>
      </c>
      <c r="KQQ42">
        <f t="shared" si="163"/>
        <v>0</v>
      </c>
      <c r="KQR42">
        <f t="shared" si="163"/>
        <v>0</v>
      </c>
      <c r="KQS42">
        <f t="shared" si="163"/>
        <v>0</v>
      </c>
      <c r="KQT42">
        <f t="shared" si="163"/>
        <v>0</v>
      </c>
      <c r="KQU42">
        <f t="shared" si="163"/>
        <v>0</v>
      </c>
      <c r="KQV42">
        <f t="shared" si="163"/>
        <v>0</v>
      </c>
      <c r="KQW42">
        <f t="shared" si="163"/>
        <v>0</v>
      </c>
      <c r="KQX42">
        <f t="shared" si="163"/>
        <v>0</v>
      </c>
      <c r="KQY42">
        <f t="shared" si="163"/>
        <v>0</v>
      </c>
      <c r="KQZ42">
        <f t="shared" si="163"/>
        <v>0</v>
      </c>
      <c r="KRA42">
        <f t="shared" si="163"/>
        <v>0</v>
      </c>
      <c r="KRB42">
        <f t="shared" si="163"/>
        <v>0</v>
      </c>
      <c r="KRC42">
        <f t="shared" si="163"/>
        <v>0</v>
      </c>
      <c r="KRD42">
        <f t="shared" si="163"/>
        <v>0</v>
      </c>
      <c r="KRE42">
        <f t="shared" si="163"/>
        <v>0</v>
      </c>
      <c r="KRF42">
        <f t="shared" si="163"/>
        <v>0</v>
      </c>
      <c r="KRG42">
        <f t="shared" si="163"/>
        <v>0</v>
      </c>
      <c r="KRH42">
        <f t="shared" si="163"/>
        <v>0</v>
      </c>
      <c r="KRI42">
        <f t="shared" si="163"/>
        <v>0</v>
      </c>
      <c r="KRJ42">
        <f t="shared" si="163"/>
        <v>0</v>
      </c>
      <c r="KRK42">
        <f t="shared" si="163"/>
        <v>0</v>
      </c>
      <c r="KRL42">
        <f t="shared" si="163"/>
        <v>0</v>
      </c>
      <c r="KRM42">
        <f t="shared" si="163"/>
        <v>0</v>
      </c>
      <c r="KRN42">
        <f t="shared" si="163"/>
        <v>0</v>
      </c>
      <c r="KRO42">
        <f t="shared" si="163"/>
        <v>0</v>
      </c>
      <c r="KRP42">
        <f t="shared" si="163"/>
        <v>0</v>
      </c>
      <c r="KRQ42">
        <f t="shared" si="163"/>
        <v>0</v>
      </c>
      <c r="KRR42">
        <f t="shared" si="163"/>
        <v>0</v>
      </c>
      <c r="KRS42">
        <f t="shared" si="163"/>
        <v>0</v>
      </c>
      <c r="KRT42">
        <f t="shared" si="163"/>
        <v>0</v>
      </c>
      <c r="KRU42">
        <f t="shared" si="163"/>
        <v>0</v>
      </c>
      <c r="KRV42">
        <f t="shared" si="163"/>
        <v>0</v>
      </c>
      <c r="KRW42">
        <f t="shared" si="163"/>
        <v>0</v>
      </c>
      <c r="KRX42">
        <f t="shared" si="163"/>
        <v>0</v>
      </c>
      <c r="KRY42">
        <f t="shared" si="163"/>
        <v>0</v>
      </c>
      <c r="KRZ42">
        <f t="shared" si="163"/>
        <v>0</v>
      </c>
      <c r="KSA42">
        <f t="shared" si="163"/>
        <v>0</v>
      </c>
      <c r="KSB42">
        <f t="shared" si="163"/>
        <v>0</v>
      </c>
      <c r="KSC42">
        <f t="shared" si="163"/>
        <v>0</v>
      </c>
      <c r="KSD42">
        <f t="shared" ref="KSD42:KUO43" si="164">KSD41*1.6*1.2</f>
        <v>0</v>
      </c>
      <c r="KSE42">
        <f t="shared" si="164"/>
        <v>0</v>
      </c>
      <c r="KSF42">
        <f t="shared" si="164"/>
        <v>0</v>
      </c>
      <c r="KSG42">
        <f t="shared" si="164"/>
        <v>0</v>
      </c>
      <c r="KSH42">
        <f t="shared" si="164"/>
        <v>0</v>
      </c>
      <c r="KSI42">
        <f t="shared" si="164"/>
        <v>0</v>
      </c>
      <c r="KSJ42">
        <f t="shared" si="164"/>
        <v>0</v>
      </c>
      <c r="KSK42">
        <f t="shared" si="164"/>
        <v>0</v>
      </c>
      <c r="KSL42">
        <f t="shared" si="164"/>
        <v>0</v>
      </c>
      <c r="KSM42">
        <f t="shared" si="164"/>
        <v>0</v>
      </c>
      <c r="KSN42">
        <f t="shared" si="164"/>
        <v>0</v>
      </c>
      <c r="KSO42">
        <f t="shared" si="164"/>
        <v>0</v>
      </c>
      <c r="KSP42">
        <f t="shared" si="164"/>
        <v>0</v>
      </c>
      <c r="KSQ42">
        <f t="shared" si="164"/>
        <v>0</v>
      </c>
      <c r="KSR42">
        <f t="shared" si="164"/>
        <v>0</v>
      </c>
      <c r="KSS42">
        <f t="shared" si="164"/>
        <v>0</v>
      </c>
      <c r="KST42">
        <f t="shared" si="164"/>
        <v>0</v>
      </c>
      <c r="KSU42">
        <f t="shared" si="164"/>
        <v>0</v>
      </c>
      <c r="KSV42">
        <f t="shared" si="164"/>
        <v>0</v>
      </c>
      <c r="KSW42">
        <f t="shared" si="164"/>
        <v>0</v>
      </c>
      <c r="KSX42">
        <f t="shared" si="164"/>
        <v>0</v>
      </c>
      <c r="KSY42">
        <f t="shared" si="164"/>
        <v>0</v>
      </c>
      <c r="KSZ42">
        <f t="shared" si="164"/>
        <v>0</v>
      </c>
      <c r="KTA42">
        <f t="shared" si="164"/>
        <v>0</v>
      </c>
      <c r="KTB42">
        <f t="shared" si="164"/>
        <v>0</v>
      </c>
      <c r="KTC42">
        <f t="shared" si="164"/>
        <v>0</v>
      </c>
      <c r="KTD42">
        <f t="shared" si="164"/>
        <v>0</v>
      </c>
      <c r="KTE42">
        <f t="shared" si="164"/>
        <v>0</v>
      </c>
      <c r="KTF42">
        <f t="shared" si="164"/>
        <v>0</v>
      </c>
      <c r="KTG42">
        <f t="shared" si="164"/>
        <v>0</v>
      </c>
      <c r="KTH42">
        <f t="shared" si="164"/>
        <v>0</v>
      </c>
      <c r="KTI42">
        <f t="shared" si="164"/>
        <v>0</v>
      </c>
      <c r="KTJ42">
        <f t="shared" si="164"/>
        <v>0</v>
      </c>
      <c r="KTK42">
        <f t="shared" si="164"/>
        <v>0</v>
      </c>
      <c r="KTL42">
        <f t="shared" si="164"/>
        <v>0</v>
      </c>
      <c r="KTM42">
        <f t="shared" si="164"/>
        <v>0</v>
      </c>
      <c r="KTN42">
        <f t="shared" si="164"/>
        <v>0</v>
      </c>
      <c r="KTO42">
        <f t="shared" si="164"/>
        <v>0</v>
      </c>
      <c r="KTP42">
        <f t="shared" si="164"/>
        <v>0</v>
      </c>
      <c r="KTQ42">
        <f t="shared" si="164"/>
        <v>0</v>
      </c>
      <c r="KTR42">
        <f t="shared" si="164"/>
        <v>0</v>
      </c>
      <c r="KTS42">
        <f t="shared" si="164"/>
        <v>0</v>
      </c>
      <c r="KTT42">
        <f t="shared" si="164"/>
        <v>0</v>
      </c>
      <c r="KTU42">
        <f t="shared" si="164"/>
        <v>0</v>
      </c>
      <c r="KTV42">
        <f t="shared" si="164"/>
        <v>0</v>
      </c>
      <c r="KTW42">
        <f t="shared" si="164"/>
        <v>0</v>
      </c>
      <c r="KTX42">
        <f t="shared" si="164"/>
        <v>0</v>
      </c>
      <c r="KTY42">
        <f t="shared" si="164"/>
        <v>0</v>
      </c>
      <c r="KTZ42">
        <f t="shared" si="164"/>
        <v>0</v>
      </c>
      <c r="KUA42">
        <f t="shared" si="164"/>
        <v>0</v>
      </c>
      <c r="KUB42">
        <f t="shared" si="164"/>
        <v>0</v>
      </c>
      <c r="KUC42">
        <f t="shared" si="164"/>
        <v>0</v>
      </c>
      <c r="KUD42">
        <f t="shared" si="164"/>
        <v>0</v>
      </c>
      <c r="KUE42">
        <f t="shared" si="164"/>
        <v>0</v>
      </c>
      <c r="KUF42">
        <f t="shared" si="164"/>
        <v>0</v>
      </c>
      <c r="KUG42">
        <f t="shared" si="164"/>
        <v>0</v>
      </c>
      <c r="KUH42">
        <f t="shared" si="164"/>
        <v>0</v>
      </c>
      <c r="KUI42">
        <f t="shared" si="164"/>
        <v>0</v>
      </c>
      <c r="KUJ42">
        <f t="shared" si="164"/>
        <v>0</v>
      </c>
      <c r="KUK42">
        <f t="shared" si="164"/>
        <v>0</v>
      </c>
      <c r="KUL42">
        <f t="shared" si="164"/>
        <v>0</v>
      </c>
      <c r="KUM42">
        <f t="shared" si="164"/>
        <v>0</v>
      </c>
      <c r="KUN42">
        <f t="shared" si="164"/>
        <v>0</v>
      </c>
      <c r="KUO42">
        <f t="shared" si="164"/>
        <v>0</v>
      </c>
      <c r="KUP42">
        <f t="shared" ref="KUP42:KXA43" si="165">KUP41*1.6*1.2</f>
        <v>0</v>
      </c>
      <c r="KUQ42">
        <f t="shared" si="165"/>
        <v>0</v>
      </c>
      <c r="KUR42">
        <f t="shared" si="165"/>
        <v>0</v>
      </c>
      <c r="KUS42">
        <f t="shared" si="165"/>
        <v>0</v>
      </c>
      <c r="KUT42">
        <f t="shared" si="165"/>
        <v>0</v>
      </c>
      <c r="KUU42">
        <f t="shared" si="165"/>
        <v>0</v>
      </c>
      <c r="KUV42">
        <f t="shared" si="165"/>
        <v>0</v>
      </c>
      <c r="KUW42">
        <f t="shared" si="165"/>
        <v>0</v>
      </c>
      <c r="KUX42">
        <f t="shared" si="165"/>
        <v>0</v>
      </c>
      <c r="KUY42">
        <f t="shared" si="165"/>
        <v>0</v>
      </c>
      <c r="KUZ42">
        <f t="shared" si="165"/>
        <v>0</v>
      </c>
      <c r="KVA42">
        <f t="shared" si="165"/>
        <v>0</v>
      </c>
      <c r="KVB42">
        <f t="shared" si="165"/>
        <v>0</v>
      </c>
      <c r="KVC42">
        <f t="shared" si="165"/>
        <v>0</v>
      </c>
      <c r="KVD42">
        <f t="shared" si="165"/>
        <v>0</v>
      </c>
      <c r="KVE42">
        <f t="shared" si="165"/>
        <v>0</v>
      </c>
      <c r="KVF42">
        <f t="shared" si="165"/>
        <v>0</v>
      </c>
      <c r="KVG42">
        <f t="shared" si="165"/>
        <v>0</v>
      </c>
      <c r="KVH42">
        <f t="shared" si="165"/>
        <v>0</v>
      </c>
      <c r="KVI42">
        <f t="shared" si="165"/>
        <v>0</v>
      </c>
      <c r="KVJ42">
        <f t="shared" si="165"/>
        <v>0</v>
      </c>
      <c r="KVK42">
        <f t="shared" si="165"/>
        <v>0</v>
      </c>
      <c r="KVL42">
        <f t="shared" si="165"/>
        <v>0</v>
      </c>
      <c r="KVM42">
        <f t="shared" si="165"/>
        <v>0</v>
      </c>
      <c r="KVN42">
        <f t="shared" si="165"/>
        <v>0</v>
      </c>
      <c r="KVO42">
        <f t="shared" si="165"/>
        <v>0</v>
      </c>
      <c r="KVP42">
        <f t="shared" si="165"/>
        <v>0</v>
      </c>
      <c r="KVQ42">
        <f t="shared" si="165"/>
        <v>0</v>
      </c>
      <c r="KVR42">
        <f t="shared" si="165"/>
        <v>0</v>
      </c>
      <c r="KVS42">
        <f t="shared" si="165"/>
        <v>0</v>
      </c>
      <c r="KVT42">
        <f t="shared" si="165"/>
        <v>0</v>
      </c>
      <c r="KVU42">
        <f t="shared" si="165"/>
        <v>0</v>
      </c>
      <c r="KVV42">
        <f t="shared" si="165"/>
        <v>0</v>
      </c>
      <c r="KVW42">
        <f t="shared" si="165"/>
        <v>0</v>
      </c>
      <c r="KVX42">
        <f t="shared" si="165"/>
        <v>0</v>
      </c>
      <c r="KVY42">
        <f t="shared" si="165"/>
        <v>0</v>
      </c>
      <c r="KVZ42">
        <f t="shared" si="165"/>
        <v>0</v>
      </c>
      <c r="KWA42">
        <f t="shared" si="165"/>
        <v>0</v>
      </c>
      <c r="KWB42">
        <f t="shared" si="165"/>
        <v>0</v>
      </c>
      <c r="KWC42">
        <f t="shared" si="165"/>
        <v>0</v>
      </c>
      <c r="KWD42">
        <f t="shared" si="165"/>
        <v>0</v>
      </c>
      <c r="KWE42">
        <f t="shared" si="165"/>
        <v>0</v>
      </c>
      <c r="KWF42">
        <f t="shared" si="165"/>
        <v>0</v>
      </c>
      <c r="KWG42">
        <f t="shared" si="165"/>
        <v>0</v>
      </c>
      <c r="KWH42">
        <f t="shared" si="165"/>
        <v>0</v>
      </c>
      <c r="KWI42">
        <f t="shared" si="165"/>
        <v>0</v>
      </c>
      <c r="KWJ42">
        <f t="shared" si="165"/>
        <v>0</v>
      </c>
      <c r="KWK42">
        <f t="shared" si="165"/>
        <v>0</v>
      </c>
      <c r="KWL42">
        <f t="shared" si="165"/>
        <v>0</v>
      </c>
      <c r="KWM42">
        <f t="shared" si="165"/>
        <v>0</v>
      </c>
      <c r="KWN42">
        <f t="shared" si="165"/>
        <v>0</v>
      </c>
      <c r="KWO42">
        <f t="shared" si="165"/>
        <v>0</v>
      </c>
      <c r="KWP42">
        <f t="shared" si="165"/>
        <v>0</v>
      </c>
      <c r="KWQ42">
        <f t="shared" si="165"/>
        <v>0</v>
      </c>
      <c r="KWR42">
        <f t="shared" si="165"/>
        <v>0</v>
      </c>
      <c r="KWS42">
        <f t="shared" si="165"/>
        <v>0</v>
      </c>
      <c r="KWT42">
        <f t="shared" si="165"/>
        <v>0</v>
      </c>
      <c r="KWU42">
        <f t="shared" si="165"/>
        <v>0</v>
      </c>
      <c r="KWV42">
        <f t="shared" si="165"/>
        <v>0</v>
      </c>
      <c r="KWW42">
        <f t="shared" si="165"/>
        <v>0</v>
      </c>
      <c r="KWX42">
        <f t="shared" si="165"/>
        <v>0</v>
      </c>
      <c r="KWY42">
        <f t="shared" si="165"/>
        <v>0</v>
      </c>
      <c r="KWZ42">
        <f t="shared" si="165"/>
        <v>0</v>
      </c>
      <c r="KXA42">
        <f t="shared" si="165"/>
        <v>0</v>
      </c>
      <c r="KXB42">
        <f t="shared" ref="KXB42:KZM43" si="166">KXB41*1.6*1.2</f>
        <v>0</v>
      </c>
      <c r="KXC42">
        <f t="shared" si="166"/>
        <v>0</v>
      </c>
      <c r="KXD42">
        <f t="shared" si="166"/>
        <v>0</v>
      </c>
      <c r="KXE42">
        <f t="shared" si="166"/>
        <v>0</v>
      </c>
      <c r="KXF42">
        <f t="shared" si="166"/>
        <v>0</v>
      </c>
      <c r="KXG42">
        <f t="shared" si="166"/>
        <v>0</v>
      </c>
      <c r="KXH42">
        <f t="shared" si="166"/>
        <v>0</v>
      </c>
      <c r="KXI42">
        <f t="shared" si="166"/>
        <v>0</v>
      </c>
      <c r="KXJ42">
        <f t="shared" si="166"/>
        <v>0</v>
      </c>
      <c r="KXK42">
        <f t="shared" si="166"/>
        <v>0</v>
      </c>
      <c r="KXL42">
        <f t="shared" si="166"/>
        <v>0</v>
      </c>
      <c r="KXM42">
        <f t="shared" si="166"/>
        <v>0</v>
      </c>
      <c r="KXN42">
        <f t="shared" si="166"/>
        <v>0</v>
      </c>
      <c r="KXO42">
        <f t="shared" si="166"/>
        <v>0</v>
      </c>
      <c r="KXP42">
        <f t="shared" si="166"/>
        <v>0</v>
      </c>
      <c r="KXQ42">
        <f t="shared" si="166"/>
        <v>0</v>
      </c>
      <c r="KXR42">
        <f t="shared" si="166"/>
        <v>0</v>
      </c>
      <c r="KXS42">
        <f t="shared" si="166"/>
        <v>0</v>
      </c>
      <c r="KXT42">
        <f t="shared" si="166"/>
        <v>0</v>
      </c>
      <c r="KXU42">
        <f t="shared" si="166"/>
        <v>0</v>
      </c>
      <c r="KXV42">
        <f t="shared" si="166"/>
        <v>0</v>
      </c>
      <c r="KXW42">
        <f t="shared" si="166"/>
        <v>0</v>
      </c>
      <c r="KXX42">
        <f t="shared" si="166"/>
        <v>0</v>
      </c>
      <c r="KXY42">
        <f t="shared" si="166"/>
        <v>0</v>
      </c>
      <c r="KXZ42">
        <f t="shared" si="166"/>
        <v>0</v>
      </c>
      <c r="KYA42">
        <f t="shared" si="166"/>
        <v>0</v>
      </c>
      <c r="KYB42">
        <f t="shared" si="166"/>
        <v>0</v>
      </c>
      <c r="KYC42">
        <f t="shared" si="166"/>
        <v>0</v>
      </c>
      <c r="KYD42">
        <f t="shared" si="166"/>
        <v>0</v>
      </c>
      <c r="KYE42">
        <f t="shared" si="166"/>
        <v>0</v>
      </c>
      <c r="KYF42">
        <f t="shared" si="166"/>
        <v>0</v>
      </c>
      <c r="KYG42">
        <f t="shared" si="166"/>
        <v>0</v>
      </c>
      <c r="KYH42">
        <f t="shared" si="166"/>
        <v>0</v>
      </c>
      <c r="KYI42">
        <f t="shared" si="166"/>
        <v>0</v>
      </c>
      <c r="KYJ42">
        <f t="shared" si="166"/>
        <v>0</v>
      </c>
      <c r="KYK42">
        <f t="shared" si="166"/>
        <v>0</v>
      </c>
      <c r="KYL42">
        <f t="shared" si="166"/>
        <v>0</v>
      </c>
      <c r="KYM42">
        <f t="shared" si="166"/>
        <v>0</v>
      </c>
      <c r="KYN42">
        <f t="shared" si="166"/>
        <v>0</v>
      </c>
      <c r="KYO42">
        <f t="shared" si="166"/>
        <v>0</v>
      </c>
      <c r="KYP42">
        <f t="shared" si="166"/>
        <v>0</v>
      </c>
      <c r="KYQ42">
        <f t="shared" si="166"/>
        <v>0</v>
      </c>
      <c r="KYR42">
        <f t="shared" si="166"/>
        <v>0</v>
      </c>
      <c r="KYS42">
        <f t="shared" si="166"/>
        <v>0</v>
      </c>
      <c r="KYT42">
        <f t="shared" si="166"/>
        <v>0</v>
      </c>
      <c r="KYU42">
        <f t="shared" si="166"/>
        <v>0</v>
      </c>
      <c r="KYV42">
        <f t="shared" si="166"/>
        <v>0</v>
      </c>
      <c r="KYW42">
        <f t="shared" si="166"/>
        <v>0</v>
      </c>
      <c r="KYX42">
        <f t="shared" si="166"/>
        <v>0</v>
      </c>
      <c r="KYY42">
        <f t="shared" si="166"/>
        <v>0</v>
      </c>
      <c r="KYZ42">
        <f t="shared" si="166"/>
        <v>0</v>
      </c>
      <c r="KZA42">
        <f t="shared" si="166"/>
        <v>0</v>
      </c>
      <c r="KZB42">
        <f t="shared" si="166"/>
        <v>0</v>
      </c>
      <c r="KZC42">
        <f t="shared" si="166"/>
        <v>0</v>
      </c>
      <c r="KZD42">
        <f t="shared" si="166"/>
        <v>0</v>
      </c>
      <c r="KZE42">
        <f t="shared" si="166"/>
        <v>0</v>
      </c>
      <c r="KZF42">
        <f t="shared" si="166"/>
        <v>0</v>
      </c>
      <c r="KZG42">
        <f t="shared" si="166"/>
        <v>0</v>
      </c>
      <c r="KZH42">
        <f t="shared" si="166"/>
        <v>0</v>
      </c>
      <c r="KZI42">
        <f t="shared" si="166"/>
        <v>0</v>
      </c>
      <c r="KZJ42">
        <f t="shared" si="166"/>
        <v>0</v>
      </c>
      <c r="KZK42">
        <f t="shared" si="166"/>
        <v>0</v>
      </c>
      <c r="KZL42">
        <f t="shared" si="166"/>
        <v>0</v>
      </c>
      <c r="KZM42">
        <f t="shared" si="166"/>
        <v>0</v>
      </c>
      <c r="KZN42">
        <f t="shared" ref="KZN42:LBY43" si="167">KZN41*1.6*1.2</f>
        <v>0</v>
      </c>
      <c r="KZO42">
        <f t="shared" si="167"/>
        <v>0</v>
      </c>
      <c r="KZP42">
        <f t="shared" si="167"/>
        <v>0</v>
      </c>
      <c r="KZQ42">
        <f t="shared" si="167"/>
        <v>0</v>
      </c>
      <c r="KZR42">
        <f t="shared" si="167"/>
        <v>0</v>
      </c>
      <c r="KZS42">
        <f t="shared" si="167"/>
        <v>0</v>
      </c>
      <c r="KZT42">
        <f t="shared" si="167"/>
        <v>0</v>
      </c>
      <c r="KZU42">
        <f t="shared" si="167"/>
        <v>0</v>
      </c>
      <c r="KZV42">
        <f t="shared" si="167"/>
        <v>0</v>
      </c>
      <c r="KZW42">
        <f t="shared" si="167"/>
        <v>0</v>
      </c>
      <c r="KZX42">
        <f t="shared" si="167"/>
        <v>0</v>
      </c>
      <c r="KZY42">
        <f t="shared" si="167"/>
        <v>0</v>
      </c>
      <c r="KZZ42">
        <f t="shared" si="167"/>
        <v>0</v>
      </c>
      <c r="LAA42">
        <f t="shared" si="167"/>
        <v>0</v>
      </c>
      <c r="LAB42">
        <f t="shared" si="167"/>
        <v>0</v>
      </c>
      <c r="LAC42">
        <f t="shared" si="167"/>
        <v>0</v>
      </c>
      <c r="LAD42">
        <f t="shared" si="167"/>
        <v>0</v>
      </c>
      <c r="LAE42">
        <f t="shared" si="167"/>
        <v>0</v>
      </c>
      <c r="LAF42">
        <f t="shared" si="167"/>
        <v>0</v>
      </c>
      <c r="LAG42">
        <f t="shared" si="167"/>
        <v>0</v>
      </c>
      <c r="LAH42">
        <f t="shared" si="167"/>
        <v>0</v>
      </c>
      <c r="LAI42">
        <f t="shared" si="167"/>
        <v>0</v>
      </c>
      <c r="LAJ42">
        <f t="shared" si="167"/>
        <v>0</v>
      </c>
      <c r="LAK42">
        <f t="shared" si="167"/>
        <v>0</v>
      </c>
      <c r="LAL42">
        <f t="shared" si="167"/>
        <v>0</v>
      </c>
      <c r="LAM42">
        <f t="shared" si="167"/>
        <v>0</v>
      </c>
      <c r="LAN42">
        <f t="shared" si="167"/>
        <v>0</v>
      </c>
      <c r="LAO42">
        <f t="shared" si="167"/>
        <v>0</v>
      </c>
      <c r="LAP42">
        <f t="shared" si="167"/>
        <v>0</v>
      </c>
      <c r="LAQ42">
        <f t="shared" si="167"/>
        <v>0</v>
      </c>
      <c r="LAR42">
        <f t="shared" si="167"/>
        <v>0</v>
      </c>
      <c r="LAS42">
        <f t="shared" si="167"/>
        <v>0</v>
      </c>
      <c r="LAT42">
        <f t="shared" si="167"/>
        <v>0</v>
      </c>
      <c r="LAU42">
        <f t="shared" si="167"/>
        <v>0</v>
      </c>
      <c r="LAV42">
        <f t="shared" si="167"/>
        <v>0</v>
      </c>
      <c r="LAW42">
        <f t="shared" si="167"/>
        <v>0</v>
      </c>
      <c r="LAX42">
        <f t="shared" si="167"/>
        <v>0</v>
      </c>
      <c r="LAY42">
        <f t="shared" si="167"/>
        <v>0</v>
      </c>
      <c r="LAZ42">
        <f t="shared" si="167"/>
        <v>0</v>
      </c>
      <c r="LBA42">
        <f t="shared" si="167"/>
        <v>0</v>
      </c>
      <c r="LBB42">
        <f t="shared" si="167"/>
        <v>0</v>
      </c>
      <c r="LBC42">
        <f t="shared" si="167"/>
        <v>0</v>
      </c>
      <c r="LBD42">
        <f t="shared" si="167"/>
        <v>0</v>
      </c>
      <c r="LBE42">
        <f t="shared" si="167"/>
        <v>0</v>
      </c>
      <c r="LBF42">
        <f t="shared" si="167"/>
        <v>0</v>
      </c>
      <c r="LBG42">
        <f t="shared" si="167"/>
        <v>0</v>
      </c>
      <c r="LBH42">
        <f t="shared" si="167"/>
        <v>0</v>
      </c>
      <c r="LBI42">
        <f t="shared" si="167"/>
        <v>0</v>
      </c>
      <c r="LBJ42">
        <f t="shared" si="167"/>
        <v>0</v>
      </c>
      <c r="LBK42">
        <f t="shared" si="167"/>
        <v>0</v>
      </c>
      <c r="LBL42">
        <f t="shared" si="167"/>
        <v>0</v>
      </c>
      <c r="LBM42">
        <f t="shared" si="167"/>
        <v>0</v>
      </c>
      <c r="LBN42">
        <f t="shared" si="167"/>
        <v>0</v>
      </c>
      <c r="LBO42">
        <f t="shared" si="167"/>
        <v>0</v>
      </c>
      <c r="LBP42">
        <f t="shared" si="167"/>
        <v>0</v>
      </c>
      <c r="LBQ42">
        <f t="shared" si="167"/>
        <v>0</v>
      </c>
      <c r="LBR42">
        <f t="shared" si="167"/>
        <v>0</v>
      </c>
      <c r="LBS42">
        <f t="shared" si="167"/>
        <v>0</v>
      </c>
      <c r="LBT42">
        <f t="shared" si="167"/>
        <v>0</v>
      </c>
      <c r="LBU42">
        <f t="shared" si="167"/>
        <v>0</v>
      </c>
      <c r="LBV42">
        <f t="shared" si="167"/>
        <v>0</v>
      </c>
      <c r="LBW42">
        <f t="shared" si="167"/>
        <v>0</v>
      </c>
      <c r="LBX42">
        <f t="shared" si="167"/>
        <v>0</v>
      </c>
      <c r="LBY42">
        <f t="shared" si="167"/>
        <v>0</v>
      </c>
      <c r="LBZ42">
        <f t="shared" ref="LBZ42:LEK43" si="168">LBZ41*1.6*1.2</f>
        <v>0</v>
      </c>
      <c r="LCA42">
        <f t="shared" si="168"/>
        <v>0</v>
      </c>
      <c r="LCB42">
        <f t="shared" si="168"/>
        <v>0</v>
      </c>
      <c r="LCC42">
        <f t="shared" si="168"/>
        <v>0</v>
      </c>
      <c r="LCD42">
        <f t="shared" si="168"/>
        <v>0</v>
      </c>
      <c r="LCE42">
        <f t="shared" si="168"/>
        <v>0</v>
      </c>
      <c r="LCF42">
        <f t="shared" si="168"/>
        <v>0</v>
      </c>
      <c r="LCG42">
        <f t="shared" si="168"/>
        <v>0</v>
      </c>
      <c r="LCH42">
        <f t="shared" si="168"/>
        <v>0</v>
      </c>
      <c r="LCI42">
        <f t="shared" si="168"/>
        <v>0</v>
      </c>
      <c r="LCJ42">
        <f t="shared" si="168"/>
        <v>0</v>
      </c>
      <c r="LCK42">
        <f t="shared" si="168"/>
        <v>0</v>
      </c>
      <c r="LCL42">
        <f t="shared" si="168"/>
        <v>0</v>
      </c>
      <c r="LCM42">
        <f t="shared" si="168"/>
        <v>0</v>
      </c>
      <c r="LCN42">
        <f t="shared" si="168"/>
        <v>0</v>
      </c>
      <c r="LCO42">
        <f t="shared" si="168"/>
        <v>0</v>
      </c>
      <c r="LCP42">
        <f t="shared" si="168"/>
        <v>0</v>
      </c>
      <c r="LCQ42">
        <f t="shared" si="168"/>
        <v>0</v>
      </c>
      <c r="LCR42">
        <f t="shared" si="168"/>
        <v>0</v>
      </c>
      <c r="LCS42">
        <f t="shared" si="168"/>
        <v>0</v>
      </c>
      <c r="LCT42">
        <f t="shared" si="168"/>
        <v>0</v>
      </c>
      <c r="LCU42">
        <f t="shared" si="168"/>
        <v>0</v>
      </c>
      <c r="LCV42">
        <f t="shared" si="168"/>
        <v>0</v>
      </c>
      <c r="LCW42">
        <f t="shared" si="168"/>
        <v>0</v>
      </c>
      <c r="LCX42">
        <f t="shared" si="168"/>
        <v>0</v>
      </c>
      <c r="LCY42">
        <f t="shared" si="168"/>
        <v>0</v>
      </c>
      <c r="LCZ42">
        <f t="shared" si="168"/>
        <v>0</v>
      </c>
      <c r="LDA42">
        <f t="shared" si="168"/>
        <v>0</v>
      </c>
      <c r="LDB42">
        <f t="shared" si="168"/>
        <v>0</v>
      </c>
      <c r="LDC42">
        <f t="shared" si="168"/>
        <v>0</v>
      </c>
      <c r="LDD42">
        <f t="shared" si="168"/>
        <v>0</v>
      </c>
      <c r="LDE42">
        <f t="shared" si="168"/>
        <v>0</v>
      </c>
      <c r="LDF42">
        <f t="shared" si="168"/>
        <v>0</v>
      </c>
      <c r="LDG42">
        <f t="shared" si="168"/>
        <v>0</v>
      </c>
      <c r="LDH42">
        <f t="shared" si="168"/>
        <v>0</v>
      </c>
      <c r="LDI42">
        <f t="shared" si="168"/>
        <v>0</v>
      </c>
      <c r="LDJ42">
        <f t="shared" si="168"/>
        <v>0</v>
      </c>
      <c r="LDK42">
        <f t="shared" si="168"/>
        <v>0</v>
      </c>
      <c r="LDL42">
        <f t="shared" si="168"/>
        <v>0</v>
      </c>
      <c r="LDM42">
        <f t="shared" si="168"/>
        <v>0</v>
      </c>
      <c r="LDN42">
        <f t="shared" si="168"/>
        <v>0</v>
      </c>
      <c r="LDO42">
        <f t="shared" si="168"/>
        <v>0</v>
      </c>
      <c r="LDP42">
        <f t="shared" si="168"/>
        <v>0</v>
      </c>
      <c r="LDQ42">
        <f t="shared" si="168"/>
        <v>0</v>
      </c>
      <c r="LDR42">
        <f t="shared" si="168"/>
        <v>0</v>
      </c>
      <c r="LDS42">
        <f t="shared" si="168"/>
        <v>0</v>
      </c>
      <c r="LDT42">
        <f t="shared" si="168"/>
        <v>0</v>
      </c>
      <c r="LDU42">
        <f t="shared" si="168"/>
        <v>0</v>
      </c>
      <c r="LDV42">
        <f t="shared" si="168"/>
        <v>0</v>
      </c>
      <c r="LDW42">
        <f t="shared" si="168"/>
        <v>0</v>
      </c>
      <c r="LDX42">
        <f t="shared" si="168"/>
        <v>0</v>
      </c>
      <c r="LDY42">
        <f t="shared" si="168"/>
        <v>0</v>
      </c>
      <c r="LDZ42">
        <f t="shared" si="168"/>
        <v>0</v>
      </c>
      <c r="LEA42">
        <f t="shared" si="168"/>
        <v>0</v>
      </c>
      <c r="LEB42">
        <f t="shared" si="168"/>
        <v>0</v>
      </c>
      <c r="LEC42">
        <f t="shared" si="168"/>
        <v>0</v>
      </c>
      <c r="LED42">
        <f t="shared" si="168"/>
        <v>0</v>
      </c>
      <c r="LEE42">
        <f t="shared" si="168"/>
        <v>0</v>
      </c>
      <c r="LEF42">
        <f t="shared" si="168"/>
        <v>0</v>
      </c>
      <c r="LEG42">
        <f t="shared" si="168"/>
        <v>0</v>
      </c>
      <c r="LEH42">
        <f t="shared" si="168"/>
        <v>0</v>
      </c>
      <c r="LEI42">
        <f t="shared" si="168"/>
        <v>0</v>
      </c>
      <c r="LEJ42">
        <f t="shared" si="168"/>
        <v>0</v>
      </c>
      <c r="LEK42">
        <f t="shared" si="168"/>
        <v>0</v>
      </c>
      <c r="LEL42">
        <f t="shared" ref="LEL42:LGW43" si="169">LEL41*1.6*1.2</f>
        <v>0</v>
      </c>
      <c r="LEM42">
        <f t="shared" si="169"/>
        <v>0</v>
      </c>
      <c r="LEN42">
        <f t="shared" si="169"/>
        <v>0</v>
      </c>
      <c r="LEO42">
        <f t="shared" si="169"/>
        <v>0</v>
      </c>
      <c r="LEP42">
        <f t="shared" si="169"/>
        <v>0</v>
      </c>
      <c r="LEQ42">
        <f t="shared" si="169"/>
        <v>0</v>
      </c>
      <c r="LER42">
        <f t="shared" si="169"/>
        <v>0</v>
      </c>
      <c r="LES42">
        <f t="shared" si="169"/>
        <v>0</v>
      </c>
      <c r="LET42">
        <f t="shared" si="169"/>
        <v>0</v>
      </c>
      <c r="LEU42">
        <f t="shared" si="169"/>
        <v>0</v>
      </c>
      <c r="LEV42">
        <f t="shared" si="169"/>
        <v>0</v>
      </c>
      <c r="LEW42">
        <f t="shared" si="169"/>
        <v>0</v>
      </c>
      <c r="LEX42">
        <f t="shared" si="169"/>
        <v>0</v>
      </c>
      <c r="LEY42">
        <f t="shared" si="169"/>
        <v>0</v>
      </c>
      <c r="LEZ42">
        <f t="shared" si="169"/>
        <v>0</v>
      </c>
      <c r="LFA42">
        <f t="shared" si="169"/>
        <v>0</v>
      </c>
      <c r="LFB42">
        <f t="shared" si="169"/>
        <v>0</v>
      </c>
      <c r="LFC42">
        <f t="shared" si="169"/>
        <v>0</v>
      </c>
      <c r="LFD42">
        <f t="shared" si="169"/>
        <v>0</v>
      </c>
      <c r="LFE42">
        <f t="shared" si="169"/>
        <v>0</v>
      </c>
      <c r="LFF42">
        <f t="shared" si="169"/>
        <v>0</v>
      </c>
      <c r="LFG42">
        <f t="shared" si="169"/>
        <v>0</v>
      </c>
      <c r="LFH42">
        <f t="shared" si="169"/>
        <v>0</v>
      </c>
      <c r="LFI42">
        <f t="shared" si="169"/>
        <v>0</v>
      </c>
      <c r="LFJ42">
        <f t="shared" si="169"/>
        <v>0</v>
      </c>
      <c r="LFK42">
        <f t="shared" si="169"/>
        <v>0</v>
      </c>
      <c r="LFL42">
        <f t="shared" si="169"/>
        <v>0</v>
      </c>
      <c r="LFM42">
        <f t="shared" si="169"/>
        <v>0</v>
      </c>
      <c r="LFN42">
        <f t="shared" si="169"/>
        <v>0</v>
      </c>
      <c r="LFO42">
        <f t="shared" si="169"/>
        <v>0</v>
      </c>
      <c r="LFP42">
        <f t="shared" si="169"/>
        <v>0</v>
      </c>
      <c r="LFQ42">
        <f t="shared" si="169"/>
        <v>0</v>
      </c>
      <c r="LFR42">
        <f t="shared" si="169"/>
        <v>0</v>
      </c>
      <c r="LFS42">
        <f t="shared" si="169"/>
        <v>0</v>
      </c>
      <c r="LFT42">
        <f t="shared" si="169"/>
        <v>0</v>
      </c>
      <c r="LFU42">
        <f t="shared" si="169"/>
        <v>0</v>
      </c>
      <c r="LFV42">
        <f t="shared" si="169"/>
        <v>0</v>
      </c>
      <c r="LFW42">
        <f t="shared" si="169"/>
        <v>0</v>
      </c>
      <c r="LFX42">
        <f t="shared" si="169"/>
        <v>0</v>
      </c>
      <c r="LFY42">
        <f t="shared" si="169"/>
        <v>0</v>
      </c>
      <c r="LFZ42">
        <f t="shared" si="169"/>
        <v>0</v>
      </c>
      <c r="LGA42">
        <f t="shared" si="169"/>
        <v>0</v>
      </c>
      <c r="LGB42">
        <f t="shared" si="169"/>
        <v>0</v>
      </c>
      <c r="LGC42">
        <f t="shared" si="169"/>
        <v>0</v>
      </c>
      <c r="LGD42">
        <f t="shared" si="169"/>
        <v>0</v>
      </c>
      <c r="LGE42">
        <f t="shared" si="169"/>
        <v>0</v>
      </c>
      <c r="LGF42">
        <f t="shared" si="169"/>
        <v>0</v>
      </c>
      <c r="LGG42">
        <f t="shared" si="169"/>
        <v>0</v>
      </c>
      <c r="LGH42">
        <f t="shared" si="169"/>
        <v>0</v>
      </c>
      <c r="LGI42">
        <f t="shared" si="169"/>
        <v>0</v>
      </c>
      <c r="LGJ42">
        <f t="shared" si="169"/>
        <v>0</v>
      </c>
      <c r="LGK42">
        <f t="shared" si="169"/>
        <v>0</v>
      </c>
      <c r="LGL42">
        <f t="shared" si="169"/>
        <v>0</v>
      </c>
      <c r="LGM42">
        <f t="shared" si="169"/>
        <v>0</v>
      </c>
      <c r="LGN42">
        <f t="shared" si="169"/>
        <v>0</v>
      </c>
      <c r="LGO42">
        <f t="shared" si="169"/>
        <v>0</v>
      </c>
      <c r="LGP42">
        <f t="shared" si="169"/>
        <v>0</v>
      </c>
      <c r="LGQ42">
        <f t="shared" si="169"/>
        <v>0</v>
      </c>
      <c r="LGR42">
        <f t="shared" si="169"/>
        <v>0</v>
      </c>
      <c r="LGS42">
        <f t="shared" si="169"/>
        <v>0</v>
      </c>
      <c r="LGT42">
        <f t="shared" si="169"/>
        <v>0</v>
      </c>
      <c r="LGU42">
        <f t="shared" si="169"/>
        <v>0</v>
      </c>
      <c r="LGV42">
        <f t="shared" si="169"/>
        <v>0</v>
      </c>
      <c r="LGW42">
        <f t="shared" si="169"/>
        <v>0</v>
      </c>
      <c r="LGX42">
        <f t="shared" ref="LGX42:LJI43" si="170">LGX41*1.6*1.2</f>
        <v>0</v>
      </c>
      <c r="LGY42">
        <f t="shared" si="170"/>
        <v>0</v>
      </c>
      <c r="LGZ42">
        <f t="shared" si="170"/>
        <v>0</v>
      </c>
      <c r="LHA42">
        <f t="shared" si="170"/>
        <v>0</v>
      </c>
      <c r="LHB42">
        <f t="shared" si="170"/>
        <v>0</v>
      </c>
      <c r="LHC42">
        <f t="shared" si="170"/>
        <v>0</v>
      </c>
      <c r="LHD42">
        <f t="shared" si="170"/>
        <v>0</v>
      </c>
      <c r="LHE42">
        <f t="shared" si="170"/>
        <v>0</v>
      </c>
      <c r="LHF42">
        <f t="shared" si="170"/>
        <v>0</v>
      </c>
      <c r="LHG42">
        <f t="shared" si="170"/>
        <v>0</v>
      </c>
      <c r="LHH42">
        <f t="shared" si="170"/>
        <v>0</v>
      </c>
      <c r="LHI42">
        <f t="shared" si="170"/>
        <v>0</v>
      </c>
      <c r="LHJ42">
        <f t="shared" si="170"/>
        <v>0</v>
      </c>
      <c r="LHK42">
        <f t="shared" si="170"/>
        <v>0</v>
      </c>
      <c r="LHL42">
        <f t="shared" si="170"/>
        <v>0</v>
      </c>
      <c r="LHM42">
        <f t="shared" si="170"/>
        <v>0</v>
      </c>
      <c r="LHN42">
        <f t="shared" si="170"/>
        <v>0</v>
      </c>
      <c r="LHO42">
        <f t="shared" si="170"/>
        <v>0</v>
      </c>
      <c r="LHP42">
        <f t="shared" si="170"/>
        <v>0</v>
      </c>
      <c r="LHQ42">
        <f t="shared" si="170"/>
        <v>0</v>
      </c>
      <c r="LHR42">
        <f t="shared" si="170"/>
        <v>0</v>
      </c>
      <c r="LHS42">
        <f t="shared" si="170"/>
        <v>0</v>
      </c>
      <c r="LHT42">
        <f t="shared" si="170"/>
        <v>0</v>
      </c>
      <c r="LHU42">
        <f t="shared" si="170"/>
        <v>0</v>
      </c>
      <c r="LHV42">
        <f t="shared" si="170"/>
        <v>0</v>
      </c>
      <c r="LHW42">
        <f t="shared" si="170"/>
        <v>0</v>
      </c>
      <c r="LHX42">
        <f t="shared" si="170"/>
        <v>0</v>
      </c>
      <c r="LHY42">
        <f t="shared" si="170"/>
        <v>0</v>
      </c>
      <c r="LHZ42">
        <f t="shared" si="170"/>
        <v>0</v>
      </c>
      <c r="LIA42">
        <f t="shared" si="170"/>
        <v>0</v>
      </c>
      <c r="LIB42">
        <f t="shared" si="170"/>
        <v>0</v>
      </c>
      <c r="LIC42">
        <f t="shared" si="170"/>
        <v>0</v>
      </c>
      <c r="LID42">
        <f t="shared" si="170"/>
        <v>0</v>
      </c>
      <c r="LIE42">
        <f t="shared" si="170"/>
        <v>0</v>
      </c>
      <c r="LIF42">
        <f t="shared" si="170"/>
        <v>0</v>
      </c>
      <c r="LIG42">
        <f t="shared" si="170"/>
        <v>0</v>
      </c>
      <c r="LIH42">
        <f t="shared" si="170"/>
        <v>0</v>
      </c>
      <c r="LII42">
        <f t="shared" si="170"/>
        <v>0</v>
      </c>
      <c r="LIJ42">
        <f t="shared" si="170"/>
        <v>0</v>
      </c>
      <c r="LIK42">
        <f t="shared" si="170"/>
        <v>0</v>
      </c>
      <c r="LIL42">
        <f t="shared" si="170"/>
        <v>0</v>
      </c>
      <c r="LIM42">
        <f t="shared" si="170"/>
        <v>0</v>
      </c>
      <c r="LIN42">
        <f t="shared" si="170"/>
        <v>0</v>
      </c>
      <c r="LIO42">
        <f t="shared" si="170"/>
        <v>0</v>
      </c>
      <c r="LIP42">
        <f t="shared" si="170"/>
        <v>0</v>
      </c>
      <c r="LIQ42">
        <f t="shared" si="170"/>
        <v>0</v>
      </c>
      <c r="LIR42">
        <f t="shared" si="170"/>
        <v>0</v>
      </c>
      <c r="LIS42">
        <f t="shared" si="170"/>
        <v>0</v>
      </c>
      <c r="LIT42">
        <f t="shared" si="170"/>
        <v>0</v>
      </c>
      <c r="LIU42">
        <f t="shared" si="170"/>
        <v>0</v>
      </c>
      <c r="LIV42">
        <f t="shared" si="170"/>
        <v>0</v>
      </c>
      <c r="LIW42">
        <f t="shared" si="170"/>
        <v>0</v>
      </c>
      <c r="LIX42">
        <f t="shared" si="170"/>
        <v>0</v>
      </c>
      <c r="LIY42">
        <f t="shared" si="170"/>
        <v>0</v>
      </c>
      <c r="LIZ42">
        <f t="shared" si="170"/>
        <v>0</v>
      </c>
      <c r="LJA42">
        <f t="shared" si="170"/>
        <v>0</v>
      </c>
      <c r="LJB42">
        <f t="shared" si="170"/>
        <v>0</v>
      </c>
      <c r="LJC42">
        <f t="shared" si="170"/>
        <v>0</v>
      </c>
      <c r="LJD42">
        <f t="shared" si="170"/>
        <v>0</v>
      </c>
      <c r="LJE42">
        <f t="shared" si="170"/>
        <v>0</v>
      </c>
      <c r="LJF42">
        <f t="shared" si="170"/>
        <v>0</v>
      </c>
      <c r="LJG42">
        <f t="shared" si="170"/>
        <v>0</v>
      </c>
      <c r="LJH42">
        <f t="shared" si="170"/>
        <v>0</v>
      </c>
      <c r="LJI42">
        <f t="shared" si="170"/>
        <v>0</v>
      </c>
      <c r="LJJ42">
        <f t="shared" ref="LJJ42:LLU43" si="171">LJJ41*1.6*1.2</f>
        <v>0</v>
      </c>
      <c r="LJK42">
        <f t="shared" si="171"/>
        <v>0</v>
      </c>
      <c r="LJL42">
        <f t="shared" si="171"/>
        <v>0</v>
      </c>
      <c r="LJM42">
        <f t="shared" si="171"/>
        <v>0</v>
      </c>
      <c r="LJN42">
        <f t="shared" si="171"/>
        <v>0</v>
      </c>
      <c r="LJO42">
        <f t="shared" si="171"/>
        <v>0</v>
      </c>
      <c r="LJP42">
        <f t="shared" si="171"/>
        <v>0</v>
      </c>
      <c r="LJQ42">
        <f t="shared" si="171"/>
        <v>0</v>
      </c>
      <c r="LJR42">
        <f t="shared" si="171"/>
        <v>0</v>
      </c>
      <c r="LJS42">
        <f t="shared" si="171"/>
        <v>0</v>
      </c>
      <c r="LJT42">
        <f t="shared" si="171"/>
        <v>0</v>
      </c>
      <c r="LJU42">
        <f t="shared" si="171"/>
        <v>0</v>
      </c>
      <c r="LJV42">
        <f t="shared" si="171"/>
        <v>0</v>
      </c>
      <c r="LJW42">
        <f t="shared" si="171"/>
        <v>0</v>
      </c>
      <c r="LJX42">
        <f t="shared" si="171"/>
        <v>0</v>
      </c>
      <c r="LJY42">
        <f t="shared" si="171"/>
        <v>0</v>
      </c>
      <c r="LJZ42">
        <f t="shared" si="171"/>
        <v>0</v>
      </c>
      <c r="LKA42">
        <f t="shared" si="171"/>
        <v>0</v>
      </c>
      <c r="LKB42">
        <f t="shared" si="171"/>
        <v>0</v>
      </c>
      <c r="LKC42">
        <f t="shared" si="171"/>
        <v>0</v>
      </c>
      <c r="LKD42">
        <f t="shared" si="171"/>
        <v>0</v>
      </c>
      <c r="LKE42">
        <f t="shared" si="171"/>
        <v>0</v>
      </c>
      <c r="LKF42">
        <f t="shared" si="171"/>
        <v>0</v>
      </c>
      <c r="LKG42">
        <f t="shared" si="171"/>
        <v>0</v>
      </c>
      <c r="LKH42">
        <f t="shared" si="171"/>
        <v>0</v>
      </c>
      <c r="LKI42">
        <f t="shared" si="171"/>
        <v>0</v>
      </c>
      <c r="LKJ42">
        <f t="shared" si="171"/>
        <v>0</v>
      </c>
      <c r="LKK42">
        <f t="shared" si="171"/>
        <v>0</v>
      </c>
      <c r="LKL42">
        <f t="shared" si="171"/>
        <v>0</v>
      </c>
      <c r="LKM42">
        <f t="shared" si="171"/>
        <v>0</v>
      </c>
      <c r="LKN42">
        <f t="shared" si="171"/>
        <v>0</v>
      </c>
      <c r="LKO42">
        <f t="shared" si="171"/>
        <v>0</v>
      </c>
      <c r="LKP42">
        <f t="shared" si="171"/>
        <v>0</v>
      </c>
      <c r="LKQ42">
        <f t="shared" si="171"/>
        <v>0</v>
      </c>
      <c r="LKR42">
        <f t="shared" si="171"/>
        <v>0</v>
      </c>
      <c r="LKS42">
        <f t="shared" si="171"/>
        <v>0</v>
      </c>
      <c r="LKT42">
        <f t="shared" si="171"/>
        <v>0</v>
      </c>
      <c r="LKU42">
        <f t="shared" si="171"/>
        <v>0</v>
      </c>
      <c r="LKV42">
        <f t="shared" si="171"/>
        <v>0</v>
      </c>
      <c r="LKW42">
        <f t="shared" si="171"/>
        <v>0</v>
      </c>
      <c r="LKX42">
        <f t="shared" si="171"/>
        <v>0</v>
      </c>
      <c r="LKY42">
        <f t="shared" si="171"/>
        <v>0</v>
      </c>
      <c r="LKZ42">
        <f t="shared" si="171"/>
        <v>0</v>
      </c>
      <c r="LLA42">
        <f t="shared" si="171"/>
        <v>0</v>
      </c>
      <c r="LLB42">
        <f t="shared" si="171"/>
        <v>0</v>
      </c>
      <c r="LLC42">
        <f t="shared" si="171"/>
        <v>0</v>
      </c>
      <c r="LLD42">
        <f t="shared" si="171"/>
        <v>0</v>
      </c>
      <c r="LLE42">
        <f t="shared" si="171"/>
        <v>0</v>
      </c>
      <c r="LLF42">
        <f t="shared" si="171"/>
        <v>0</v>
      </c>
      <c r="LLG42">
        <f t="shared" si="171"/>
        <v>0</v>
      </c>
      <c r="LLH42">
        <f t="shared" si="171"/>
        <v>0</v>
      </c>
      <c r="LLI42">
        <f t="shared" si="171"/>
        <v>0</v>
      </c>
      <c r="LLJ42">
        <f t="shared" si="171"/>
        <v>0</v>
      </c>
      <c r="LLK42">
        <f t="shared" si="171"/>
        <v>0</v>
      </c>
      <c r="LLL42">
        <f t="shared" si="171"/>
        <v>0</v>
      </c>
      <c r="LLM42">
        <f t="shared" si="171"/>
        <v>0</v>
      </c>
      <c r="LLN42">
        <f t="shared" si="171"/>
        <v>0</v>
      </c>
      <c r="LLO42">
        <f t="shared" si="171"/>
        <v>0</v>
      </c>
      <c r="LLP42">
        <f t="shared" si="171"/>
        <v>0</v>
      </c>
      <c r="LLQ42">
        <f t="shared" si="171"/>
        <v>0</v>
      </c>
      <c r="LLR42">
        <f t="shared" si="171"/>
        <v>0</v>
      </c>
      <c r="LLS42">
        <f t="shared" si="171"/>
        <v>0</v>
      </c>
      <c r="LLT42">
        <f t="shared" si="171"/>
        <v>0</v>
      </c>
      <c r="LLU42">
        <f t="shared" si="171"/>
        <v>0</v>
      </c>
      <c r="LLV42">
        <f t="shared" ref="LLV42:LOG43" si="172">LLV41*1.6*1.2</f>
        <v>0</v>
      </c>
      <c r="LLW42">
        <f t="shared" si="172"/>
        <v>0</v>
      </c>
      <c r="LLX42">
        <f t="shared" si="172"/>
        <v>0</v>
      </c>
      <c r="LLY42">
        <f t="shared" si="172"/>
        <v>0</v>
      </c>
      <c r="LLZ42">
        <f t="shared" si="172"/>
        <v>0</v>
      </c>
      <c r="LMA42">
        <f t="shared" si="172"/>
        <v>0</v>
      </c>
      <c r="LMB42">
        <f t="shared" si="172"/>
        <v>0</v>
      </c>
      <c r="LMC42">
        <f t="shared" si="172"/>
        <v>0</v>
      </c>
      <c r="LMD42">
        <f t="shared" si="172"/>
        <v>0</v>
      </c>
      <c r="LME42">
        <f t="shared" si="172"/>
        <v>0</v>
      </c>
      <c r="LMF42">
        <f t="shared" si="172"/>
        <v>0</v>
      </c>
      <c r="LMG42">
        <f t="shared" si="172"/>
        <v>0</v>
      </c>
      <c r="LMH42">
        <f t="shared" si="172"/>
        <v>0</v>
      </c>
      <c r="LMI42">
        <f t="shared" si="172"/>
        <v>0</v>
      </c>
      <c r="LMJ42">
        <f t="shared" si="172"/>
        <v>0</v>
      </c>
      <c r="LMK42">
        <f t="shared" si="172"/>
        <v>0</v>
      </c>
      <c r="LML42">
        <f t="shared" si="172"/>
        <v>0</v>
      </c>
      <c r="LMM42">
        <f t="shared" si="172"/>
        <v>0</v>
      </c>
      <c r="LMN42">
        <f t="shared" si="172"/>
        <v>0</v>
      </c>
      <c r="LMO42">
        <f t="shared" si="172"/>
        <v>0</v>
      </c>
      <c r="LMP42">
        <f t="shared" si="172"/>
        <v>0</v>
      </c>
      <c r="LMQ42">
        <f t="shared" si="172"/>
        <v>0</v>
      </c>
      <c r="LMR42">
        <f t="shared" si="172"/>
        <v>0</v>
      </c>
      <c r="LMS42">
        <f t="shared" si="172"/>
        <v>0</v>
      </c>
      <c r="LMT42">
        <f t="shared" si="172"/>
        <v>0</v>
      </c>
      <c r="LMU42">
        <f t="shared" si="172"/>
        <v>0</v>
      </c>
      <c r="LMV42">
        <f t="shared" si="172"/>
        <v>0</v>
      </c>
      <c r="LMW42">
        <f t="shared" si="172"/>
        <v>0</v>
      </c>
      <c r="LMX42">
        <f t="shared" si="172"/>
        <v>0</v>
      </c>
      <c r="LMY42">
        <f t="shared" si="172"/>
        <v>0</v>
      </c>
      <c r="LMZ42">
        <f t="shared" si="172"/>
        <v>0</v>
      </c>
      <c r="LNA42">
        <f t="shared" si="172"/>
        <v>0</v>
      </c>
      <c r="LNB42">
        <f t="shared" si="172"/>
        <v>0</v>
      </c>
      <c r="LNC42">
        <f t="shared" si="172"/>
        <v>0</v>
      </c>
      <c r="LND42">
        <f t="shared" si="172"/>
        <v>0</v>
      </c>
      <c r="LNE42">
        <f t="shared" si="172"/>
        <v>0</v>
      </c>
      <c r="LNF42">
        <f t="shared" si="172"/>
        <v>0</v>
      </c>
      <c r="LNG42">
        <f t="shared" si="172"/>
        <v>0</v>
      </c>
      <c r="LNH42">
        <f t="shared" si="172"/>
        <v>0</v>
      </c>
      <c r="LNI42">
        <f t="shared" si="172"/>
        <v>0</v>
      </c>
      <c r="LNJ42">
        <f t="shared" si="172"/>
        <v>0</v>
      </c>
      <c r="LNK42">
        <f t="shared" si="172"/>
        <v>0</v>
      </c>
      <c r="LNL42">
        <f t="shared" si="172"/>
        <v>0</v>
      </c>
      <c r="LNM42">
        <f t="shared" si="172"/>
        <v>0</v>
      </c>
      <c r="LNN42">
        <f t="shared" si="172"/>
        <v>0</v>
      </c>
      <c r="LNO42">
        <f t="shared" si="172"/>
        <v>0</v>
      </c>
      <c r="LNP42">
        <f t="shared" si="172"/>
        <v>0</v>
      </c>
      <c r="LNQ42">
        <f t="shared" si="172"/>
        <v>0</v>
      </c>
      <c r="LNR42">
        <f t="shared" si="172"/>
        <v>0</v>
      </c>
      <c r="LNS42">
        <f t="shared" si="172"/>
        <v>0</v>
      </c>
      <c r="LNT42">
        <f t="shared" si="172"/>
        <v>0</v>
      </c>
      <c r="LNU42">
        <f t="shared" si="172"/>
        <v>0</v>
      </c>
      <c r="LNV42">
        <f t="shared" si="172"/>
        <v>0</v>
      </c>
      <c r="LNW42">
        <f t="shared" si="172"/>
        <v>0</v>
      </c>
      <c r="LNX42">
        <f t="shared" si="172"/>
        <v>0</v>
      </c>
      <c r="LNY42">
        <f t="shared" si="172"/>
        <v>0</v>
      </c>
      <c r="LNZ42">
        <f t="shared" si="172"/>
        <v>0</v>
      </c>
      <c r="LOA42">
        <f t="shared" si="172"/>
        <v>0</v>
      </c>
      <c r="LOB42">
        <f t="shared" si="172"/>
        <v>0</v>
      </c>
      <c r="LOC42">
        <f t="shared" si="172"/>
        <v>0</v>
      </c>
      <c r="LOD42">
        <f t="shared" si="172"/>
        <v>0</v>
      </c>
      <c r="LOE42">
        <f t="shared" si="172"/>
        <v>0</v>
      </c>
      <c r="LOF42">
        <f t="shared" si="172"/>
        <v>0</v>
      </c>
      <c r="LOG42">
        <f t="shared" si="172"/>
        <v>0</v>
      </c>
      <c r="LOH42">
        <f t="shared" ref="LOH42:LQS43" si="173">LOH41*1.6*1.2</f>
        <v>0</v>
      </c>
      <c r="LOI42">
        <f t="shared" si="173"/>
        <v>0</v>
      </c>
      <c r="LOJ42">
        <f t="shared" si="173"/>
        <v>0</v>
      </c>
      <c r="LOK42">
        <f t="shared" si="173"/>
        <v>0</v>
      </c>
      <c r="LOL42">
        <f t="shared" si="173"/>
        <v>0</v>
      </c>
      <c r="LOM42">
        <f t="shared" si="173"/>
        <v>0</v>
      </c>
      <c r="LON42">
        <f t="shared" si="173"/>
        <v>0</v>
      </c>
      <c r="LOO42">
        <f t="shared" si="173"/>
        <v>0</v>
      </c>
      <c r="LOP42">
        <f t="shared" si="173"/>
        <v>0</v>
      </c>
      <c r="LOQ42">
        <f t="shared" si="173"/>
        <v>0</v>
      </c>
      <c r="LOR42">
        <f t="shared" si="173"/>
        <v>0</v>
      </c>
      <c r="LOS42">
        <f t="shared" si="173"/>
        <v>0</v>
      </c>
      <c r="LOT42">
        <f t="shared" si="173"/>
        <v>0</v>
      </c>
      <c r="LOU42">
        <f t="shared" si="173"/>
        <v>0</v>
      </c>
      <c r="LOV42">
        <f t="shared" si="173"/>
        <v>0</v>
      </c>
      <c r="LOW42">
        <f t="shared" si="173"/>
        <v>0</v>
      </c>
      <c r="LOX42">
        <f t="shared" si="173"/>
        <v>0</v>
      </c>
      <c r="LOY42">
        <f t="shared" si="173"/>
        <v>0</v>
      </c>
      <c r="LOZ42">
        <f t="shared" si="173"/>
        <v>0</v>
      </c>
      <c r="LPA42">
        <f t="shared" si="173"/>
        <v>0</v>
      </c>
      <c r="LPB42">
        <f t="shared" si="173"/>
        <v>0</v>
      </c>
      <c r="LPC42">
        <f t="shared" si="173"/>
        <v>0</v>
      </c>
      <c r="LPD42">
        <f t="shared" si="173"/>
        <v>0</v>
      </c>
      <c r="LPE42">
        <f t="shared" si="173"/>
        <v>0</v>
      </c>
      <c r="LPF42">
        <f t="shared" si="173"/>
        <v>0</v>
      </c>
      <c r="LPG42">
        <f t="shared" si="173"/>
        <v>0</v>
      </c>
      <c r="LPH42">
        <f t="shared" si="173"/>
        <v>0</v>
      </c>
      <c r="LPI42">
        <f t="shared" si="173"/>
        <v>0</v>
      </c>
      <c r="LPJ42">
        <f t="shared" si="173"/>
        <v>0</v>
      </c>
      <c r="LPK42">
        <f t="shared" si="173"/>
        <v>0</v>
      </c>
      <c r="LPL42">
        <f t="shared" si="173"/>
        <v>0</v>
      </c>
      <c r="LPM42">
        <f t="shared" si="173"/>
        <v>0</v>
      </c>
      <c r="LPN42">
        <f t="shared" si="173"/>
        <v>0</v>
      </c>
      <c r="LPO42">
        <f t="shared" si="173"/>
        <v>0</v>
      </c>
      <c r="LPP42">
        <f t="shared" si="173"/>
        <v>0</v>
      </c>
      <c r="LPQ42">
        <f t="shared" si="173"/>
        <v>0</v>
      </c>
      <c r="LPR42">
        <f t="shared" si="173"/>
        <v>0</v>
      </c>
      <c r="LPS42">
        <f t="shared" si="173"/>
        <v>0</v>
      </c>
      <c r="LPT42">
        <f t="shared" si="173"/>
        <v>0</v>
      </c>
      <c r="LPU42">
        <f t="shared" si="173"/>
        <v>0</v>
      </c>
      <c r="LPV42">
        <f t="shared" si="173"/>
        <v>0</v>
      </c>
      <c r="LPW42">
        <f t="shared" si="173"/>
        <v>0</v>
      </c>
      <c r="LPX42">
        <f t="shared" si="173"/>
        <v>0</v>
      </c>
      <c r="LPY42">
        <f t="shared" si="173"/>
        <v>0</v>
      </c>
      <c r="LPZ42">
        <f t="shared" si="173"/>
        <v>0</v>
      </c>
      <c r="LQA42">
        <f t="shared" si="173"/>
        <v>0</v>
      </c>
      <c r="LQB42">
        <f t="shared" si="173"/>
        <v>0</v>
      </c>
      <c r="LQC42">
        <f t="shared" si="173"/>
        <v>0</v>
      </c>
      <c r="LQD42">
        <f t="shared" si="173"/>
        <v>0</v>
      </c>
      <c r="LQE42">
        <f t="shared" si="173"/>
        <v>0</v>
      </c>
      <c r="LQF42">
        <f t="shared" si="173"/>
        <v>0</v>
      </c>
      <c r="LQG42">
        <f t="shared" si="173"/>
        <v>0</v>
      </c>
      <c r="LQH42">
        <f t="shared" si="173"/>
        <v>0</v>
      </c>
      <c r="LQI42">
        <f t="shared" si="173"/>
        <v>0</v>
      </c>
      <c r="LQJ42">
        <f t="shared" si="173"/>
        <v>0</v>
      </c>
      <c r="LQK42">
        <f t="shared" si="173"/>
        <v>0</v>
      </c>
      <c r="LQL42">
        <f t="shared" si="173"/>
        <v>0</v>
      </c>
      <c r="LQM42">
        <f t="shared" si="173"/>
        <v>0</v>
      </c>
      <c r="LQN42">
        <f t="shared" si="173"/>
        <v>0</v>
      </c>
      <c r="LQO42">
        <f t="shared" si="173"/>
        <v>0</v>
      </c>
      <c r="LQP42">
        <f t="shared" si="173"/>
        <v>0</v>
      </c>
      <c r="LQQ42">
        <f t="shared" si="173"/>
        <v>0</v>
      </c>
      <c r="LQR42">
        <f t="shared" si="173"/>
        <v>0</v>
      </c>
      <c r="LQS42">
        <f t="shared" si="173"/>
        <v>0</v>
      </c>
      <c r="LQT42">
        <f t="shared" ref="LQT42:LTE43" si="174">LQT41*1.6*1.2</f>
        <v>0</v>
      </c>
      <c r="LQU42">
        <f t="shared" si="174"/>
        <v>0</v>
      </c>
      <c r="LQV42">
        <f t="shared" si="174"/>
        <v>0</v>
      </c>
      <c r="LQW42">
        <f t="shared" si="174"/>
        <v>0</v>
      </c>
      <c r="LQX42">
        <f t="shared" si="174"/>
        <v>0</v>
      </c>
      <c r="LQY42">
        <f t="shared" si="174"/>
        <v>0</v>
      </c>
      <c r="LQZ42">
        <f t="shared" si="174"/>
        <v>0</v>
      </c>
      <c r="LRA42">
        <f t="shared" si="174"/>
        <v>0</v>
      </c>
      <c r="LRB42">
        <f t="shared" si="174"/>
        <v>0</v>
      </c>
      <c r="LRC42">
        <f t="shared" si="174"/>
        <v>0</v>
      </c>
      <c r="LRD42">
        <f t="shared" si="174"/>
        <v>0</v>
      </c>
      <c r="LRE42">
        <f t="shared" si="174"/>
        <v>0</v>
      </c>
      <c r="LRF42">
        <f t="shared" si="174"/>
        <v>0</v>
      </c>
      <c r="LRG42">
        <f t="shared" si="174"/>
        <v>0</v>
      </c>
      <c r="LRH42">
        <f t="shared" si="174"/>
        <v>0</v>
      </c>
      <c r="LRI42">
        <f t="shared" si="174"/>
        <v>0</v>
      </c>
      <c r="LRJ42">
        <f t="shared" si="174"/>
        <v>0</v>
      </c>
      <c r="LRK42">
        <f t="shared" si="174"/>
        <v>0</v>
      </c>
      <c r="LRL42">
        <f t="shared" si="174"/>
        <v>0</v>
      </c>
      <c r="LRM42">
        <f t="shared" si="174"/>
        <v>0</v>
      </c>
      <c r="LRN42">
        <f t="shared" si="174"/>
        <v>0</v>
      </c>
      <c r="LRO42">
        <f t="shared" si="174"/>
        <v>0</v>
      </c>
      <c r="LRP42">
        <f t="shared" si="174"/>
        <v>0</v>
      </c>
      <c r="LRQ42">
        <f t="shared" si="174"/>
        <v>0</v>
      </c>
      <c r="LRR42">
        <f t="shared" si="174"/>
        <v>0</v>
      </c>
      <c r="LRS42">
        <f t="shared" si="174"/>
        <v>0</v>
      </c>
      <c r="LRT42">
        <f t="shared" si="174"/>
        <v>0</v>
      </c>
      <c r="LRU42">
        <f t="shared" si="174"/>
        <v>0</v>
      </c>
      <c r="LRV42">
        <f t="shared" si="174"/>
        <v>0</v>
      </c>
      <c r="LRW42">
        <f t="shared" si="174"/>
        <v>0</v>
      </c>
      <c r="LRX42">
        <f t="shared" si="174"/>
        <v>0</v>
      </c>
      <c r="LRY42">
        <f t="shared" si="174"/>
        <v>0</v>
      </c>
      <c r="LRZ42">
        <f t="shared" si="174"/>
        <v>0</v>
      </c>
      <c r="LSA42">
        <f t="shared" si="174"/>
        <v>0</v>
      </c>
      <c r="LSB42">
        <f t="shared" si="174"/>
        <v>0</v>
      </c>
      <c r="LSC42">
        <f t="shared" si="174"/>
        <v>0</v>
      </c>
      <c r="LSD42">
        <f t="shared" si="174"/>
        <v>0</v>
      </c>
      <c r="LSE42">
        <f t="shared" si="174"/>
        <v>0</v>
      </c>
      <c r="LSF42">
        <f t="shared" si="174"/>
        <v>0</v>
      </c>
      <c r="LSG42">
        <f t="shared" si="174"/>
        <v>0</v>
      </c>
      <c r="LSH42">
        <f t="shared" si="174"/>
        <v>0</v>
      </c>
      <c r="LSI42">
        <f t="shared" si="174"/>
        <v>0</v>
      </c>
      <c r="LSJ42">
        <f t="shared" si="174"/>
        <v>0</v>
      </c>
      <c r="LSK42">
        <f t="shared" si="174"/>
        <v>0</v>
      </c>
      <c r="LSL42">
        <f t="shared" si="174"/>
        <v>0</v>
      </c>
      <c r="LSM42">
        <f t="shared" si="174"/>
        <v>0</v>
      </c>
      <c r="LSN42">
        <f t="shared" si="174"/>
        <v>0</v>
      </c>
      <c r="LSO42">
        <f t="shared" si="174"/>
        <v>0</v>
      </c>
      <c r="LSP42">
        <f t="shared" si="174"/>
        <v>0</v>
      </c>
      <c r="LSQ42">
        <f t="shared" si="174"/>
        <v>0</v>
      </c>
      <c r="LSR42">
        <f t="shared" si="174"/>
        <v>0</v>
      </c>
      <c r="LSS42">
        <f t="shared" si="174"/>
        <v>0</v>
      </c>
      <c r="LST42">
        <f t="shared" si="174"/>
        <v>0</v>
      </c>
      <c r="LSU42">
        <f t="shared" si="174"/>
        <v>0</v>
      </c>
      <c r="LSV42">
        <f t="shared" si="174"/>
        <v>0</v>
      </c>
      <c r="LSW42">
        <f t="shared" si="174"/>
        <v>0</v>
      </c>
      <c r="LSX42">
        <f t="shared" si="174"/>
        <v>0</v>
      </c>
      <c r="LSY42">
        <f t="shared" si="174"/>
        <v>0</v>
      </c>
      <c r="LSZ42">
        <f t="shared" si="174"/>
        <v>0</v>
      </c>
      <c r="LTA42">
        <f t="shared" si="174"/>
        <v>0</v>
      </c>
      <c r="LTB42">
        <f t="shared" si="174"/>
        <v>0</v>
      </c>
      <c r="LTC42">
        <f t="shared" si="174"/>
        <v>0</v>
      </c>
      <c r="LTD42">
        <f t="shared" si="174"/>
        <v>0</v>
      </c>
      <c r="LTE42">
        <f t="shared" si="174"/>
        <v>0</v>
      </c>
      <c r="LTF42">
        <f t="shared" ref="LTF42:LVQ43" si="175">LTF41*1.6*1.2</f>
        <v>0</v>
      </c>
      <c r="LTG42">
        <f t="shared" si="175"/>
        <v>0</v>
      </c>
      <c r="LTH42">
        <f t="shared" si="175"/>
        <v>0</v>
      </c>
      <c r="LTI42">
        <f t="shared" si="175"/>
        <v>0</v>
      </c>
      <c r="LTJ42">
        <f t="shared" si="175"/>
        <v>0</v>
      </c>
      <c r="LTK42">
        <f t="shared" si="175"/>
        <v>0</v>
      </c>
      <c r="LTL42">
        <f t="shared" si="175"/>
        <v>0</v>
      </c>
      <c r="LTM42">
        <f t="shared" si="175"/>
        <v>0</v>
      </c>
      <c r="LTN42">
        <f t="shared" si="175"/>
        <v>0</v>
      </c>
      <c r="LTO42">
        <f t="shared" si="175"/>
        <v>0</v>
      </c>
      <c r="LTP42">
        <f t="shared" si="175"/>
        <v>0</v>
      </c>
      <c r="LTQ42">
        <f t="shared" si="175"/>
        <v>0</v>
      </c>
      <c r="LTR42">
        <f t="shared" si="175"/>
        <v>0</v>
      </c>
      <c r="LTS42">
        <f t="shared" si="175"/>
        <v>0</v>
      </c>
      <c r="LTT42">
        <f t="shared" si="175"/>
        <v>0</v>
      </c>
      <c r="LTU42">
        <f t="shared" si="175"/>
        <v>0</v>
      </c>
      <c r="LTV42">
        <f t="shared" si="175"/>
        <v>0</v>
      </c>
      <c r="LTW42">
        <f t="shared" si="175"/>
        <v>0</v>
      </c>
      <c r="LTX42">
        <f t="shared" si="175"/>
        <v>0</v>
      </c>
      <c r="LTY42">
        <f t="shared" si="175"/>
        <v>0</v>
      </c>
      <c r="LTZ42">
        <f t="shared" si="175"/>
        <v>0</v>
      </c>
      <c r="LUA42">
        <f t="shared" si="175"/>
        <v>0</v>
      </c>
      <c r="LUB42">
        <f t="shared" si="175"/>
        <v>0</v>
      </c>
      <c r="LUC42">
        <f t="shared" si="175"/>
        <v>0</v>
      </c>
      <c r="LUD42">
        <f t="shared" si="175"/>
        <v>0</v>
      </c>
      <c r="LUE42">
        <f t="shared" si="175"/>
        <v>0</v>
      </c>
      <c r="LUF42">
        <f t="shared" si="175"/>
        <v>0</v>
      </c>
      <c r="LUG42">
        <f t="shared" si="175"/>
        <v>0</v>
      </c>
      <c r="LUH42">
        <f t="shared" si="175"/>
        <v>0</v>
      </c>
      <c r="LUI42">
        <f t="shared" si="175"/>
        <v>0</v>
      </c>
      <c r="LUJ42">
        <f t="shared" si="175"/>
        <v>0</v>
      </c>
      <c r="LUK42">
        <f t="shared" si="175"/>
        <v>0</v>
      </c>
      <c r="LUL42">
        <f t="shared" si="175"/>
        <v>0</v>
      </c>
      <c r="LUM42">
        <f t="shared" si="175"/>
        <v>0</v>
      </c>
      <c r="LUN42">
        <f t="shared" si="175"/>
        <v>0</v>
      </c>
      <c r="LUO42">
        <f t="shared" si="175"/>
        <v>0</v>
      </c>
      <c r="LUP42">
        <f t="shared" si="175"/>
        <v>0</v>
      </c>
      <c r="LUQ42">
        <f t="shared" si="175"/>
        <v>0</v>
      </c>
      <c r="LUR42">
        <f t="shared" si="175"/>
        <v>0</v>
      </c>
      <c r="LUS42">
        <f t="shared" si="175"/>
        <v>0</v>
      </c>
      <c r="LUT42">
        <f t="shared" si="175"/>
        <v>0</v>
      </c>
      <c r="LUU42">
        <f t="shared" si="175"/>
        <v>0</v>
      </c>
      <c r="LUV42">
        <f t="shared" si="175"/>
        <v>0</v>
      </c>
      <c r="LUW42">
        <f t="shared" si="175"/>
        <v>0</v>
      </c>
      <c r="LUX42">
        <f t="shared" si="175"/>
        <v>0</v>
      </c>
      <c r="LUY42">
        <f t="shared" si="175"/>
        <v>0</v>
      </c>
      <c r="LUZ42">
        <f t="shared" si="175"/>
        <v>0</v>
      </c>
      <c r="LVA42">
        <f t="shared" si="175"/>
        <v>0</v>
      </c>
      <c r="LVB42">
        <f t="shared" si="175"/>
        <v>0</v>
      </c>
      <c r="LVC42">
        <f t="shared" si="175"/>
        <v>0</v>
      </c>
      <c r="LVD42">
        <f t="shared" si="175"/>
        <v>0</v>
      </c>
      <c r="LVE42">
        <f t="shared" si="175"/>
        <v>0</v>
      </c>
      <c r="LVF42">
        <f t="shared" si="175"/>
        <v>0</v>
      </c>
      <c r="LVG42">
        <f t="shared" si="175"/>
        <v>0</v>
      </c>
      <c r="LVH42">
        <f t="shared" si="175"/>
        <v>0</v>
      </c>
      <c r="LVI42">
        <f t="shared" si="175"/>
        <v>0</v>
      </c>
      <c r="LVJ42">
        <f t="shared" si="175"/>
        <v>0</v>
      </c>
      <c r="LVK42">
        <f t="shared" si="175"/>
        <v>0</v>
      </c>
      <c r="LVL42">
        <f t="shared" si="175"/>
        <v>0</v>
      </c>
      <c r="LVM42">
        <f t="shared" si="175"/>
        <v>0</v>
      </c>
      <c r="LVN42">
        <f t="shared" si="175"/>
        <v>0</v>
      </c>
      <c r="LVO42">
        <f t="shared" si="175"/>
        <v>0</v>
      </c>
      <c r="LVP42">
        <f t="shared" si="175"/>
        <v>0</v>
      </c>
      <c r="LVQ42">
        <f t="shared" si="175"/>
        <v>0</v>
      </c>
      <c r="LVR42">
        <f t="shared" ref="LVR42:LYC43" si="176">LVR41*1.6*1.2</f>
        <v>0</v>
      </c>
      <c r="LVS42">
        <f t="shared" si="176"/>
        <v>0</v>
      </c>
      <c r="LVT42">
        <f t="shared" si="176"/>
        <v>0</v>
      </c>
      <c r="LVU42">
        <f t="shared" si="176"/>
        <v>0</v>
      </c>
      <c r="LVV42">
        <f t="shared" si="176"/>
        <v>0</v>
      </c>
      <c r="LVW42">
        <f t="shared" si="176"/>
        <v>0</v>
      </c>
      <c r="LVX42">
        <f t="shared" si="176"/>
        <v>0</v>
      </c>
      <c r="LVY42">
        <f t="shared" si="176"/>
        <v>0</v>
      </c>
      <c r="LVZ42">
        <f t="shared" si="176"/>
        <v>0</v>
      </c>
      <c r="LWA42">
        <f t="shared" si="176"/>
        <v>0</v>
      </c>
      <c r="LWB42">
        <f t="shared" si="176"/>
        <v>0</v>
      </c>
      <c r="LWC42">
        <f t="shared" si="176"/>
        <v>0</v>
      </c>
      <c r="LWD42">
        <f t="shared" si="176"/>
        <v>0</v>
      </c>
      <c r="LWE42">
        <f t="shared" si="176"/>
        <v>0</v>
      </c>
      <c r="LWF42">
        <f t="shared" si="176"/>
        <v>0</v>
      </c>
      <c r="LWG42">
        <f t="shared" si="176"/>
        <v>0</v>
      </c>
      <c r="LWH42">
        <f t="shared" si="176"/>
        <v>0</v>
      </c>
      <c r="LWI42">
        <f t="shared" si="176"/>
        <v>0</v>
      </c>
      <c r="LWJ42">
        <f t="shared" si="176"/>
        <v>0</v>
      </c>
      <c r="LWK42">
        <f t="shared" si="176"/>
        <v>0</v>
      </c>
      <c r="LWL42">
        <f t="shared" si="176"/>
        <v>0</v>
      </c>
      <c r="LWM42">
        <f t="shared" si="176"/>
        <v>0</v>
      </c>
      <c r="LWN42">
        <f t="shared" si="176"/>
        <v>0</v>
      </c>
      <c r="LWO42">
        <f t="shared" si="176"/>
        <v>0</v>
      </c>
      <c r="LWP42">
        <f t="shared" si="176"/>
        <v>0</v>
      </c>
      <c r="LWQ42">
        <f t="shared" si="176"/>
        <v>0</v>
      </c>
      <c r="LWR42">
        <f t="shared" si="176"/>
        <v>0</v>
      </c>
      <c r="LWS42">
        <f t="shared" si="176"/>
        <v>0</v>
      </c>
      <c r="LWT42">
        <f t="shared" si="176"/>
        <v>0</v>
      </c>
      <c r="LWU42">
        <f t="shared" si="176"/>
        <v>0</v>
      </c>
      <c r="LWV42">
        <f t="shared" si="176"/>
        <v>0</v>
      </c>
      <c r="LWW42">
        <f t="shared" si="176"/>
        <v>0</v>
      </c>
      <c r="LWX42">
        <f t="shared" si="176"/>
        <v>0</v>
      </c>
      <c r="LWY42">
        <f t="shared" si="176"/>
        <v>0</v>
      </c>
      <c r="LWZ42">
        <f t="shared" si="176"/>
        <v>0</v>
      </c>
      <c r="LXA42">
        <f t="shared" si="176"/>
        <v>0</v>
      </c>
      <c r="LXB42">
        <f t="shared" si="176"/>
        <v>0</v>
      </c>
      <c r="LXC42">
        <f t="shared" si="176"/>
        <v>0</v>
      </c>
      <c r="LXD42">
        <f t="shared" si="176"/>
        <v>0</v>
      </c>
      <c r="LXE42">
        <f t="shared" si="176"/>
        <v>0</v>
      </c>
      <c r="LXF42">
        <f t="shared" si="176"/>
        <v>0</v>
      </c>
      <c r="LXG42">
        <f t="shared" si="176"/>
        <v>0</v>
      </c>
      <c r="LXH42">
        <f t="shared" si="176"/>
        <v>0</v>
      </c>
      <c r="LXI42">
        <f t="shared" si="176"/>
        <v>0</v>
      </c>
      <c r="LXJ42">
        <f t="shared" si="176"/>
        <v>0</v>
      </c>
      <c r="LXK42">
        <f t="shared" si="176"/>
        <v>0</v>
      </c>
      <c r="LXL42">
        <f t="shared" si="176"/>
        <v>0</v>
      </c>
      <c r="LXM42">
        <f t="shared" si="176"/>
        <v>0</v>
      </c>
      <c r="LXN42">
        <f t="shared" si="176"/>
        <v>0</v>
      </c>
      <c r="LXO42">
        <f t="shared" si="176"/>
        <v>0</v>
      </c>
      <c r="LXP42">
        <f t="shared" si="176"/>
        <v>0</v>
      </c>
      <c r="LXQ42">
        <f t="shared" si="176"/>
        <v>0</v>
      </c>
      <c r="LXR42">
        <f t="shared" si="176"/>
        <v>0</v>
      </c>
      <c r="LXS42">
        <f t="shared" si="176"/>
        <v>0</v>
      </c>
      <c r="LXT42">
        <f t="shared" si="176"/>
        <v>0</v>
      </c>
      <c r="LXU42">
        <f t="shared" si="176"/>
        <v>0</v>
      </c>
      <c r="LXV42">
        <f t="shared" si="176"/>
        <v>0</v>
      </c>
      <c r="LXW42">
        <f t="shared" si="176"/>
        <v>0</v>
      </c>
      <c r="LXX42">
        <f t="shared" si="176"/>
        <v>0</v>
      </c>
      <c r="LXY42">
        <f t="shared" si="176"/>
        <v>0</v>
      </c>
      <c r="LXZ42">
        <f t="shared" si="176"/>
        <v>0</v>
      </c>
      <c r="LYA42">
        <f t="shared" si="176"/>
        <v>0</v>
      </c>
      <c r="LYB42">
        <f t="shared" si="176"/>
        <v>0</v>
      </c>
      <c r="LYC42">
        <f t="shared" si="176"/>
        <v>0</v>
      </c>
      <c r="LYD42">
        <f t="shared" ref="LYD42:MAO43" si="177">LYD41*1.6*1.2</f>
        <v>0</v>
      </c>
      <c r="LYE42">
        <f t="shared" si="177"/>
        <v>0</v>
      </c>
      <c r="LYF42">
        <f t="shared" si="177"/>
        <v>0</v>
      </c>
      <c r="LYG42">
        <f t="shared" si="177"/>
        <v>0</v>
      </c>
      <c r="LYH42">
        <f t="shared" si="177"/>
        <v>0</v>
      </c>
      <c r="LYI42">
        <f t="shared" si="177"/>
        <v>0</v>
      </c>
      <c r="LYJ42">
        <f t="shared" si="177"/>
        <v>0</v>
      </c>
      <c r="LYK42">
        <f t="shared" si="177"/>
        <v>0</v>
      </c>
      <c r="LYL42">
        <f t="shared" si="177"/>
        <v>0</v>
      </c>
      <c r="LYM42">
        <f t="shared" si="177"/>
        <v>0</v>
      </c>
      <c r="LYN42">
        <f t="shared" si="177"/>
        <v>0</v>
      </c>
      <c r="LYO42">
        <f t="shared" si="177"/>
        <v>0</v>
      </c>
      <c r="LYP42">
        <f t="shared" si="177"/>
        <v>0</v>
      </c>
      <c r="LYQ42">
        <f t="shared" si="177"/>
        <v>0</v>
      </c>
      <c r="LYR42">
        <f t="shared" si="177"/>
        <v>0</v>
      </c>
      <c r="LYS42">
        <f t="shared" si="177"/>
        <v>0</v>
      </c>
      <c r="LYT42">
        <f t="shared" si="177"/>
        <v>0</v>
      </c>
      <c r="LYU42">
        <f t="shared" si="177"/>
        <v>0</v>
      </c>
      <c r="LYV42">
        <f t="shared" si="177"/>
        <v>0</v>
      </c>
      <c r="LYW42">
        <f t="shared" si="177"/>
        <v>0</v>
      </c>
      <c r="LYX42">
        <f t="shared" si="177"/>
        <v>0</v>
      </c>
      <c r="LYY42">
        <f t="shared" si="177"/>
        <v>0</v>
      </c>
      <c r="LYZ42">
        <f t="shared" si="177"/>
        <v>0</v>
      </c>
      <c r="LZA42">
        <f t="shared" si="177"/>
        <v>0</v>
      </c>
      <c r="LZB42">
        <f t="shared" si="177"/>
        <v>0</v>
      </c>
      <c r="LZC42">
        <f t="shared" si="177"/>
        <v>0</v>
      </c>
      <c r="LZD42">
        <f t="shared" si="177"/>
        <v>0</v>
      </c>
      <c r="LZE42">
        <f t="shared" si="177"/>
        <v>0</v>
      </c>
      <c r="LZF42">
        <f t="shared" si="177"/>
        <v>0</v>
      </c>
      <c r="LZG42">
        <f t="shared" si="177"/>
        <v>0</v>
      </c>
      <c r="LZH42">
        <f t="shared" si="177"/>
        <v>0</v>
      </c>
      <c r="LZI42">
        <f t="shared" si="177"/>
        <v>0</v>
      </c>
      <c r="LZJ42">
        <f t="shared" si="177"/>
        <v>0</v>
      </c>
      <c r="LZK42">
        <f t="shared" si="177"/>
        <v>0</v>
      </c>
      <c r="LZL42">
        <f t="shared" si="177"/>
        <v>0</v>
      </c>
      <c r="LZM42">
        <f t="shared" si="177"/>
        <v>0</v>
      </c>
      <c r="LZN42">
        <f t="shared" si="177"/>
        <v>0</v>
      </c>
      <c r="LZO42">
        <f t="shared" si="177"/>
        <v>0</v>
      </c>
      <c r="LZP42">
        <f t="shared" si="177"/>
        <v>0</v>
      </c>
      <c r="LZQ42">
        <f t="shared" si="177"/>
        <v>0</v>
      </c>
      <c r="LZR42">
        <f t="shared" si="177"/>
        <v>0</v>
      </c>
      <c r="LZS42">
        <f t="shared" si="177"/>
        <v>0</v>
      </c>
      <c r="LZT42">
        <f t="shared" si="177"/>
        <v>0</v>
      </c>
      <c r="LZU42">
        <f t="shared" si="177"/>
        <v>0</v>
      </c>
      <c r="LZV42">
        <f t="shared" si="177"/>
        <v>0</v>
      </c>
      <c r="LZW42">
        <f t="shared" si="177"/>
        <v>0</v>
      </c>
      <c r="LZX42">
        <f t="shared" si="177"/>
        <v>0</v>
      </c>
      <c r="LZY42">
        <f t="shared" si="177"/>
        <v>0</v>
      </c>
      <c r="LZZ42">
        <f t="shared" si="177"/>
        <v>0</v>
      </c>
      <c r="MAA42">
        <f t="shared" si="177"/>
        <v>0</v>
      </c>
      <c r="MAB42">
        <f t="shared" si="177"/>
        <v>0</v>
      </c>
      <c r="MAC42">
        <f t="shared" si="177"/>
        <v>0</v>
      </c>
      <c r="MAD42">
        <f t="shared" si="177"/>
        <v>0</v>
      </c>
      <c r="MAE42">
        <f t="shared" si="177"/>
        <v>0</v>
      </c>
      <c r="MAF42">
        <f t="shared" si="177"/>
        <v>0</v>
      </c>
      <c r="MAG42">
        <f t="shared" si="177"/>
        <v>0</v>
      </c>
      <c r="MAH42">
        <f t="shared" si="177"/>
        <v>0</v>
      </c>
      <c r="MAI42">
        <f t="shared" si="177"/>
        <v>0</v>
      </c>
      <c r="MAJ42">
        <f t="shared" si="177"/>
        <v>0</v>
      </c>
      <c r="MAK42">
        <f t="shared" si="177"/>
        <v>0</v>
      </c>
      <c r="MAL42">
        <f t="shared" si="177"/>
        <v>0</v>
      </c>
      <c r="MAM42">
        <f t="shared" si="177"/>
        <v>0</v>
      </c>
      <c r="MAN42">
        <f t="shared" si="177"/>
        <v>0</v>
      </c>
      <c r="MAO42">
        <f t="shared" si="177"/>
        <v>0</v>
      </c>
      <c r="MAP42">
        <f t="shared" ref="MAP42:MDA43" si="178">MAP41*1.6*1.2</f>
        <v>0</v>
      </c>
      <c r="MAQ42">
        <f t="shared" si="178"/>
        <v>0</v>
      </c>
      <c r="MAR42">
        <f t="shared" si="178"/>
        <v>0</v>
      </c>
      <c r="MAS42">
        <f t="shared" si="178"/>
        <v>0</v>
      </c>
      <c r="MAT42">
        <f t="shared" si="178"/>
        <v>0</v>
      </c>
      <c r="MAU42">
        <f t="shared" si="178"/>
        <v>0</v>
      </c>
      <c r="MAV42">
        <f t="shared" si="178"/>
        <v>0</v>
      </c>
      <c r="MAW42">
        <f t="shared" si="178"/>
        <v>0</v>
      </c>
      <c r="MAX42">
        <f t="shared" si="178"/>
        <v>0</v>
      </c>
      <c r="MAY42">
        <f t="shared" si="178"/>
        <v>0</v>
      </c>
      <c r="MAZ42">
        <f t="shared" si="178"/>
        <v>0</v>
      </c>
      <c r="MBA42">
        <f t="shared" si="178"/>
        <v>0</v>
      </c>
      <c r="MBB42">
        <f t="shared" si="178"/>
        <v>0</v>
      </c>
      <c r="MBC42">
        <f t="shared" si="178"/>
        <v>0</v>
      </c>
      <c r="MBD42">
        <f t="shared" si="178"/>
        <v>0</v>
      </c>
      <c r="MBE42">
        <f t="shared" si="178"/>
        <v>0</v>
      </c>
      <c r="MBF42">
        <f t="shared" si="178"/>
        <v>0</v>
      </c>
      <c r="MBG42">
        <f t="shared" si="178"/>
        <v>0</v>
      </c>
      <c r="MBH42">
        <f t="shared" si="178"/>
        <v>0</v>
      </c>
      <c r="MBI42">
        <f t="shared" si="178"/>
        <v>0</v>
      </c>
      <c r="MBJ42">
        <f t="shared" si="178"/>
        <v>0</v>
      </c>
      <c r="MBK42">
        <f t="shared" si="178"/>
        <v>0</v>
      </c>
      <c r="MBL42">
        <f t="shared" si="178"/>
        <v>0</v>
      </c>
      <c r="MBM42">
        <f t="shared" si="178"/>
        <v>0</v>
      </c>
      <c r="MBN42">
        <f t="shared" si="178"/>
        <v>0</v>
      </c>
      <c r="MBO42">
        <f t="shared" si="178"/>
        <v>0</v>
      </c>
      <c r="MBP42">
        <f t="shared" si="178"/>
        <v>0</v>
      </c>
      <c r="MBQ42">
        <f t="shared" si="178"/>
        <v>0</v>
      </c>
      <c r="MBR42">
        <f t="shared" si="178"/>
        <v>0</v>
      </c>
      <c r="MBS42">
        <f t="shared" si="178"/>
        <v>0</v>
      </c>
      <c r="MBT42">
        <f t="shared" si="178"/>
        <v>0</v>
      </c>
      <c r="MBU42">
        <f t="shared" si="178"/>
        <v>0</v>
      </c>
      <c r="MBV42">
        <f t="shared" si="178"/>
        <v>0</v>
      </c>
      <c r="MBW42">
        <f t="shared" si="178"/>
        <v>0</v>
      </c>
      <c r="MBX42">
        <f t="shared" si="178"/>
        <v>0</v>
      </c>
      <c r="MBY42">
        <f t="shared" si="178"/>
        <v>0</v>
      </c>
      <c r="MBZ42">
        <f t="shared" si="178"/>
        <v>0</v>
      </c>
      <c r="MCA42">
        <f t="shared" si="178"/>
        <v>0</v>
      </c>
      <c r="MCB42">
        <f t="shared" si="178"/>
        <v>0</v>
      </c>
      <c r="MCC42">
        <f t="shared" si="178"/>
        <v>0</v>
      </c>
      <c r="MCD42">
        <f t="shared" si="178"/>
        <v>0</v>
      </c>
      <c r="MCE42">
        <f t="shared" si="178"/>
        <v>0</v>
      </c>
      <c r="MCF42">
        <f t="shared" si="178"/>
        <v>0</v>
      </c>
      <c r="MCG42">
        <f t="shared" si="178"/>
        <v>0</v>
      </c>
      <c r="MCH42">
        <f t="shared" si="178"/>
        <v>0</v>
      </c>
      <c r="MCI42">
        <f t="shared" si="178"/>
        <v>0</v>
      </c>
      <c r="MCJ42">
        <f t="shared" si="178"/>
        <v>0</v>
      </c>
      <c r="MCK42">
        <f t="shared" si="178"/>
        <v>0</v>
      </c>
      <c r="MCL42">
        <f t="shared" si="178"/>
        <v>0</v>
      </c>
      <c r="MCM42">
        <f t="shared" si="178"/>
        <v>0</v>
      </c>
      <c r="MCN42">
        <f t="shared" si="178"/>
        <v>0</v>
      </c>
      <c r="MCO42">
        <f t="shared" si="178"/>
        <v>0</v>
      </c>
      <c r="MCP42">
        <f t="shared" si="178"/>
        <v>0</v>
      </c>
      <c r="MCQ42">
        <f t="shared" si="178"/>
        <v>0</v>
      </c>
      <c r="MCR42">
        <f t="shared" si="178"/>
        <v>0</v>
      </c>
      <c r="MCS42">
        <f t="shared" si="178"/>
        <v>0</v>
      </c>
      <c r="MCT42">
        <f t="shared" si="178"/>
        <v>0</v>
      </c>
      <c r="MCU42">
        <f t="shared" si="178"/>
        <v>0</v>
      </c>
      <c r="MCV42">
        <f t="shared" si="178"/>
        <v>0</v>
      </c>
      <c r="MCW42">
        <f t="shared" si="178"/>
        <v>0</v>
      </c>
      <c r="MCX42">
        <f t="shared" si="178"/>
        <v>0</v>
      </c>
      <c r="MCY42">
        <f t="shared" si="178"/>
        <v>0</v>
      </c>
      <c r="MCZ42">
        <f t="shared" si="178"/>
        <v>0</v>
      </c>
      <c r="MDA42">
        <f t="shared" si="178"/>
        <v>0</v>
      </c>
      <c r="MDB42">
        <f t="shared" ref="MDB42:MFM43" si="179">MDB41*1.6*1.2</f>
        <v>0</v>
      </c>
      <c r="MDC42">
        <f t="shared" si="179"/>
        <v>0</v>
      </c>
      <c r="MDD42">
        <f t="shared" si="179"/>
        <v>0</v>
      </c>
      <c r="MDE42">
        <f t="shared" si="179"/>
        <v>0</v>
      </c>
      <c r="MDF42">
        <f t="shared" si="179"/>
        <v>0</v>
      </c>
      <c r="MDG42">
        <f t="shared" si="179"/>
        <v>0</v>
      </c>
      <c r="MDH42">
        <f t="shared" si="179"/>
        <v>0</v>
      </c>
      <c r="MDI42">
        <f t="shared" si="179"/>
        <v>0</v>
      </c>
      <c r="MDJ42">
        <f t="shared" si="179"/>
        <v>0</v>
      </c>
      <c r="MDK42">
        <f t="shared" si="179"/>
        <v>0</v>
      </c>
      <c r="MDL42">
        <f t="shared" si="179"/>
        <v>0</v>
      </c>
      <c r="MDM42">
        <f t="shared" si="179"/>
        <v>0</v>
      </c>
      <c r="MDN42">
        <f t="shared" si="179"/>
        <v>0</v>
      </c>
      <c r="MDO42">
        <f t="shared" si="179"/>
        <v>0</v>
      </c>
      <c r="MDP42">
        <f t="shared" si="179"/>
        <v>0</v>
      </c>
      <c r="MDQ42">
        <f t="shared" si="179"/>
        <v>0</v>
      </c>
      <c r="MDR42">
        <f t="shared" si="179"/>
        <v>0</v>
      </c>
      <c r="MDS42">
        <f t="shared" si="179"/>
        <v>0</v>
      </c>
      <c r="MDT42">
        <f t="shared" si="179"/>
        <v>0</v>
      </c>
      <c r="MDU42">
        <f t="shared" si="179"/>
        <v>0</v>
      </c>
      <c r="MDV42">
        <f t="shared" si="179"/>
        <v>0</v>
      </c>
      <c r="MDW42">
        <f t="shared" si="179"/>
        <v>0</v>
      </c>
      <c r="MDX42">
        <f t="shared" si="179"/>
        <v>0</v>
      </c>
      <c r="MDY42">
        <f t="shared" si="179"/>
        <v>0</v>
      </c>
      <c r="MDZ42">
        <f t="shared" si="179"/>
        <v>0</v>
      </c>
      <c r="MEA42">
        <f t="shared" si="179"/>
        <v>0</v>
      </c>
      <c r="MEB42">
        <f t="shared" si="179"/>
        <v>0</v>
      </c>
      <c r="MEC42">
        <f t="shared" si="179"/>
        <v>0</v>
      </c>
      <c r="MED42">
        <f t="shared" si="179"/>
        <v>0</v>
      </c>
      <c r="MEE42">
        <f t="shared" si="179"/>
        <v>0</v>
      </c>
      <c r="MEF42">
        <f t="shared" si="179"/>
        <v>0</v>
      </c>
      <c r="MEG42">
        <f t="shared" si="179"/>
        <v>0</v>
      </c>
      <c r="MEH42">
        <f t="shared" si="179"/>
        <v>0</v>
      </c>
      <c r="MEI42">
        <f t="shared" si="179"/>
        <v>0</v>
      </c>
      <c r="MEJ42">
        <f t="shared" si="179"/>
        <v>0</v>
      </c>
      <c r="MEK42">
        <f t="shared" si="179"/>
        <v>0</v>
      </c>
      <c r="MEL42">
        <f t="shared" si="179"/>
        <v>0</v>
      </c>
      <c r="MEM42">
        <f t="shared" si="179"/>
        <v>0</v>
      </c>
      <c r="MEN42">
        <f t="shared" si="179"/>
        <v>0</v>
      </c>
      <c r="MEO42">
        <f t="shared" si="179"/>
        <v>0</v>
      </c>
      <c r="MEP42">
        <f t="shared" si="179"/>
        <v>0</v>
      </c>
      <c r="MEQ42">
        <f t="shared" si="179"/>
        <v>0</v>
      </c>
      <c r="MER42">
        <f t="shared" si="179"/>
        <v>0</v>
      </c>
      <c r="MES42">
        <f t="shared" si="179"/>
        <v>0</v>
      </c>
      <c r="MET42">
        <f t="shared" si="179"/>
        <v>0</v>
      </c>
      <c r="MEU42">
        <f t="shared" si="179"/>
        <v>0</v>
      </c>
      <c r="MEV42">
        <f t="shared" si="179"/>
        <v>0</v>
      </c>
      <c r="MEW42">
        <f t="shared" si="179"/>
        <v>0</v>
      </c>
      <c r="MEX42">
        <f t="shared" si="179"/>
        <v>0</v>
      </c>
      <c r="MEY42">
        <f t="shared" si="179"/>
        <v>0</v>
      </c>
      <c r="MEZ42">
        <f t="shared" si="179"/>
        <v>0</v>
      </c>
      <c r="MFA42">
        <f t="shared" si="179"/>
        <v>0</v>
      </c>
      <c r="MFB42">
        <f t="shared" si="179"/>
        <v>0</v>
      </c>
      <c r="MFC42">
        <f t="shared" si="179"/>
        <v>0</v>
      </c>
      <c r="MFD42">
        <f t="shared" si="179"/>
        <v>0</v>
      </c>
      <c r="MFE42">
        <f t="shared" si="179"/>
        <v>0</v>
      </c>
      <c r="MFF42">
        <f t="shared" si="179"/>
        <v>0</v>
      </c>
      <c r="MFG42">
        <f t="shared" si="179"/>
        <v>0</v>
      </c>
      <c r="MFH42">
        <f t="shared" si="179"/>
        <v>0</v>
      </c>
      <c r="MFI42">
        <f t="shared" si="179"/>
        <v>0</v>
      </c>
      <c r="MFJ42">
        <f t="shared" si="179"/>
        <v>0</v>
      </c>
      <c r="MFK42">
        <f t="shared" si="179"/>
        <v>0</v>
      </c>
      <c r="MFL42">
        <f t="shared" si="179"/>
        <v>0</v>
      </c>
      <c r="MFM42">
        <f t="shared" si="179"/>
        <v>0</v>
      </c>
      <c r="MFN42">
        <f t="shared" ref="MFN42:MHY43" si="180">MFN41*1.6*1.2</f>
        <v>0</v>
      </c>
      <c r="MFO42">
        <f t="shared" si="180"/>
        <v>0</v>
      </c>
      <c r="MFP42">
        <f t="shared" si="180"/>
        <v>0</v>
      </c>
      <c r="MFQ42">
        <f t="shared" si="180"/>
        <v>0</v>
      </c>
      <c r="MFR42">
        <f t="shared" si="180"/>
        <v>0</v>
      </c>
      <c r="MFS42">
        <f t="shared" si="180"/>
        <v>0</v>
      </c>
      <c r="MFT42">
        <f t="shared" si="180"/>
        <v>0</v>
      </c>
      <c r="MFU42">
        <f t="shared" si="180"/>
        <v>0</v>
      </c>
      <c r="MFV42">
        <f t="shared" si="180"/>
        <v>0</v>
      </c>
      <c r="MFW42">
        <f t="shared" si="180"/>
        <v>0</v>
      </c>
      <c r="MFX42">
        <f t="shared" si="180"/>
        <v>0</v>
      </c>
      <c r="MFY42">
        <f t="shared" si="180"/>
        <v>0</v>
      </c>
      <c r="MFZ42">
        <f t="shared" si="180"/>
        <v>0</v>
      </c>
      <c r="MGA42">
        <f t="shared" si="180"/>
        <v>0</v>
      </c>
      <c r="MGB42">
        <f t="shared" si="180"/>
        <v>0</v>
      </c>
      <c r="MGC42">
        <f t="shared" si="180"/>
        <v>0</v>
      </c>
      <c r="MGD42">
        <f t="shared" si="180"/>
        <v>0</v>
      </c>
      <c r="MGE42">
        <f t="shared" si="180"/>
        <v>0</v>
      </c>
      <c r="MGF42">
        <f t="shared" si="180"/>
        <v>0</v>
      </c>
      <c r="MGG42">
        <f t="shared" si="180"/>
        <v>0</v>
      </c>
      <c r="MGH42">
        <f t="shared" si="180"/>
        <v>0</v>
      </c>
      <c r="MGI42">
        <f t="shared" si="180"/>
        <v>0</v>
      </c>
      <c r="MGJ42">
        <f t="shared" si="180"/>
        <v>0</v>
      </c>
      <c r="MGK42">
        <f t="shared" si="180"/>
        <v>0</v>
      </c>
      <c r="MGL42">
        <f t="shared" si="180"/>
        <v>0</v>
      </c>
      <c r="MGM42">
        <f t="shared" si="180"/>
        <v>0</v>
      </c>
      <c r="MGN42">
        <f t="shared" si="180"/>
        <v>0</v>
      </c>
      <c r="MGO42">
        <f t="shared" si="180"/>
        <v>0</v>
      </c>
      <c r="MGP42">
        <f t="shared" si="180"/>
        <v>0</v>
      </c>
      <c r="MGQ42">
        <f t="shared" si="180"/>
        <v>0</v>
      </c>
      <c r="MGR42">
        <f t="shared" si="180"/>
        <v>0</v>
      </c>
      <c r="MGS42">
        <f t="shared" si="180"/>
        <v>0</v>
      </c>
      <c r="MGT42">
        <f t="shared" si="180"/>
        <v>0</v>
      </c>
      <c r="MGU42">
        <f t="shared" si="180"/>
        <v>0</v>
      </c>
      <c r="MGV42">
        <f t="shared" si="180"/>
        <v>0</v>
      </c>
      <c r="MGW42">
        <f t="shared" si="180"/>
        <v>0</v>
      </c>
      <c r="MGX42">
        <f t="shared" si="180"/>
        <v>0</v>
      </c>
      <c r="MGY42">
        <f t="shared" si="180"/>
        <v>0</v>
      </c>
      <c r="MGZ42">
        <f t="shared" si="180"/>
        <v>0</v>
      </c>
      <c r="MHA42">
        <f t="shared" si="180"/>
        <v>0</v>
      </c>
      <c r="MHB42">
        <f t="shared" si="180"/>
        <v>0</v>
      </c>
      <c r="MHC42">
        <f t="shared" si="180"/>
        <v>0</v>
      </c>
      <c r="MHD42">
        <f t="shared" si="180"/>
        <v>0</v>
      </c>
      <c r="MHE42">
        <f t="shared" si="180"/>
        <v>0</v>
      </c>
      <c r="MHF42">
        <f t="shared" si="180"/>
        <v>0</v>
      </c>
      <c r="MHG42">
        <f t="shared" si="180"/>
        <v>0</v>
      </c>
      <c r="MHH42">
        <f t="shared" si="180"/>
        <v>0</v>
      </c>
      <c r="MHI42">
        <f t="shared" si="180"/>
        <v>0</v>
      </c>
      <c r="MHJ42">
        <f t="shared" si="180"/>
        <v>0</v>
      </c>
      <c r="MHK42">
        <f t="shared" si="180"/>
        <v>0</v>
      </c>
      <c r="MHL42">
        <f t="shared" si="180"/>
        <v>0</v>
      </c>
      <c r="MHM42">
        <f t="shared" si="180"/>
        <v>0</v>
      </c>
      <c r="MHN42">
        <f t="shared" si="180"/>
        <v>0</v>
      </c>
      <c r="MHO42">
        <f t="shared" si="180"/>
        <v>0</v>
      </c>
      <c r="MHP42">
        <f t="shared" si="180"/>
        <v>0</v>
      </c>
      <c r="MHQ42">
        <f t="shared" si="180"/>
        <v>0</v>
      </c>
      <c r="MHR42">
        <f t="shared" si="180"/>
        <v>0</v>
      </c>
      <c r="MHS42">
        <f t="shared" si="180"/>
        <v>0</v>
      </c>
      <c r="MHT42">
        <f t="shared" si="180"/>
        <v>0</v>
      </c>
      <c r="MHU42">
        <f t="shared" si="180"/>
        <v>0</v>
      </c>
      <c r="MHV42">
        <f t="shared" si="180"/>
        <v>0</v>
      </c>
      <c r="MHW42">
        <f t="shared" si="180"/>
        <v>0</v>
      </c>
      <c r="MHX42">
        <f t="shared" si="180"/>
        <v>0</v>
      </c>
      <c r="MHY42">
        <f t="shared" si="180"/>
        <v>0</v>
      </c>
      <c r="MHZ42">
        <f t="shared" ref="MHZ42:MKK43" si="181">MHZ41*1.6*1.2</f>
        <v>0</v>
      </c>
      <c r="MIA42">
        <f t="shared" si="181"/>
        <v>0</v>
      </c>
      <c r="MIB42">
        <f t="shared" si="181"/>
        <v>0</v>
      </c>
      <c r="MIC42">
        <f t="shared" si="181"/>
        <v>0</v>
      </c>
      <c r="MID42">
        <f t="shared" si="181"/>
        <v>0</v>
      </c>
      <c r="MIE42">
        <f t="shared" si="181"/>
        <v>0</v>
      </c>
      <c r="MIF42">
        <f t="shared" si="181"/>
        <v>0</v>
      </c>
      <c r="MIG42">
        <f t="shared" si="181"/>
        <v>0</v>
      </c>
      <c r="MIH42">
        <f t="shared" si="181"/>
        <v>0</v>
      </c>
      <c r="MII42">
        <f t="shared" si="181"/>
        <v>0</v>
      </c>
      <c r="MIJ42">
        <f t="shared" si="181"/>
        <v>0</v>
      </c>
      <c r="MIK42">
        <f t="shared" si="181"/>
        <v>0</v>
      </c>
      <c r="MIL42">
        <f t="shared" si="181"/>
        <v>0</v>
      </c>
      <c r="MIM42">
        <f t="shared" si="181"/>
        <v>0</v>
      </c>
      <c r="MIN42">
        <f t="shared" si="181"/>
        <v>0</v>
      </c>
      <c r="MIO42">
        <f t="shared" si="181"/>
        <v>0</v>
      </c>
      <c r="MIP42">
        <f t="shared" si="181"/>
        <v>0</v>
      </c>
      <c r="MIQ42">
        <f t="shared" si="181"/>
        <v>0</v>
      </c>
      <c r="MIR42">
        <f t="shared" si="181"/>
        <v>0</v>
      </c>
      <c r="MIS42">
        <f t="shared" si="181"/>
        <v>0</v>
      </c>
      <c r="MIT42">
        <f t="shared" si="181"/>
        <v>0</v>
      </c>
      <c r="MIU42">
        <f t="shared" si="181"/>
        <v>0</v>
      </c>
      <c r="MIV42">
        <f t="shared" si="181"/>
        <v>0</v>
      </c>
      <c r="MIW42">
        <f t="shared" si="181"/>
        <v>0</v>
      </c>
      <c r="MIX42">
        <f t="shared" si="181"/>
        <v>0</v>
      </c>
      <c r="MIY42">
        <f t="shared" si="181"/>
        <v>0</v>
      </c>
      <c r="MIZ42">
        <f t="shared" si="181"/>
        <v>0</v>
      </c>
      <c r="MJA42">
        <f t="shared" si="181"/>
        <v>0</v>
      </c>
      <c r="MJB42">
        <f t="shared" si="181"/>
        <v>0</v>
      </c>
      <c r="MJC42">
        <f t="shared" si="181"/>
        <v>0</v>
      </c>
      <c r="MJD42">
        <f t="shared" si="181"/>
        <v>0</v>
      </c>
      <c r="MJE42">
        <f t="shared" si="181"/>
        <v>0</v>
      </c>
      <c r="MJF42">
        <f t="shared" si="181"/>
        <v>0</v>
      </c>
      <c r="MJG42">
        <f t="shared" si="181"/>
        <v>0</v>
      </c>
      <c r="MJH42">
        <f t="shared" si="181"/>
        <v>0</v>
      </c>
      <c r="MJI42">
        <f t="shared" si="181"/>
        <v>0</v>
      </c>
      <c r="MJJ42">
        <f t="shared" si="181"/>
        <v>0</v>
      </c>
      <c r="MJK42">
        <f t="shared" si="181"/>
        <v>0</v>
      </c>
      <c r="MJL42">
        <f t="shared" si="181"/>
        <v>0</v>
      </c>
      <c r="MJM42">
        <f t="shared" si="181"/>
        <v>0</v>
      </c>
      <c r="MJN42">
        <f t="shared" si="181"/>
        <v>0</v>
      </c>
      <c r="MJO42">
        <f t="shared" si="181"/>
        <v>0</v>
      </c>
      <c r="MJP42">
        <f t="shared" si="181"/>
        <v>0</v>
      </c>
      <c r="MJQ42">
        <f t="shared" si="181"/>
        <v>0</v>
      </c>
      <c r="MJR42">
        <f t="shared" si="181"/>
        <v>0</v>
      </c>
      <c r="MJS42">
        <f t="shared" si="181"/>
        <v>0</v>
      </c>
      <c r="MJT42">
        <f t="shared" si="181"/>
        <v>0</v>
      </c>
      <c r="MJU42">
        <f t="shared" si="181"/>
        <v>0</v>
      </c>
      <c r="MJV42">
        <f t="shared" si="181"/>
        <v>0</v>
      </c>
      <c r="MJW42">
        <f t="shared" si="181"/>
        <v>0</v>
      </c>
      <c r="MJX42">
        <f t="shared" si="181"/>
        <v>0</v>
      </c>
      <c r="MJY42">
        <f t="shared" si="181"/>
        <v>0</v>
      </c>
      <c r="MJZ42">
        <f t="shared" si="181"/>
        <v>0</v>
      </c>
      <c r="MKA42">
        <f t="shared" si="181"/>
        <v>0</v>
      </c>
      <c r="MKB42">
        <f t="shared" si="181"/>
        <v>0</v>
      </c>
      <c r="MKC42">
        <f t="shared" si="181"/>
        <v>0</v>
      </c>
      <c r="MKD42">
        <f t="shared" si="181"/>
        <v>0</v>
      </c>
      <c r="MKE42">
        <f t="shared" si="181"/>
        <v>0</v>
      </c>
      <c r="MKF42">
        <f t="shared" si="181"/>
        <v>0</v>
      </c>
      <c r="MKG42">
        <f t="shared" si="181"/>
        <v>0</v>
      </c>
      <c r="MKH42">
        <f t="shared" si="181"/>
        <v>0</v>
      </c>
      <c r="MKI42">
        <f t="shared" si="181"/>
        <v>0</v>
      </c>
      <c r="MKJ42">
        <f t="shared" si="181"/>
        <v>0</v>
      </c>
      <c r="MKK42">
        <f t="shared" si="181"/>
        <v>0</v>
      </c>
      <c r="MKL42">
        <f t="shared" ref="MKL42:MMW43" si="182">MKL41*1.6*1.2</f>
        <v>0</v>
      </c>
      <c r="MKM42">
        <f t="shared" si="182"/>
        <v>0</v>
      </c>
      <c r="MKN42">
        <f t="shared" si="182"/>
        <v>0</v>
      </c>
      <c r="MKO42">
        <f t="shared" si="182"/>
        <v>0</v>
      </c>
      <c r="MKP42">
        <f t="shared" si="182"/>
        <v>0</v>
      </c>
      <c r="MKQ42">
        <f t="shared" si="182"/>
        <v>0</v>
      </c>
      <c r="MKR42">
        <f t="shared" si="182"/>
        <v>0</v>
      </c>
      <c r="MKS42">
        <f t="shared" si="182"/>
        <v>0</v>
      </c>
      <c r="MKT42">
        <f t="shared" si="182"/>
        <v>0</v>
      </c>
      <c r="MKU42">
        <f t="shared" si="182"/>
        <v>0</v>
      </c>
      <c r="MKV42">
        <f t="shared" si="182"/>
        <v>0</v>
      </c>
      <c r="MKW42">
        <f t="shared" si="182"/>
        <v>0</v>
      </c>
      <c r="MKX42">
        <f t="shared" si="182"/>
        <v>0</v>
      </c>
      <c r="MKY42">
        <f t="shared" si="182"/>
        <v>0</v>
      </c>
      <c r="MKZ42">
        <f t="shared" si="182"/>
        <v>0</v>
      </c>
      <c r="MLA42">
        <f t="shared" si="182"/>
        <v>0</v>
      </c>
      <c r="MLB42">
        <f t="shared" si="182"/>
        <v>0</v>
      </c>
      <c r="MLC42">
        <f t="shared" si="182"/>
        <v>0</v>
      </c>
      <c r="MLD42">
        <f t="shared" si="182"/>
        <v>0</v>
      </c>
      <c r="MLE42">
        <f t="shared" si="182"/>
        <v>0</v>
      </c>
      <c r="MLF42">
        <f t="shared" si="182"/>
        <v>0</v>
      </c>
      <c r="MLG42">
        <f t="shared" si="182"/>
        <v>0</v>
      </c>
      <c r="MLH42">
        <f t="shared" si="182"/>
        <v>0</v>
      </c>
      <c r="MLI42">
        <f t="shared" si="182"/>
        <v>0</v>
      </c>
      <c r="MLJ42">
        <f t="shared" si="182"/>
        <v>0</v>
      </c>
      <c r="MLK42">
        <f t="shared" si="182"/>
        <v>0</v>
      </c>
      <c r="MLL42">
        <f t="shared" si="182"/>
        <v>0</v>
      </c>
      <c r="MLM42">
        <f t="shared" si="182"/>
        <v>0</v>
      </c>
      <c r="MLN42">
        <f t="shared" si="182"/>
        <v>0</v>
      </c>
      <c r="MLO42">
        <f t="shared" si="182"/>
        <v>0</v>
      </c>
      <c r="MLP42">
        <f t="shared" si="182"/>
        <v>0</v>
      </c>
      <c r="MLQ42">
        <f t="shared" si="182"/>
        <v>0</v>
      </c>
      <c r="MLR42">
        <f t="shared" si="182"/>
        <v>0</v>
      </c>
      <c r="MLS42">
        <f t="shared" si="182"/>
        <v>0</v>
      </c>
      <c r="MLT42">
        <f t="shared" si="182"/>
        <v>0</v>
      </c>
      <c r="MLU42">
        <f t="shared" si="182"/>
        <v>0</v>
      </c>
      <c r="MLV42">
        <f t="shared" si="182"/>
        <v>0</v>
      </c>
      <c r="MLW42">
        <f t="shared" si="182"/>
        <v>0</v>
      </c>
      <c r="MLX42">
        <f t="shared" si="182"/>
        <v>0</v>
      </c>
      <c r="MLY42">
        <f t="shared" si="182"/>
        <v>0</v>
      </c>
      <c r="MLZ42">
        <f t="shared" si="182"/>
        <v>0</v>
      </c>
      <c r="MMA42">
        <f t="shared" si="182"/>
        <v>0</v>
      </c>
      <c r="MMB42">
        <f t="shared" si="182"/>
        <v>0</v>
      </c>
      <c r="MMC42">
        <f t="shared" si="182"/>
        <v>0</v>
      </c>
      <c r="MMD42">
        <f t="shared" si="182"/>
        <v>0</v>
      </c>
      <c r="MME42">
        <f t="shared" si="182"/>
        <v>0</v>
      </c>
      <c r="MMF42">
        <f t="shared" si="182"/>
        <v>0</v>
      </c>
      <c r="MMG42">
        <f t="shared" si="182"/>
        <v>0</v>
      </c>
      <c r="MMH42">
        <f t="shared" si="182"/>
        <v>0</v>
      </c>
      <c r="MMI42">
        <f t="shared" si="182"/>
        <v>0</v>
      </c>
      <c r="MMJ42">
        <f t="shared" si="182"/>
        <v>0</v>
      </c>
      <c r="MMK42">
        <f t="shared" si="182"/>
        <v>0</v>
      </c>
      <c r="MML42">
        <f t="shared" si="182"/>
        <v>0</v>
      </c>
      <c r="MMM42">
        <f t="shared" si="182"/>
        <v>0</v>
      </c>
      <c r="MMN42">
        <f t="shared" si="182"/>
        <v>0</v>
      </c>
      <c r="MMO42">
        <f t="shared" si="182"/>
        <v>0</v>
      </c>
      <c r="MMP42">
        <f t="shared" si="182"/>
        <v>0</v>
      </c>
      <c r="MMQ42">
        <f t="shared" si="182"/>
        <v>0</v>
      </c>
      <c r="MMR42">
        <f t="shared" si="182"/>
        <v>0</v>
      </c>
      <c r="MMS42">
        <f t="shared" si="182"/>
        <v>0</v>
      </c>
      <c r="MMT42">
        <f t="shared" si="182"/>
        <v>0</v>
      </c>
      <c r="MMU42">
        <f t="shared" si="182"/>
        <v>0</v>
      </c>
      <c r="MMV42">
        <f t="shared" si="182"/>
        <v>0</v>
      </c>
      <c r="MMW42">
        <f t="shared" si="182"/>
        <v>0</v>
      </c>
      <c r="MMX42">
        <f t="shared" ref="MMX42:MPI43" si="183">MMX41*1.6*1.2</f>
        <v>0</v>
      </c>
      <c r="MMY42">
        <f t="shared" si="183"/>
        <v>0</v>
      </c>
      <c r="MMZ42">
        <f t="shared" si="183"/>
        <v>0</v>
      </c>
      <c r="MNA42">
        <f t="shared" si="183"/>
        <v>0</v>
      </c>
      <c r="MNB42">
        <f t="shared" si="183"/>
        <v>0</v>
      </c>
      <c r="MNC42">
        <f t="shared" si="183"/>
        <v>0</v>
      </c>
      <c r="MND42">
        <f t="shared" si="183"/>
        <v>0</v>
      </c>
      <c r="MNE42">
        <f t="shared" si="183"/>
        <v>0</v>
      </c>
      <c r="MNF42">
        <f t="shared" si="183"/>
        <v>0</v>
      </c>
      <c r="MNG42">
        <f t="shared" si="183"/>
        <v>0</v>
      </c>
      <c r="MNH42">
        <f t="shared" si="183"/>
        <v>0</v>
      </c>
      <c r="MNI42">
        <f t="shared" si="183"/>
        <v>0</v>
      </c>
      <c r="MNJ42">
        <f t="shared" si="183"/>
        <v>0</v>
      </c>
      <c r="MNK42">
        <f t="shared" si="183"/>
        <v>0</v>
      </c>
      <c r="MNL42">
        <f t="shared" si="183"/>
        <v>0</v>
      </c>
      <c r="MNM42">
        <f t="shared" si="183"/>
        <v>0</v>
      </c>
      <c r="MNN42">
        <f t="shared" si="183"/>
        <v>0</v>
      </c>
      <c r="MNO42">
        <f t="shared" si="183"/>
        <v>0</v>
      </c>
      <c r="MNP42">
        <f t="shared" si="183"/>
        <v>0</v>
      </c>
      <c r="MNQ42">
        <f t="shared" si="183"/>
        <v>0</v>
      </c>
      <c r="MNR42">
        <f t="shared" si="183"/>
        <v>0</v>
      </c>
      <c r="MNS42">
        <f t="shared" si="183"/>
        <v>0</v>
      </c>
      <c r="MNT42">
        <f t="shared" si="183"/>
        <v>0</v>
      </c>
      <c r="MNU42">
        <f t="shared" si="183"/>
        <v>0</v>
      </c>
      <c r="MNV42">
        <f t="shared" si="183"/>
        <v>0</v>
      </c>
      <c r="MNW42">
        <f t="shared" si="183"/>
        <v>0</v>
      </c>
      <c r="MNX42">
        <f t="shared" si="183"/>
        <v>0</v>
      </c>
      <c r="MNY42">
        <f t="shared" si="183"/>
        <v>0</v>
      </c>
      <c r="MNZ42">
        <f t="shared" si="183"/>
        <v>0</v>
      </c>
      <c r="MOA42">
        <f t="shared" si="183"/>
        <v>0</v>
      </c>
      <c r="MOB42">
        <f t="shared" si="183"/>
        <v>0</v>
      </c>
      <c r="MOC42">
        <f t="shared" si="183"/>
        <v>0</v>
      </c>
      <c r="MOD42">
        <f t="shared" si="183"/>
        <v>0</v>
      </c>
      <c r="MOE42">
        <f t="shared" si="183"/>
        <v>0</v>
      </c>
      <c r="MOF42">
        <f t="shared" si="183"/>
        <v>0</v>
      </c>
      <c r="MOG42">
        <f t="shared" si="183"/>
        <v>0</v>
      </c>
      <c r="MOH42">
        <f t="shared" si="183"/>
        <v>0</v>
      </c>
      <c r="MOI42">
        <f t="shared" si="183"/>
        <v>0</v>
      </c>
      <c r="MOJ42">
        <f t="shared" si="183"/>
        <v>0</v>
      </c>
      <c r="MOK42">
        <f t="shared" si="183"/>
        <v>0</v>
      </c>
      <c r="MOL42">
        <f t="shared" si="183"/>
        <v>0</v>
      </c>
      <c r="MOM42">
        <f t="shared" si="183"/>
        <v>0</v>
      </c>
      <c r="MON42">
        <f t="shared" si="183"/>
        <v>0</v>
      </c>
      <c r="MOO42">
        <f t="shared" si="183"/>
        <v>0</v>
      </c>
      <c r="MOP42">
        <f t="shared" si="183"/>
        <v>0</v>
      </c>
      <c r="MOQ42">
        <f t="shared" si="183"/>
        <v>0</v>
      </c>
      <c r="MOR42">
        <f t="shared" si="183"/>
        <v>0</v>
      </c>
      <c r="MOS42">
        <f t="shared" si="183"/>
        <v>0</v>
      </c>
      <c r="MOT42">
        <f t="shared" si="183"/>
        <v>0</v>
      </c>
      <c r="MOU42">
        <f t="shared" si="183"/>
        <v>0</v>
      </c>
      <c r="MOV42">
        <f t="shared" si="183"/>
        <v>0</v>
      </c>
      <c r="MOW42">
        <f t="shared" si="183"/>
        <v>0</v>
      </c>
      <c r="MOX42">
        <f t="shared" si="183"/>
        <v>0</v>
      </c>
      <c r="MOY42">
        <f t="shared" si="183"/>
        <v>0</v>
      </c>
      <c r="MOZ42">
        <f t="shared" si="183"/>
        <v>0</v>
      </c>
      <c r="MPA42">
        <f t="shared" si="183"/>
        <v>0</v>
      </c>
      <c r="MPB42">
        <f t="shared" si="183"/>
        <v>0</v>
      </c>
      <c r="MPC42">
        <f t="shared" si="183"/>
        <v>0</v>
      </c>
      <c r="MPD42">
        <f t="shared" si="183"/>
        <v>0</v>
      </c>
      <c r="MPE42">
        <f t="shared" si="183"/>
        <v>0</v>
      </c>
      <c r="MPF42">
        <f t="shared" si="183"/>
        <v>0</v>
      </c>
      <c r="MPG42">
        <f t="shared" si="183"/>
        <v>0</v>
      </c>
      <c r="MPH42">
        <f t="shared" si="183"/>
        <v>0</v>
      </c>
      <c r="MPI42">
        <f t="shared" si="183"/>
        <v>0</v>
      </c>
      <c r="MPJ42">
        <f t="shared" ref="MPJ42:MRU43" si="184">MPJ41*1.6*1.2</f>
        <v>0</v>
      </c>
      <c r="MPK42">
        <f t="shared" si="184"/>
        <v>0</v>
      </c>
      <c r="MPL42">
        <f t="shared" si="184"/>
        <v>0</v>
      </c>
      <c r="MPM42">
        <f t="shared" si="184"/>
        <v>0</v>
      </c>
      <c r="MPN42">
        <f t="shared" si="184"/>
        <v>0</v>
      </c>
      <c r="MPO42">
        <f t="shared" si="184"/>
        <v>0</v>
      </c>
      <c r="MPP42">
        <f t="shared" si="184"/>
        <v>0</v>
      </c>
      <c r="MPQ42">
        <f t="shared" si="184"/>
        <v>0</v>
      </c>
      <c r="MPR42">
        <f t="shared" si="184"/>
        <v>0</v>
      </c>
      <c r="MPS42">
        <f t="shared" si="184"/>
        <v>0</v>
      </c>
      <c r="MPT42">
        <f t="shared" si="184"/>
        <v>0</v>
      </c>
      <c r="MPU42">
        <f t="shared" si="184"/>
        <v>0</v>
      </c>
      <c r="MPV42">
        <f t="shared" si="184"/>
        <v>0</v>
      </c>
      <c r="MPW42">
        <f t="shared" si="184"/>
        <v>0</v>
      </c>
      <c r="MPX42">
        <f t="shared" si="184"/>
        <v>0</v>
      </c>
      <c r="MPY42">
        <f t="shared" si="184"/>
        <v>0</v>
      </c>
      <c r="MPZ42">
        <f t="shared" si="184"/>
        <v>0</v>
      </c>
      <c r="MQA42">
        <f t="shared" si="184"/>
        <v>0</v>
      </c>
      <c r="MQB42">
        <f t="shared" si="184"/>
        <v>0</v>
      </c>
      <c r="MQC42">
        <f t="shared" si="184"/>
        <v>0</v>
      </c>
      <c r="MQD42">
        <f t="shared" si="184"/>
        <v>0</v>
      </c>
      <c r="MQE42">
        <f t="shared" si="184"/>
        <v>0</v>
      </c>
      <c r="MQF42">
        <f t="shared" si="184"/>
        <v>0</v>
      </c>
      <c r="MQG42">
        <f t="shared" si="184"/>
        <v>0</v>
      </c>
      <c r="MQH42">
        <f t="shared" si="184"/>
        <v>0</v>
      </c>
      <c r="MQI42">
        <f t="shared" si="184"/>
        <v>0</v>
      </c>
      <c r="MQJ42">
        <f t="shared" si="184"/>
        <v>0</v>
      </c>
      <c r="MQK42">
        <f t="shared" si="184"/>
        <v>0</v>
      </c>
      <c r="MQL42">
        <f t="shared" si="184"/>
        <v>0</v>
      </c>
      <c r="MQM42">
        <f t="shared" si="184"/>
        <v>0</v>
      </c>
      <c r="MQN42">
        <f t="shared" si="184"/>
        <v>0</v>
      </c>
      <c r="MQO42">
        <f t="shared" si="184"/>
        <v>0</v>
      </c>
      <c r="MQP42">
        <f t="shared" si="184"/>
        <v>0</v>
      </c>
      <c r="MQQ42">
        <f t="shared" si="184"/>
        <v>0</v>
      </c>
      <c r="MQR42">
        <f t="shared" si="184"/>
        <v>0</v>
      </c>
      <c r="MQS42">
        <f t="shared" si="184"/>
        <v>0</v>
      </c>
      <c r="MQT42">
        <f t="shared" si="184"/>
        <v>0</v>
      </c>
      <c r="MQU42">
        <f t="shared" si="184"/>
        <v>0</v>
      </c>
      <c r="MQV42">
        <f t="shared" si="184"/>
        <v>0</v>
      </c>
      <c r="MQW42">
        <f t="shared" si="184"/>
        <v>0</v>
      </c>
      <c r="MQX42">
        <f t="shared" si="184"/>
        <v>0</v>
      </c>
      <c r="MQY42">
        <f t="shared" si="184"/>
        <v>0</v>
      </c>
      <c r="MQZ42">
        <f t="shared" si="184"/>
        <v>0</v>
      </c>
      <c r="MRA42">
        <f t="shared" si="184"/>
        <v>0</v>
      </c>
      <c r="MRB42">
        <f t="shared" si="184"/>
        <v>0</v>
      </c>
      <c r="MRC42">
        <f t="shared" si="184"/>
        <v>0</v>
      </c>
      <c r="MRD42">
        <f t="shared" si="184"/>
        <v>0</v>
      </c>
      <c r="MRE42">
        <f t="shared" si="184"/>
        <v>0</v>
      </c>
      <c r="MRF42">
        <f t="shared" si="184"/>
        <v>0</v>
      </c>
      <c r="MRG42">
        <f t="shared" si="184"/>
        <v>0</v>
      </c>
      <c r="MRH42">
        <f t="shared" si="184"/>
        <v>0</v>
      </c>
      <c r="MRI42">
        <f t="shared" si="184"/>
        <v>0</v>
      </c>
      <c r="MRJ42">
        <f t="shared" si="184"/>
        <v>0</v>
      </c>
      <c r="MRK42">
        <f t="shared" si="184"/>
        <v>0</v>
      </c>
      <c r="MRL42">
        <f t="shared" si="184"/>
        <v>0</v>
      </c>
      <c r="MRM42">
        <f t="shared" si="184"/>
        <v>0</v>
      </c>
      <c r="MRN42">
        <f t="shared" si="184"/>
        <v>0</v>
      </c>
      <c r="MRO42">
        <f t="shared" si="184"/>
        <v>0</v>
      </c>
      <c r="MRP42">
        <f t="shared" si="184"/>
        <v>0</v>
      </c>
      <c r="MRQ42">
        <f t="shared" si="184"/>
        <v>0</v>
      </c>
      <c r="MRR42">
        <f t="shared" si="184"/>
        <v>0</v>
      </c>
      <c r="MRS42">
        <f t="shared" si="184"/>
        <v>0</v>
      </c>
      <c r="MRT42">
        <f t="shared" si="184"/>
        <v>0</v>
      </c>
      <c r="MRU42">
        <f t="shared" si="184"/>
        <v>0</v>
      </c>
      <c r="MRV42">
        <f t="shared" ref="MRV42:MUG43" si="185">MRV41*1.6*1.2</f>
        <v>0</v>
      </c>
      <c r="MRW42">
        <f t="shared" si="185"/>
        <v>0</v>
      </c>
      <c r="MRX42">
        <f t="shared" si="185"/>
        <v>0</v>
      </c>
      <c r="MRY42">
        <f t="shared" si="185"/>
        <v>0</v>
      </c>
      <c r="MRZ42">
        <f t="shared" si="185"/>
        <v>0</v>
      </c>
      <c r="MSA42">
        <f t="shared" si="185"/>
        <v>0</v>
      </c>
      <c r="MSB42">
        <f t="shared" si="185"/>
        <v>0</v>
      </c>
      <c r="MSC42">
        <f t="shared" si="185"/>
        <v>0</v>
      </c>
      <c r="MSD42">
        <f t="shared" si="185"/>
        <v>0</v>
      </c>
      <c r="MSE42">
        <f t="shared" si="185"/>
        <v>0</v>
      </c>
      <c r="MSF42">
        <f t="shared" si="185"/>
        <v>0</v>
      </c>
      <c r="MSG42">
        <f t="shared" si="185"/>
        <v>0</v>
      </c>
      <c r="MSH42">
        <f t="shared" si="185"/>
        <v>0</v>
      </c>
      <c r="MSI42">
        <f t="shared" si="185"/>
        <v>0</v>
      </c>
      <c r="MSJ42">
        <f t="shared" si="185"/>
        <v>0</v>
      </c>
      <c r="MSK42">
        <f t="shared" si="185"/>
        <v>0</v>
      </c>
      <c r="MSL42">
        <f t="shared" si="185"/>
        <v>0</v>
      </c>
      <c r="MSM42">
        <f t="shared" si="185"/>
        <v>0</v>
      </c>
      <c r="MSN42">
        <f t="shared" si="185"/>
        <v>0</v>
      </c>
      <c r="MSO42">
        <f t="shared" si="185"/>
        <v>0</v>
      </c>
      <c r="MSP42">
        <f t="shared" si="185"/>
        <v>0</v>
      </c>
      <c r="MSQ42">
        <f t="shared" si="185"/>
        <v>0</v>
      </c>
      <c r="MSR42">
        <f t="shared" si="185"/>
        <v>0</v>
      </c>
      <c r="MSS42">
        <f t="shared" si="185"/>
        <v>0</v>
      </c>
      <c r="MST42">
        <f t="shared" si="185"/>
        <v>0</v>
      </c>
      <c r="MSU42">
        <f t="shared" si="185"/>
        <v>0</v>
      </c>
      <c r="MSV42">
        <f t="shared" si="185"/>
        <v>0</v>
      </c>
      <c r="MSW42">
        <f t="shared" si="185"/>
        <v>0</v>
      </c>
      <c r="MSX42">
        <f t="shared" si="185"/>
        <v>0</v>
      </c>
      <c r="MSY42">
        <f t="shared" si="185"/>
        <v>0</v>
      </c>
      <c r="MSZ42">
        <f t="shared" si="185"/>
        <v>0</v>
      </c>
      <c r="MTA42">
        <f t="shared" si="185"/>
        <v>0</v>
      </c>
      <c r="MTB42">
        <f t="shared" si="185"/>
        <v>0</v>
      </c>
      <c r="MTC42">
        <f t="shared" si="185"/>
        <v>0</v>
      </c>
      <c r="MTD42">
        <f t="shared" si="185"/>
        <v>0</v>
      </c>
      <c r="MTE42">
        <f t="shared" si="185"/>
        <v>0</v>
      </c>
      <c r="MTF42">
        <f t="shared" si="185"/>
        <v>0</v>
      </c>
      <c r="MTG42">
        <f t="shared" si="185"/>
        <v>0</v>
      </c>
      <c r="MTH42">
        <f t="shared" si="185"/>
        <v>0</v>
      </c>
      <c r="MTI42">
        <f t="shared" si="185"/>
        <v>0</v>
      </c>
      <c r="MTJ42">
        <f t="shared" si="185"/>
        <v>0</v>
      </c>
      <c r="MTK42">
        <f t="shared" si="185"/>
        <v>0</v>
      </c>
      <c r="MTL42">
        <f t="shared" si="185"/>
        <v>0</v>
      </c>
      <c r="MTM42">
        <f t="shared" si="185"/>
        <v>0</v>
      </c>
      <c r="MTN42">
        <f t="shared" si="185"/>
        <v>0</v>
      </c>
      <c r="MTO42">
        <f t="shared" si="185"/>
        <v>0</v>
      </c>
      <c r="MTP42">
        <f t="shared" si="185"/>
        <v>0</v>
      </c>
      <c r="MTQ42">
        <f t="shared" si="185"/>
        <v>0</v>
      </c>
      <c r="MTR42">
        <f t="shared" si="185"/>
        <v>0</v>
      </c>
      <c r="MTS42">
        <f t="shared" si="185"/>
        <v>0</v>
      </c>
      <c r="MTT42">
        <f t="shared" si="185"/>
        <v>0</v>
      </c>
      <c r="MTU42">
        <f t="shared" si="185"/>
        <v>0</v>
      </c>
      <c r="MTV42">
        <f t="shared" si="185"/>
        <v>0</v>
      </c>
      <c r="MTW42">
        <f t="shared" si="185"/>
        <v>0</v>
      </c>
      <c r="MTX42">
        <f t="shared" si="185"/>
        <v>0</v>
      </c>
      <c r="MTY42">
        <f t="shared" si="185"/>
        <v>0</v>
      </c>
      <c r="MTZ42">
        <f t="shared" si="185"/>
        <v>0</v>
      </c>
      <c r="MUA42">
        <f t="shared" si="185"/>
        <v>0</v>
      </c>
      <c r="MUB42">
        <f t="shared" si="185"/>
        <v>0</v>
      </c>
      <c r="MUC42">
        <f t="shared" si="185"/>
        <v>0</v>
      </c>
      <c r="MUD42">
        <f t="shared" si="185"/>
        <v>0</v>
      </c>
      <c r="MUE42">
        <f t="shared" si="185"/>
        <v>0</v>
      </c>
      <c r="MUF42">
        <f t="shared" si="185"/>
        <v>0</v>
      </c>
      <c r="MUG42">
        <f t="shared" si="185"/>
        <v>0</v>
      </c>
      <c r="MUH42">
        <f t="shared" ref="MUH42:MWS43" si="186">MUH41*1.6*1.2</f>
        <v>0</v>
      </c>
      <c r="MUI42">
        <f t="shared" si="186"/>
        <v>0</v>
      </c>
      <c r="MUJ42">
        <f t="shared" si="186"/>
        <v>0</v>
      </c>
      <c r="MUK42">
        <f t="shared" si="186"/>
        <v>0</v>
      </c>
      <c r="MUL42">
        <f t="shared" si="186"/>
        <v>0</v>
      </c>
      <c r="MUM42">
        <f t="shared" si="186"/>
        <v>0</v>
      </c>
      <c r="MUN42">
        <f t="shared" si="186"/>
        <v>0</v>
      </c>
      <c r="MUO42">
        <f t="shared" si="186"/>
        <v>0</v>
      </c>
      <c r="MUP42">
        <f t="shared" si="186"/>
        <v>0</v>
      </c>
      <c r="MUQ42">
        <f t="shared" si="186"/>
        <v>0</v>
      </c>
      <c r="MUR42">
        <f t="shared" si="186"/>
        <v>0</v>
      </c>
      <c r="MUS42">
        <f t="shared" si="186"/>
        <v>0</v>
      </c>
      <c r="MUT42">
        <f t="shared" si="186"/>
        <v>0</v>
      </c>
      <c r="MUU42">
        <f t="shared" si="186"/>
        <v>0</v>
      </c>
      <c r="MUV42">
        <f t="shared" si="186"/>
        <v>0</v>
      </c>
      <c r="MUW42">
        <f t="shared" si="186"/>
        <v>0</v>
      </c>
      <c r="MUX42">
        <f t="shared" si="186"/>
        <v>0</v>
      </c>
      <c r="MUY42">
        <f t="shared" si="186"/>
        <v>0</v>
      </c>
      <c r="MUZ42">
        <f t="shared" si="186"/>
        <v>0</v>
      </c>
      <c r="MVA42">
        <f t="shared" si="186"/>
        <v>0</v>
      </c>
      <c r="MVB42">
        <f t="shared" si="186"/>
        <v>0</v>
      </c>
      <c r="MVC42">
        <f t="shared" si="186"/>
        <v>0</v>
      </c>
      <c r="MVD42">
        <f t="shared" si="186"/>
        <v>0</v>
      </c>
      <c r="MVE42">
        <f t="shared" si="186"/>
        <v>0</v>
      </c>
      <c r="MVF42">
        <f t="shared" si="186"/>
        <v>0</v>
      </c>
      <c r="MVG42">
        <f t="shared" si="186"/>
        <v>0</v>
      </c>
      <c r="MVH42">
        <f t="shared" si="186"/>
        <v>0</v>
      </c>
      <c r="MVI42">
        <f t="shared" si="186"/>
        <v>0</v>
      </c>
      <c r="MVJ42">
        <f t="shared" si="186"/>
        <v>0</v>
      </c>
      <c r="MVK42">
        <f t="shared" si="186"/>
        <v>0</v>
      </c>
      <c r="MVL42">
        <f t="shared" si="186"/>
        <v>0</v>
      </c>
      <c r="MVM42">
        <f t="shared" si="186"/>
        <v>0</v>
      </c>
      <c r="MVN42">
        <f t="shared" si="186"/>
        <v>0</v>
      </c>
      <c r="MVO42">
        <f t="shared" si="186"/>
        <v>0</v>
      </c>
      <c r="MVP42">
        <f t="shared" si="186"/>
        <v>0</v>
      </c>
      <c r="MVQ42">
        <f t="shared" si="186"/>
        <v>0</v>
      </c>
      <c r="MVR42">
        <f t="shared" si="186"/>
        <v>0</v>
      </c>
      <c r="MVS42">
        <f t="shared" si="186"/>
        <v>0</v>
      </c>
      <c r="MVT42">
        <f t="shared" si="186"/>
        <v>0</v>
      </c>
      <c r="MVU42">
        <f t="shared" si="186"/>
        <v>0</v>
      </c>
      <c r="MVV42">
        <f t="shared" si="186"/>
        <v>0</v>
      </c>
      <c r="MVW42">
        <f t="shared" si="186"/>
        <v>0</v>
      </c>
      <c r="MVX42">
        <f t="shared" si="186"/>
        <v>0</v>
      </c>
      <c r="MVY42">
        <f t="shared" si="186"/>
        <v>0</v>
      </c>
      <c r="MVZ42">
        <f t="shared" si="186"/>
        <v>0</v>
      </c>
      <c r="MWA42">
        <f t="shared" si="186"/>
        <v>0</v>
      </c>
      <c r="MWB42">
        <f t="shared" si="186"/>
        <v>0</v>
      </c>
      <c r="MWC42">
        <f t="shared" si="186"/>
        <v>0</v>
      </c>
      <c r="MWD42">
        <f t="shared" si="186"/>
        <v>0</v>
      </c>
      <c r="MWE42">
        <f t="shared" si="186"/>
        <v>0</v>
      </c>
      <c r="MWF42">
        <f t="shared" si="186"/>
        <v>0</v>
      </c>
      <c r="MWG42">
        <f t="shared" si="186"/>
        <v>0</v>
      </c>
      <c r="MWH42">
        <f t="shared" si="186"/>
        <v>0</v>
      </c>
      <c r="MWI42">
        <f t="shared" si="186"/>
        <v>0</v>
      </c>
      <c r="MWJ42">
        <f t="shared" si="186"/>
        <v>0</v>
      </c>
      <c r="MWK42">
        <f t="shared" si="186"/>
        <v>0</v>
      </c>
      <c r="MWL42">
        <f t="shared" si="186"/>
        <v>0</v>
      </c>
      <c r="MWM42">
        <f t="shared" si="186"/>
        <v>0</v>
      </c>
      <c r="MWN42">
        <f t="shared" si="186"/>
        <v>0</v>
      </c>
      <c r="MWO42">
        <f t="shared" si="186"/>
        <v>0</v>
      </c>
      <c r="MWP42">
        <f t="shared" si="186"/>
        <v>0</v>
      </c>
      <c r="MWQ42">
        <f t="shared" si="186"/>
        <v>0</v>
      </c>
      <c r="MWR42">
        <f t="shared" si="186"/>
        <v>0</v>
      </c>
      <c r="MWS42">
        <f t="shared" si="186"/>
        <v>0</v>
      </c>
      <c r="MWT42">
        <f t="shared" ref="MWT42:MZE43" si="187">MWT41*1.6*1.2</f>
        <v>0</v>
      </c>
      <c r="MWU42">
        <f t="shared" si="187"/>
        <v>0</v>
      </c>
      <c r="MWV42">
        <f t="shared" si="187"/>
        <v>0</v>
      </c>
      <c r="MWW42">
        <f t="shared" si="187"/>
        <v>0</v>
      </c>
      <c r="MWX42">
        <f t="shared" si="187"/>
        <v>0</v>
      </c>
      <c r="MWY42">
        <f t="shared" si="187"/>
        <v>0</v>
      </c>
      <c r="MWZ42">
        <f t="shared" si="187"/>
        <v>0</v>
      </c>
      <c r="MXA42">
        <f t="shared" si="187"/>
        <v>0</v>
      </c>
      <c r="MXB42">
        <f t="shared" si="187"/>
        <v>0</v>
      </c>
      <c r="MXC42">
        <f t="shared" si="187"/>
        <v>0</v>
      </c>
      <c r="MXD42">
        <f t="shared" si="187"/>
        <v>0</v>
      </c>
      <c r="MXE42">
        <f t="shared" si="187"/>
        <v>0</v>
      </c>
      <c r="MXF42">
        <f t="shared" si="187"/>
        <v>0</v>
      </c>
      <c r="MXG42">
        <f t="shared" si="187"/>
        <v>0</v>
      </c>
      <c r="MXH42">
        <f t="shared" si="187"/>
        <v>0</v>
      </c>
      <c r="MXI42">
        <f t="shared" si="187"/>
        <v>0</v>
      </c>
      <c r="MXJ42">
        <f t="shared" si="187"/>
        <v>0</v>
      </c>
      <c r="MXK42">
        <f t="shared" si="187"/>
        <v>0</v>
      </c>
      <c r="MXL42">
        <f t="shared" si="187"/>
        <v>0</v>
      </c>
      <c r="MXM42">
        <f t="shared" si="187"/>
        <v>0</v>
      </c>
      <c r="MXN42">
        <f t="shared" si="187"/>
        <v>0</v>
      </c>
      <c r="MXO42">
        <f t="shared" si="187"/>
        <v>0</v>
      </c>
      <c r="MXP42">
        <f t="shared" si="187"/>
        <v>0</v>
      </c>
      <c r="MXQ42">
        <f t="shared" si="187"/>
        <v>0</v>
      </c>
      <c r="MXR42">
        <f t="shared" si="187"/>
        <v>0</v>
      </c>
      <c r="MXS42">
        <f t="shared" si="187"/>
        <v>0</v>
      </c>
      <c r="MXT42">
        <f t="shared" si="187"/>
        <v>0</v>
      </c>
      <c r="MXU42">
        <f t="shared" si="187"/>
        <v>0</v>
      </c>
      <c r="MXV42">
        <f t="shared" si="187"/>
        <v>0</v>
      </c>
      <c r="MXW42">
        <f t="shared" si="187"/>
        <v>0</v>
      </c>
      <c r="MXX42">
        <f t="shared" si="187"/>
        <v>0</v>
      </c>
      <c r="MXY42">
        <f t="shared" si="187"/>
        <v>0</v>
      </c>
      <c r="MXZ42">
        <f t="shared" si="187"/>
        <v>0</v>
      </c>
      <c r="MYA42">
        <f t="shared" si="187"/>
        <v>0</v>
      </c>
      <c r="MYB42">
        <f t="shared" si="187"/>
        <v>0</v>
      </c>
      <c r="MYC42">
        <f t="shared" si="187"/>
        <v>0</v>
      </c>
      <c r="MYD42">
        <f t="shared" si="187"/>
        <v>0</v>
      </c>
      <c r="MYE42">
        <f t="shared" si="187"/>
        <v>0</v>
      </c>
      <c r="MYF42">
        <f t="shared" si="187"/>
        <v>0</v>
      </c>
      <c r="MYG42">
        <f t="shared" si="187"/>
        <v>0</v>
      </c>
      <c r="MYH42">
        <f t="shared" si="187"/>
        <v>0</v>
      </c>
      <c r="MYI42">
        <f t="shared" si="187"/>
        <v>0</v>
      </c>
      <c r="MYJ42">
        <f t="shared" si="187"/>
        <v>0</v>
      </c>
      <c r="MYK42">
        <f t="shared" si="187"/>
        <v>0</v>
      </c>
      <c r="MYL42">
        <f t="shared" si="187"/>
        <v>0</v>
      </c>
      <c r="MYM42">
        <f t="shared" si="187"/>
        <v>0</v>
      </c>
      <c r="MYN42">
        <f t="shared" si="187"/>
        <v>0</v>
      </c>
      <c r="MYO42">
        <f t="shared" si="187"/>
        <v>0</v>
      </c>
      <c r="MYP42">
        <f t="shared" si="187"/>
        <v>0</v>
      </c>
      <c r="MYQ42">
        <f t="shared" si="187"/>
        <v>0</v>
      </c>
      <c r="MYR42">
        <f t="shared" si="187"/>
        <v>0</v>
      </c>
      <c r="MYS42">
        <f t="shared" si="187"/>
        <v>0</v>
      </c>
      <c r="MYT42">
        <f t="shared" si="187"/>
        <v>0</v>
      </c>
      <c r="MYU42">
        <f t="shared" si="187"/>
        <v>0</v>
      </c>
      <c r="MYV42">
        <f t="shared" si="187"/>
        <v>0</v>
      </c>
      <c r="MYW42">
        <f t="shared" si="187"/>
        <v>0</v>
      </c>
      <c r="MYX42">
        <f t="shared" si="187"/>
        <v>0</v>
      </c>
      <c r="MYY42">
        <f t="shared" si="187"/>
        <v>0</v>
      </c>
      <c r="MYZ42">
        <f t="shared" si="187"/>
        <v>0</v>
      </c>
      <c r="MZA42">
        <f t="shared" si="187"/>
        <v>0</v>
      </c>
      <c r="MZB42">
        <f t="shared" si="187"/>
        <v>0</v>
      </c>
      <c r="MZC42">
        <f t="shared" si="187"/>
        <v>0</v>
      </c>
      <c r="MZD42">
        <f t="shared" si="187"/>
        <v>0</v>
      </c>
      <c r="MZE42">
        <f t="shared" si="187"/>
        <v>0</v>
      </c>
      <c r="MZF42">
        <f t="shared" ref="MZF42:NBQ43" si="188">MZF41*1.6*1.2</f>
        <v>0</v>
      </c>
      <c r="MZG42">
        <f t="shared" si="188"/>
        <v>0</v>
      </c>
      <c r="MZH42">
        <f t="shared" si="188"/>
        <v>0</v>
      </c>
      <c r="MZI42">
        <f t="shared" si="188"/>
        <v>0</v>
      </c>
      <c r="MZJ42">
        <f t="shared" si="188"/>
        <v>0</v>
      </c>
      <c r="MZK42">
        <f t="shared" si="188"/>
        <v>0</v>
      </c>
      <c r="MZL42">
        <f t="shared" si="188"/>
        <v>0</v>
      </c>
      <c r="MZM42">
        <f t="shared" si="188"/>
        <v>0</v>
      </c>
      <c r="MZN42">
        <f t="shared" si="188"/>
        <v>0</v>
      </c>
      <c r="MZO42">
        <f t="shared" si="188"/>
        <v>0</v>
      </c>
      <c r="MZP42">
        <f t="shared" si="188"/>
        <v>0</v>
      </c>
      <c r="MZQ42">
        <f t="shared" si="188"/>
        <v>0</v>
      </c>
      <c r="MZR42">
        <f t="shared" si="188"/>
        <v>0</v>
      </c>
      <c r="MZS42">
        <f t="shared" si="188"/>
        <v>0</v>
      </c>
      <c r="MZT42">
        <f t="shared" si="188"/>
        <v>0</v>
      </c>
      <c r="MZU42">
        <f t="shared" si="188"/>
        <v>0</v>
      </c>
      <c r="MZV42">
        <f t="shared" si="188"/>
        <v>0</v>
      </c>
      <c r="MZW42">
        <f t="shared" si="188"/>
        <v>0</v>
      </c>
      <c r="MZX42">
        <f t="shared" si="188"/>
        <v>0</v>
      </c>
      <c r="MZY42">
        <f t="shared" si="188"/>
        <v>0</v>
      </c>
      <c r="MZZ42">
        <f t="shared" si="188"/>
        <v>0</v>
      </c>
      <c r="NAA42">
        <f t="shared" si="188"/>
        <v>0</v>
      </c>
      <c r="NAB42">
        <f t="shared" si="188"/>
        <v>0</v>
      </c>
      <c r="NAC42">
        <f t="shared" si="188"/>
        <v>0</v>
      </c>
      <c r="NAD42">
        <f t="shared" si="188"/>
        <v>0</v>
      </c>
      <c r="NAE42">
        <f t="shared" si="188"/>
        <v>0</v>
      </c>
      <c r="NAF42">
        <f t="shared" si="188"/>
        <v>0</v>
      </c>
      <c r="NAG42">
        <f t="shared" si="188"/>
        <v>0</v>
      </c>
      <c r="NAH42">
        <f t="shared" si="188"/>
        <v>0</v>
      </c>
      <c r="NAI42">
        <f t="shared" si="188"/>
        <v>0</v>
      </c>
      <c r="NAJ42">
        <f t="shared" si="188"/>
        <v>0</v>
      </c>
      <c r="NAK42">
        <f t="shared" si="188"/>
        <v>0</v>
      </c>
      <c r="NAL42">
        <f t="shared" si="188"/>
        <v>0</v>
      </c>
      <c r="NAM42">
        <f t="shared" si="188"/>
        <v>0</v>
      </c>
      <c r="NAN42">
        <f t="shared" si="188"/>
        <v>0</v>
      </c>
      <c r="NAO42">
        <f t="shared" si="188"/>
        <v>0</v>
      </c>
      <c r="NAP42">
        <f t="shared" si="188"/>
        <v>0</v>
      </c>
      <c r="NAQ42">
        <f t="shared" si="188"/>
        <v>0</v>
      </c>
      <c r="NAR42">
        <f t="shared" si="188"/>
        <v>0</v>
      </c>
      <c r="NAS42">
        <f t="shared" si="188"/>
        <v>0</v>
      </c>
      <c r="NAT42">
        <f t="shared" si="188"/>
        <v>0</v>
      </c>
      <c r="NAU42">
        <f t="shared" si="188"/>
        <v>0</v>
      </c>
      <c r="NAV42">
        <f t="shared" si="188"/>
        <v>0</v>
      </c>
      <c r="NAW42">
        <f t="shared" si="188"/>
        <v>0</v>
      </c>
      <c r="NAX42">
        <f t="shared" si="188"/>
        <v>0</v>
      </c>
      <c r="NAY42">
        <f t="shared" si="188"/>
        <v>0</v>
      </c>
      <c r="NAZ42">
        <f t="shared" si="188"/>
        <v>0</v>
      </c>
      <c r="NBA42">
        <f t="shared" si="188"/>
        <v>0</v>
      </c>
      <c r="NBB42">
        <f t="shared" si="188"/>
        <v>0</v>
      </c>
      <c r="NBC42">
        <f t="shared" si="188"/>
        <v>0</v>
      </c>
      <c r="NBD42">
        <f t="shared" si="188"/>
        <v>0</v>
      </c>
      <c r="NBE42">
        <f t="shared" si="188"/>
        <v>0</v>
      </c>
      <c r="NBF42">
        <f t="shared" si="188"/>
        <v>0</v>
      </c>
      <c r="NBG42">
        <f t="shared" si="188"/>
        <v>0</v>
      </c>
      <c r="NBH42">
        <f t="shared" si="188"/>
        <v>0</v>
      </c>
      <c r="NBI42">
        <f t="shared" si="188"/>
        <v>0</v>
      </c>
      <c r="NBJ42">
        <f t="shared" si="188"/>
        <v>0</v>
      </c>
      <c r="NBK42">
        <f t="shared" si="188"/>
        <v>0</v>
      </c>
      <c r="NBL42">
        <f t="shared" si="188"/>
        <v>0</v>
      </c>
      <c r="NBM42">
        <f t="shared" si="188"/>
        <v>0</v>
      </c>
      <c r="NBN42">
        <f t="shared" si="188"/>
        <v>0</v>
      </c>
      <c r="NBO42">
        <f t="shared" si="188"/>
        <v>0</v>
      </c>
      <c r="NBP42">
        <f t="shared" si="188"/>
        <v>0</v>
      </c>
      <c r="NBQ42">
        <f t="shared" si="188"/>
        <v>0</v>
      </c>
      <c r="NBR42">
        <f t="shared" ref="NBR42:NEC43" si="189">NBR41*1.6*1.2</f>
        <v>0</v>
      </c>
      <c r="NBS42">
        <f t="shared" si="189"/>
        <v>0</v>
      </c>
      <c r="NBT42">
        <f t="shared" si="189"/>
        <v>0</v>
      </c>
      <c r="NBU42">
        <f t="shared" si="189"/>
        <v>0</v>
      </c>
      <c r="NBV42">
        <f t="shared" si="189"/>
        <v>0</v>
      </c>
      <c r="NBW42">
        <f t="shared" si="189"/>
        <v>0</v>
      </c>
      <c r="NBX42">
        <f t="shared" si="189"/>
        <v>0</v>
      </c>
      <c r="NBY42">
        <f t="shared" si="189"/>
        <v>0</v>
      </c>
      <c r="NBZ42">
        <f t="shared" si="189"/>
        <v>0</v>
      </c>
      <c r="NCA42">
        <f t="shared" si="189"/>
        <v>0</v>
      </c>
      <c r="NCB42">
        <f t="shared" si="189"/>
        <v>0</v>
      </c>
      <c r="NCC42">
        <f t="shared" si="189"/>
        <v>0</v>
      </c>
      <c r="NCD42">
        <f t="shared" si="189"/>
        <v>0</v>
      </c>
      <c r="NCE42">
        <f t="shared" si="189"/>
        <v>0</v>
      </c>
      <c r="NCF42">
        <f t="shared" si="189"/>
        <v>0</v>
      </c>
      <c r="NCG42">
        <f t="shared" si="189"/>
        <v>0</v>
      </c>
      <c r="NCH42">
        <f t="shared" si="189"/>
        <v>0</v>
      </c>
      <c r="NCI42">
        <f t="shared" si="189"/>
        <v>0</v>
      </c>
      <c r="NCJ42">
        <f t="shared" si="189"/>
        <v>0</v>
      </c>
      <c r="NCK42">
        <f t="shared" si="189"/>
        <v>0</v>
      </c>
      <c r="NCL42">
        <f t="shared" si="189"/>
        <v>0</v>
      </c>
      <c r="NCM42">
        <f t="shared" si="189"/>
        <v>0</v>
      </c>
      <c r="NCN42">
        <f t="shared" si="189"/>
        <v>0</v>
      </c>
      <c r="NCO42">
        <f t="shared" si="189"/>
        <v>0</v>
      </c>
      <c r="NCP42">
        <f t="shared" si="189"/>
        <v>0</v>
      </c>
      <c r="NCQ42">
        <f t="shared" si="189"/>
        <v>0</v>
      </c>
      <c r="NCR42">
        <f t="shared" si="189"/>
        <v>0</v>
      </c>
      <c r="NCS42">
        <f t="shared" si="189"/>
        <v>0</v>
      </c>
      <c r="NCT42">
        <f t="shared" si="189"/>
        <v>0</v>
      </c>
      <c r="NCU42">
        <f t="shared" si="189"/>
        <v>0</v>
      </c>
      <c r="NCV42">
        <f t="shared" si="189"/>
        <v>0</v>
      </c>
      <c r="NCW42">
        <f t="shared" si="189"/>
        <v>0</v>
      </c>
      <c r="NCX42">
        <f t="shared" si="189"/>
        <v>0</v>
      </c>
      <c r="NCY42">
        <f t="shared" si="189"/>
        <v>0</v>
      </c>
      <c r="NCZ42">
        <f t="shared" si="189"/>
        <v>0</v>
      </c>
      <c r="NDA42">
        <f t="shared" si="189"/>
        <v>0</v>
      </c>
      <c r="NDB42">
        <f t="shared" si="189"/>
        <v>0</v>
      </c>
      <c r="NDC42">
        <f t="shared" si="189"/>
        <v>0</v>
      </c>
      <c r="NDD42">
        <f t="shared" si="189"/>
        <v>0</v>
      </c>
      <c r="NDE42">
        <f t="shared" si="189"/>
        <v>0</v>
      </c>
      <c r="NDF42">
        <f t="shared" si="189"/>
        <v>0</v>
      </c>
      <c r="NDG42">
        <f t="shared" si="189"/>
        <v>0</v>
      </c>
      <c r="NDH42">
        <f t="shared" si="189"/>
        <v>0</v>
      </c>
      <c r="NDI42">
        <f t="shared" si="189"/>
        <v>0</v>
      </c>
      <c r="NDJ42">
        <f t="shared" si="189"/>
        <v>0</v>
      </c>
      <c r="NDK42">
        <f t="shared" si="189"/>
        <v>0</v>
      </c>
      <c r="NDL42">
        <f t="shared" si="189"/>
        <v>0</v>
      </c>
      <c r="NDM42">
        <f t="shared" si="189"/>
        <v>0</v>
      </c>
      <c r="NDN42">
        <f t="shared" si="189"/>
        <v>0</v>
      </c>
      <c r="NDO42">
        <f t="shared" si="189"/>
        <v>0</v>
      </c>
      <c r="NDP42">
        <f t="shared" si="189"/>
        <v>0</v>
      </c>
      <c r="NDQ42">
        <f t="shared" si="189"/>
        <v>0</v>
      </c>
      <c r="NDR42">
        <f t="shared" si="189"/>
        <v>0</v>
      </c>
      <c r="NDS42">
        <f t="shared" si="189"/>
        <v>0</v>
      </c>
      <c r="NDT42">
        <f t="shared" si="189"/>
        <v>0</v>
      </c>
      <c r="NDU42">
        <f t="shared" si="189"/>
        <v>0</v>
      </c>
      <c r="NDV42">
        <f t="shared" si="189"/>
        <v>0</v>
      </c>
      <c r="NDW42">
        <f t="shared" si="189"/>
        <v>0</v>
      </c>
      <c r="NDX42">
        <f t="shared" si="189"/>
        <v>0</v>
      </c>
      <c r="NDY42">
        <f t="shared" si="189"/>
        <v>0</v>
      </c>
      <c r="NDZ42">
        <f t="shared" si="189"/>
        <v>0</v>
      </c>
      <c r="NEA42">
        <f t="shared" si="189"/>
        <v>0</v>
      </c>
      <c r="NEB42">
        <f t="shared" si="189"/>
        <v>0</v>
      </c>
      <c r="NEC42">
        <f t="shared" si="189"/>
        <v>0</v>
      </c>
      <c r="NED42">
        <f t="shared" ref="NED42:NGO43" si="190">NED41*1.6*1.2</f>
        <v>0</v>
      </c>
      <c r="NEE42">
        <f t="shared" si="190"/>
        <v>0</v>
      </c>
      <c r="NEF42">
        <f t="shared" si="190"/>
        <v>0</v>
      </c>
      <c r="NEG42">
        <f t="shared" si="190"/>
        <v>0</v>
      </c>
      <c r="NEH42">
        <f t="shared" si="190"/>
        <v>0</v>
      </c>
      <c r="NEI42">
        <f t="shared" si="190"/>
        <v>0</v>
      </c>
      <c r="NEJ42">
        <f t="shared" si="190"/>
        <v>0</v>
      </c>
      <c r="NEK42">
        <f t="shared" si="190"/>
        <v>0</v>
      </c>
      <c r="NEL42">
        <f t="shared" si="190"/>
        <v>0</v>
      </c>
      <c r="NEM42">
        <f t="shared" si="190"/>
        <v>0</v>
      </c>
      <c r="NEN42">
        <f t="shared" si="190"/>
        <v>0</v>
      </c>
      <c r="NEO42">
        <f t="shared" si="190"/>
        <v>0</v>
      </c>
      <c r="NEP42">
        <f t="shared" si="190"/>
        <v>0</v>
      </c>
      <c r="NEQ42">
        <f t="shared" si="190"/>
        <v>0</v>
      </c>
      <c r="NER42">
        <f t="shared" si="190"/>
        <v>0</v>
      </c>
      <c r="NES42">
        <f t="shared" si="190"/>
        <v>0</v>
      </c>
      <c r="NET42">
        <f t="shared" si="190"/>
        <v>0</v>
      </c>
      <c r="NEU42">
        <f t="shared" si="190"/>
        <v>0</v>
      </c>
      <c r="NEV42">
        <f t="shared" si="190"/>
        <v>0</v>
      </c>
      <c r="NEW42">
        <f t="shared" si="190"/>
        <v>0</v>
      </c>
      <c r="NEX42">
        <f t="shared" si="190"/>
        <v>0</v>
      </c>
      <c r="NEY42">
        <f t="shared" si="190"/>
        <v>0</v>
      </c>
      <c r="NEZ42">
        <f t="shared" si="190"/>
        <v>0</v>
      </c>
      <c r="NFA42">
        <f t="shared" si="190"/>
        <v>0</v>
      </c>
      <c r="NFB42">
        <f t="shared" si="190"/>
        <v>0</v>
      </c>
      <c r="NFC42">
        <f t="shared" si="190"/>
        <v>0</v>
      </c>
      <c r="NFD42">
        <f t="shared" si="190"/>
        <v>0</v>
      </c>
      <c r="NFE42">
        <f t="shared" si="190"/>
        <v>0</v>
      </c>
      <c r="NFF42">
        <f t="shared" si="190"/>
        <v>0</v>
      </c>
      <c r="NFG42">
        <f t="shared" si="190"/>
        <v>0</v>
      </c>
      <c r="NFH42">
        <f t="shared" si="190"/>
        <v>0</v>
      </c>
      <c r="NFI42">
        <f t="shared" si="190"/>
        <v>0</v>
      </c>
      <c r="NFJ42">
        <f t="shared" si="190"/>
        <v>0</v>
      </c>
      <c r="NFK42">
        <f t="shared" si="190"/>
        <v>0</v>
      </c>
      <c r="NFL42">
        <f t="shared" si="190"/>
        <v>0</v>
      </c>
      <c r="NFM42">
        <f t="shared" si="190"/>
        <v>0</v>
      </c>
      <c r="NFN42">
        <f t="shared" si="190"/>
        <v>0</v>
      </c>
      <c r="NFO42">
        <f t="shared" si="190"/>
        <v>0</v>
      </c>
      <c r="NFP42">
        <f t="shared" si="190"/>
        <v>0</v>
      </c>
      <c r="NFQ42">
        <f t="shared" si="190"/>
        <v>0</v>
      </c>
      <c r="NFR42">
        <f t="shared" si="190"/>
        <v>0</v>
      </c>
      <c r="NFS42">
        <f t="shared" si="190"/>
        <v>0</v>
      </c>
      <c r="NFT42">
        <f t="shared" si="190"/>
        <v>0</v>
      </c>
      <c r="NFU42">
        <f t="shared" si="190"/>
        <v>0</v>
      </c>
      <c r="NFV42">
        <f t="shared" si="190"/>
        <v>0</v>
      </c>
      <c r="NFW42">
        <f t="shared" si="190"/>
        <v>0</v>
      </c>
      <c r="NFX42">
        <f t="shared" si="190"/>
        <v>0</v>
      </c>
      <c r="NFY42">
        <f t="shared" si="190"/>
        <v>0</v>
      </c>
      <c r="NFZ42">
        <f t="shared" si="190"/>
        <v>0</v>
      </c>
      <c r="NGA42">
        <f t="shared" si="190"/>
        <v>0</v>
      </c>
      <c r="NGB42">
        <f t="shared" si="190"/>
        <v>0</v>
      </c>
      <c r="NGC42">
        <f t="shared" si="190"/>
        <v>0</v>
      </c>
      <c r="NGD42">
        <f t="shared" si="190"/>
        <v>0</v>
      </c>
      <c r="NGE42">
        <f t="shared" si="190"/>
        <v>0</v>
      </c>
      <c r="NGF42">
        <f t="shared" si="190"/>
        <v>0</v>
      </c>
      <c r="NGG42">
        <f t="shared" si="190"/>
        <v>0</v>
      </c>
      <c r="NGH42">
        <f t="shared" si="190"/>
        <v>0</v>
      </c>
      <c r="NGI42">
        <f t="shared" si="190"/>
        <v>0</v>
      </c>
      <c r="NGJ42">
        <f t="shared" si="190"/>
        <v>0</v>
      </c>
      <c r="NGK42">
        <f t="shared" si="190"/>
        <v>0</v>
      </c>
      <c r="NGL42">
        <f t="shared" si="190"/>
        <v>0</v>
      </c>
      <c r="NGM42">
        <f t="shared" si="190"/>
        <v>0</v>
      </c>
      <c r="NGN42">
        <f t="shared" si="190"/>
        <v>0</v>
      </c>
      <c r="NGO42">
        <f t="shared" si="190"/>
        <v>0</v>
      </c>
      <c r="NGP42">
        <f t="shared" ref="NGP42:NJA43" si="191">NGP41*1.6*1.2</f>
        <v>0</v>
      </c>
      <c r="NGQ42">
        <f t="shared" si="191"/>
        <v>0</v>
      </c>
      <c r="NGR42">
        <f t="shared" si="191"/>
        <v>0</v>
      </c>
      <c r="NGS42">
        <f t="shared" si="191"/>
        <v>0</v>
      </c>
      <c r="NGT42">
        <f t="shared" si="191"/>
        <v>0</v>
      </c>
      <c r="NGU42">
        <f t="shared" si="191"/>
        <v>0</v>
      </c>
      <c r="NGV42">
        <f t="shared" si="191"/>
        <v>0</v>
      </c>
      <c r="NGW42">
        <f t="shared" si="191"/>
        <v>0</v>
      </c>
      <c r="NGX42">
        <f t="shared" si="191"/>
        <v>0</v>
      </c>
      <c r="NGY42">
        <f t="shared" si="191"/>
        <v>0</v>
      </c>
      <c r="NGZ42">
        <f t="shared" si="191"/>
        <v>0</v>
      </c>
      <c r="NHA42">
        <f t="shared" si="191"/>
        <v>0</v>
      </c>
      <c r="NHB42">
        <f t="shared" si="191"/>
        <v>0</v>
      </c>
      <c r="NHC42">
        <f t="shared" si="191"/>
        <v>0</v>
      </c>
      <c r="NHD42">
        <f t="shared" si="191"/>
        <v>0</v>
      </c>
      <c r="NHE42">
        <f t="shared" si="191"/>
        <v>0</v>
      </c>
      <c r="NHF42">
        <f t="shared" si="191"/>
        <v>0</v>
      </c>
      <c r="NHG42">
        <f t="shared" si="191"/>
        <v>0</v>
      </c>
      <c r="NHH42">
        <f t="shared" si="191"/>
        <v>0</v>
      </c>
      <c r="NHI42">
        <f t="shared" si="191"/>
        <v>0</v>
      </c>
      <c r="NHJ42">
        <f t="shared" si="191"/>
        <v>0</v>
      </c>
      <c r="NHK42">
        <f t="shared" si="191"/>
        <v>0</v>
      </c>
      <c r="NHL42">
        <f t="shared" si="191"/>
        <v>0</v>
      </c>
      <c r="NHM42">
        <f t="shared" si="191"/>
        <v>0</v>
      </c>
      <c r="NHN42">
        <f t="shared" si="191"/>
        <v>0</v>
      </c>
      <c r="NHO42">
        <f t="shared" si="191"/>
        <v>0</v>
      </c>
      <c r="NHP42">
        <f t="shared" si="191"/>
        <v>0</v>
      </c>
      <c r="NHQ42">
        <f t="shared" si="191"/>
        <v>0</v>
      </c>
      <c r="NHR42">
        <f t="shared" si="191"/>
        <v>0</v>
      </c>
      <c r="NHS42">
        <f t="shared" si="191"/>
        <v>0</v>
      </c>
      <c r="NHT42">
        <f t="shared" si="191"/>
        <v>0</v>
      </c>
      <c r="NHU42">
        <f t="shared" si="191"/>
        <v>0</v>
      </c>
      <c r="NHV42">
        <f t="shared" si="191"/>
        <v>0</v>
      </c>
      <c r="NHW42">
        <f t="shared" si="191"/>
        <v>0</v>
      </c>
      <c r="NHX42">
        <f t="shared" si="191"/>
        <v>0</v>
      </c>
      <c r="NHY42">
        <f t="shared" si="191"/>
        <v>0</v>
      </c>
      <c r="NHZ42">
        <f t="shared" si="191"/>
        <v>0</v>
      </c>
      <c r="NIA42">
        <f t="shared" si="191"/>
        <v>0</v>
      </c>
      <c r="NIB42">
        <f t="shared" si="191"/>
        <v>0</v>
      </c>
      <c r="NIC42">
        <f t="shared" si="191"/>
        <v>0</v>
      </c>
      <c r="NID42">
        <f t="shared" si="191"/>
        <v>0</v>
      </c>
      <c r="NIE42">
        <f t="shared" si="191"/>
        <v>0</v>
      </c>
      <c r="NIF42">
        <f t="shared" si="191"/>
        <v>0</v>
      </c>
      <c r="NIG42">
        <f t="shared" si="191"/>
        <v>0</v>
      </c>
      <c r="NIH42">
        <f t="shared" si="191"/>
        <v>0</v>
      </c>
      <c r="NII42">
        <f t="shared" si="191"/>
        <v>0</v>
      </c>
      <c r="NIJ42">
        <f t="shared" si="191"/>
        <v>0</v>
      </c>
      <c r="NIK42">
        <f t="shared" si="191"/>
        <v>0</v>
      </c>
      <c r="NIL42">
        <f t="shared" si="191"/>
        <v>0</v>
      </c>
      <c r="NIM42">
        <f t="shared" si="191"/>
        <v>0</v>
      </c>
      <c r="NIN42">
        <f t="shared" si="191"/>
        <v>0</v>
      </c>
      <c r="NIO42">
        <f t="shared" si="191"/>
        <v>0</v>
      </c>
      <c r="NIP42">
        <f t="shared" si="191"/>
        <v>0</v>
      </c>
      <c r="NIQ42">
        <f t="shared" si="191"/>
        <v>0</v>
      </c>
      <c r="NIR42">
        <f t="shared" si="191"/>
        <v>0</v>
      </c>
      <c r="NIS42">
        <f t="shared" si="191"/>
        <v>0</v>
      </c>
      <c r="NIT42">
        <f t="shared" si="191"/>
        <v>0</v>
      </c>
      <c r="NIU42">
        <f t="shared" si="191"/>
        <v>0</v>
      </c>
      <c r="NIV42">
        <f t="shared" si="191"/>
        <v>0</v>
      </c>
      <c r="NIW42">
        <f t="shared" si="191"/>
        <v>0</v>
      </c>
      <c r="NIX42">
        <f t="shared" si="191"/>
        <v>0</v>
      </c>
      <c r="NIY42">
        <f t="shared" si="191"/>
        <v>0</v>
      </c>
      <c r="NIZ42">
        <f t="shared" si="191"/>
        <v>0</v>
      </c>
      <c r="NJA42">
        <f t="shared" si="191"/>
        <v>0</v>
      </c>
      <c r="NJB42">
        <f t="shared" ref="NJB42:NLM43" si="192">NJB41*1.6*1.2</f>
        <v>0</v>
      </c>
      <c r="NJC42">
        <f t="shared" si="192"/>
        <v>0</v>
      </c>
      <c r="NJD42">
        <f t="shared" si="192"/>
        <v>0</v>
      </c>
      <c r="NJE42">
        <f t="shared" si="192"/>
        <v>0</v>
      </c>
      <c r="NJF42">
        <f t="shared" si="192"/>
        <v>0</v>
      </c>
      <c r="NJG42">
        <f t="shared" si="192"/>
        <v>0</v>
      </c>
      <c r="NJH42">
        <f t="shared" si="192"/>
        <v>0</v>
      </c>
      <c r="NJI42">
        <f t="shared" si="192"/>
        <v>0</v>
      </c>
      <c r="NJJ42">
        <f t="shared" si="192"/>
        <v>0</v>
      </c>
      <c r="NJK42">
        <f t="shared" si="192"/>
        <v>0</v>
      </c>
      <c r="NJL42">
        <f t="shared" si="192"/>
        <v>0</v>
      </c>
      <c r="NJM42">
        <f t="shared" si="192"/>
        <v>0</v>
      </c>
      <c r="NJN42">
        <f t="shared" si="192"/>
        <v>0</v>
      </c>
      <c r="NJO42">
        <f t="shared" si="192"/>
        <v>0</v>
      </c>
      <c r="NJP42">
        <f t="shared" si="192"/>
        <v>0</v>
      </c>
      <c r="NJQ42">
        <f t="shared" si="192"/>
        <v>0</v>
      </c>
      <c r="NJR42">
        <f t="shared" si="192"/>
        <v>0</v>
      </c>
      <c r="NJS42">
        <f t="shared" si="192"/>
        <v>0</v>
      </c>
      <c r="NJT42">
        <f t="shared" si="192"/>
        <v>0</v>
      </c>
      <c r="NJU42">
        <f t="shared" si="192"/>
        <v>0</v>
      </c>
      <c r="NJV42">
        <f t="shared" si="192"/>
        <v>0</v>
      </c>
      <c r="NJW42">
        <f t="shared" si="192"/>
        <v>0</v>
      </c>
      <c r="NJX42">
        <f t="shared" si="192"/>
        <v>0</v>
      </c>
      <c r="NJY42">
        <f t="shared" si="192"/>
        <v>0</v>
      </c>
      <c r="NJZ42">
        <f t="shared" si="192"/>
        <v>0</v>
      </c>
      <c r="NKA42">
        <f t="shared" si="192"/>
        <v>0</v>
      </c>
      <c r="NKB42">
        <f t="shared" si="192"/>
        <v>0</v>
      </c>
      <c r="NKC42">
        <f t="shared" si="192"/>
        <v>0</v>
      </c>
      <c r="NKD42">
        <f t="shared" si="192"/>
        <v>0</v>
      </c>
      <c r="NKE42">
        <f t="shared" si="192"/>
        <v>0</v>
      </c>
      <c r="NKF42">
        <f t="shared" si="192"/>
        <v>0</v>
      </c>
      <c r="NKG42">
        <f t="shared" si="192"/>
        <v>0</v>
      </c>
      <c r="NKH42">
        <f t="shared" si="192"/>
        <v>0</v>
      </c>
      <c r="NKI42">
        <f t="shared" si="192"/>
        <v>0</v>
      </c>
      <c r="NKJ42">
        <f t="shared" si="192"/>
        <v>0</v>
      </c>
      <c r="NKK42">
        <f t="shared" si="192"/>
        <v>0</v>
      </c>
      <c r="NKL42">
        <f t="shared" si="192"/>
        <v>0</v>
      </c>
      <c r="NKM42">
        <f t="shared" si="192"/>
        <v>0</v>
      </c>
      <c r="NKN42">
        <f t="shared" si="192"/>
        <v>0</v>
      </c>
      <c r="NKO42">
        <f t="shared" si="192"/>
        <v>0</v>
      </c>
      <c r="NKP42">
        <f t="shared" si="192"/>
        <v>0</v>
      </c>
      <c r="NKQ42">
        <f t="shared" si="192"/>
        <v>0</v>
      </c>
      <c r="NKR42">
        <f t="shared" si="192"/>
        <v>0</v>
      </c>
      <c r="NKS42">
        <f t="shared" si="192"/>
        <v>0</v>
      </c>
      <c r="NKT42">
        <f t="shared" si="192"/>
        <v>0</v>
      </c>
      <c r="NKU42">
        <f t="shared" si="192"/>
        <v>0</v>
      </c>
      <c r="NKV42">
        <f t="shared" si="192"/>
        <v>0</v>
      </c>
      <c r="NKW42">
        <f t="shared" si="192"/>
        <v>0</v>
      </c>
      <c r="NKX42">
        <f t="shared" si="192"/>
        <v>0</v>
      </c>
      <c r="NKY42">
        <f t="shared" si="192"/>
        <v>0</v>
      </c>
      <c r="NKZ42">
        <f t="shared" si="192"/>
        <v>0</v>
      </c>
      <c r="NLA42">
        <f t="shared" si="192"/>
        <v>0</v>
      </c>
      <c r="NLB42">
        <f t="shared" si="192"/>
        <v>0</v>
      </c>
      <c r="NLC42">
        <f t="shared" si="192"/>
        <v>0</v>
      </c>
      <c r="NLD42">
        <f t="shared" si="192"/>
        <v>0</v>
      </c>
      <c r="NLE42">
        <f t="shared" si="192"/>
        <v>0</v>
      </c>
      <c r="NLF42">
        <f t="shared" si="192"/>
        <v>0</v>
      </c>
      <c r="NLG42">
        <f t="shared" si="192"/>
        <v>0</v>
      </c>
      <c r="NLH42">
        <f t="shared" si="192"/>
        <v>0</v>
      </c>
      <c r="NLI42">
        <f t="shared" si="192"/>
        <v>0</v>
      </c>
      <c r="NLJ42">
        <f t="shared" si="192"/>
        <v>0</v>
      </c>
      <c r="NLK42">
        <f t="shared" si="192"/>
        <v>0</v>
      </c>
      <c r="NLL42">
        <f t="shared" si="192"/>
        <v>0</v>
      </c>
      <c r="NLM42">
        <f t="shared" si="192"/>
        <v>0</v>
      </c>
      <c r="NLN42">
        <f t="shared" ref="NLN42:NNY43" si="193">NLN41*1.6*1.2</f>
        <v>0</v>
      </c>
      <c r="NLO42">
        <f t="shared" si="193"/>
        <v>0</v>
      </c>
      <c r="NLP42">
        <f t="shared" si="193"/>
        <v>0</v>
      </c>
      <c r="NLQ42">
        <f t="shared" si="193"/>
        <v>0</v>
      </c>
      <c r="NLR42">
        <f t="shared" si="193"/>
        <v>0</v>
      </c>
      <c r="NLS42">
        <f t="shared" si="193"/>
        <v>0</v>
      </c>
      <c r="NLT42">
        <f t="shared" si="193"/>
        <v>0</v>
      </c>
      <c r="NLU42">
        <f t="shared" si="193"/>
        <v>0</v>
      </c>
      <c r="NLV42">
        <f t="shared" si="193"/>
        <v>0</v>
      </c>
      <c r="NLW42">
        <f t="shared" si="193"/>
        <v>0</v>
      </c>
      <c r="NLX42">
        <f t="shared" si="193"/>
        <v>0</v>
      </c>
      <c r="NLY42">
        <f t="shared" si="193"/>
        <v>0</v>
      </c>
      <c r="NLZ42">
        <f t="shared" si="193"/>
        <v>0</v>
      </c>
      <c r="NMA42">
        <f t="shared" si="193"/>
        <v>0</v>
      </c>
      <c r="NMB42">
        <f t="shared" si="193"/>
        <v>0</v>
      </c>
      <c r="NMC42">
        <f t="shared" si="193"/>
        <v>0</v>
      </c>
      <c r="NMD42">
        <f t="shared" si="193"/>
        <v>0</v>
      </c>
      <c r="NME42">
        <f t="shared" si="193"/>
        <v>0</v>
      </c>
      <c r="NMF42">
        <f t="shared" si="193"/>
        <v>0</v>
      </c>
      <c r="NMG42">
        <f t="shared" si="193"/>
        <v>0</v>
      </c>
      <c r="NMH42">
        <f t="shared" si="193"/>
        <v>0</v>
      </c>
      <c r="NMI42">
        <f t="shared" si="193"/>
        <v>0</v>
      </c>
      <c r="NMJ42">
        <f t="shared" si="193"/>
        <v>0</v>
      </c>
      <c r="NMK42">
        <f t="shared" si="193"/>
        <v>0</v>
      </c>
      <c r="NML42">
        <f t="shared" si="193"/>
        <v>0</v>
      </c>
      <c r="NMM42">
        <f t="shared" si="193"/>
        <v>0</v>
      </c>
      <c r="NMN42">
        <f t="shared" si="193"/>
        <v>0</v>
      </c>
      <c r="NMO42">
        <f t="shared" si="193"/>
        <v>0</v>
      </c>
      <c r="NMP42">
        <f t="shared" si="193"/>
        <v>0</v>
      </c>
      <c r="NMQ42">
        <f t="shared" si="193"/>
        <v>0</v>
      </c>
      <c r="NMR42">
        <f t="shared" si="193"/>
        <v>0</v>
      </c>
      <c r="NMS42">
        <f t="shared" si="193"/>
        <v>0</v>
      </c>
      <c r="NMT42">
        <f t="shared" si="193"/>
        <v>0</v>
      </c>
      <c r="NMU42">
        <f t="shared" si="193"/>
        <v>0</v>
      </c>
      <c r="NMV42">
        <f t="shared" si="193"/>
        <v>0</v>
      </c>
      <c r="NMW42">
        <f t="shared" si="193"/>
        <v>0</v>
      </c>
      <c r="NMX42">
        <f t="shared" si="193"/>
        <v>0</v>
      </c>
      <c r="NMY42">
        <f t="shared" si="193"/>
        <v>0</v>
      </c>
      <c r="NMZ42">
        <f t="shared" si="193"/>
        <v>0</v>
      </c>
      <c r="NNA42">
        <f t="shared" si="193"/>
        <v>0</v>
      </c>
      <c r="NNB42">
        <f t="shared" si="193"/>
        <v>0</v>
      </c>
      <c r="NNC42">
        <f t="shared" si="193"/>
        <v>0</v>
      </c>
      <c r="NND42">
        <f t="shared" si="193"/>
        <v>0</v>
      </c>
      <c r="NNE42">
        <f t="shared" si="193"/>
        <v>0</v>
      </c>
      <c r="NNF42">
        <f t="shared" si="193"/>
        <v>0</v>
      </c>
      <c r="NNG42">
        <f t="shared" si="193"/>
        <v>0</v>
      </c>
      <c r="NNH42">
        <f t="shared" si="193"/>
        <v>0</v>
      </c>
      <c r="NNI42">
        <f t="shared" si="193"/>
        <v>0</v>
      </c>
      <c r="NNJ42">
        <f t="shared" si="193"/>
        <v>0</v>
      </c>
      <c r="NNK42">
        <f t="shared" si="193"/>
        <v>0</v>
      </c>
      <c r="NNL42">
        <f t="shared" si="193"/>
        <v>0</v>
      </c>
      <c r="NNM42">
        <f t="shared" si="193"/>
        <v>0</v>
      </c>
      <c r="NNN42">
        <f t="shared" si="193"/>
        <v>0</v>
      </c>
      <c r="NNO42">
        <f t="shared" si="193"/>
        <v>0</v>
      </c>
      <c r="NNP42">
        <f t="shared" si="193"/>
        <v>0</v>
      </c>
      <c r="NNQ42">
        <f t="shared" si="193"/>
        <v>0</v>
      </c>
      <c r="NNR42">
        <f t="shared" si="193"/>
        <v>0</v>
      </c>
      <c r="NNS42">
        <f t="shared" si="193"/>
        <v>0</v>
      </c>
      <c r="NNT42">
        <f t="shared" si="193"/>
        <v>0</v>
      </c>
      <c r="NNU42">
        <f t="shared" si="193"/>
        <v>0</v>
      </c>
      <c r="NNV42">
        <f t="shared" si="193"/>
        <v>0</v>
      </c>
      <c r="NNW42">
        <f t="shared" si="193"/>
        <v>0</v>
      </c>
      <c r="NNX42">
        <f t="shared" si="193"/>
        <v>0</v>
      </c>
      <c r="NNY42">
        <f t="shared" si="193"/>
        <v>0</v>
      </c>
      <c r="NNZ42">
        <f t="shared" ref="NNZ42:NQK43" si="194">NNZ41*1.6*1.2</f>
        <v>0</v>
      </c>
      <c r="NOA42">
        <f t="shared" si="194"/>
        <v>0</v>
      </c>
      <c r="NOB42">
        <f t="shared" si="194"/>
        <v>0</v>
      </c>
      <c r="NOC42">
        <f t="shared" si="194"/>
        <v>0</v>
      </c>
      <c r="NOD42">
        <f t="shared" si="194"/>
        <v>0</v>
      </c>
      <c r="NOE42">
        <f t="shared" si="194"/>
        <v>0</v>
      </c>
      <c r="NOF42">
        <f t="shared" si="194"/>
        <v>0</v>
      </c>
      <c r="NOG42">
        <f t="shared" si="194"/>
        <v>0</v>
      </c>
      <c r="NOH42">
        <f t="shared" si="194"/>
        <v>0</v>
      </c>
      <c r="NOI42">
        <f t="shared" si="194"/>
        <v>0</v>
      </c>
      <c r="NOJ42">
        <f t="shared" si="194"/>
        <v>0</v>
      </c>
      <c r="NOK42">
        <f t="shared" si="194"/>
        <v>0</v>
      </c>
      <c r="NOL42">
        <f t="shared" si="194"/>
        <v>0</v>
      </c>
      <c r="NOM42">
        <f t="shared" si="194"/>
        <v>0</v>
      </c>
      <c r="NON42">
        <f t="shared" si="194"/>
        <v>0</v>
      </c>
      <c r="NOO42">
        <f t="shared" si="194"/>
        <v>0</v>
      </c>
      <c r="NOP42">
        <f t="shared" si="194"/>
        <v>0</v>
      </c>
      <c r="NOQ42">
        <f t="shared" si="194"/>
        <v>0</v>
      </c>
      <c r="NOR42">
        <f t="shared" si="194"/>
        <v>0</v>
      </c>
      <c r="NOS42">
        <f t="shared" si="194"/>
        <v>0</v>
      </c>
      <c r="NOT42">
        <f t="shared" si="194"/>
        <v>0</v>
      </c>
      <c r="NOU42">
        <f t="shared" si="194"/>
        <v>0</v>
      </c>
      <c r="NOV42">
        <f t="shared" si="194"/>
        <v>0</v>
      </c>
      <c r="NOW42">
        <f t="shared" si="194"/>
        <v>0</v>
      </c>
      <c r="NOX42">
        <f t="shared" si="194"/>
        <v>0</v>
      </c>
      <c r="NOY42">
        <f t="shared" si="194"/>
        <v>0</v>
      </c>
      <c r="NOZ42">
        <f t="shared" si="194"/>
        <v>0</v>
      </c>
      <c r="NPA42">
        <f t="shared" si="194"/>
        <v>0</v>
      </c>
      <c r="NPB42">
        <f t="shared" si="194"/>
        <v>0</v>
      </c>
      <c r="NPC42">
        <f t="shared" si="194"/>
        <v>0</v>
      </c>
      <c r="NPD42">
        <f t="shared" si="194"/>
        <v>0</v>
      </c>
      <c r="NPE42">
        <f t="shared" si="194"/>
        <v>0</v>
      </c>
      <c r="NPF42">
        <f t="shared" si="194"/>
        <v>0</v>
      </c>
      <c r="NPG42">
        <f t="shared" si="194"/>
        <v>0</v>
      </c>
      <c r="NPH42">
        <f t="shared" si="194"/>
        <v>0</v>
      </c>
      <c r="NPI42">
        <f t="shared" si="194"/>
        <v>0</v>
      </c>
      <c r="NPJ42">
        <f t="shared" si="194"/>
        <v>0</v>
      </c>
      <c r="NPK42">
        <f t="shared" si="194"/>
        <v>0</v>
      </c>
      <c r="NPL42">
        <f t="shared" si="194"/>
        <v>0</v>
      </c>
      <c r="NPM42">
        <f t="shared" si="194"/>
        <v>0</v>
      </c>
      <c r="NPN42">
        <f t="shared" si="194"/>
        <v>0</v>
      </c>
      <c r="NPO42">
        <f t="shared" si="194"/>
        <v>0</v>
      </c>
      <c r="NPP42">
        <f t="shared" si="194"/>
        <v>0</v>
      </c>
      <c r="NPQ42">
        <f t="shared" si="194"/>
        <v>0</v>
      </c>
      <c r="NPR42">
        <f t="shared" si="194"/>
        <v>0</v>
      </c>
      <c r="NPS42">
        <f t="shared" si="194"/>
        <v>0</v>
      </c>
      <c r="NPT42">
        <f t="shared" si="194"/>
        <v>0</v>
      </c>
      <c r="NPU42">
        <f t="shared" si="194"/>
        <v>0</v>
      </c>
      <c r="NPV42">
        <f t="shared" si="194"/>
        <v>0</v>
      </c>
      <c r="NPW42">
        <f t="shared" si="194"/>
        <v>0</v>
      </c>
      <c r="NPX42">
        <f t="shared" si="194"/>
        <v>0</v>
      </c>
      <c r="NPY42">
        <f t="shared" si="194"/>
        <v>0</v>
      </c>
      <c r="NPZ42">
        <f t="shared" si="194"/>
        <v>0</v>
      </c>
      <c r="NQA42">
        <f t="shared" si="194"/>
        <v>0</v>
      </c>
      <c r="NQB42">
        <f t="shared" si="194"/>
        <v>0</v>
      </c>
      <c r="NQC42">
        <f t="shared" si="194"/>
        <v>0</v>
      </c>
      <c r="NQD42">
        <f t="shared" si="194"/>
        <v>0</v>
      </c>
      <c r="NQE42">
        <f t="shared" si="194"/>
        <v>0</v>
      </c>
      <c r="NQF42">
        <f t="shared" si="194"/>
        <v>0</v>
      </c>
      <c r="NQG42">
        <f t="shared" si="194"/>
        <v>0</v>
      </c>
      <c r="NQH42">
        <f t="shared" si="194"/>
        <v>0</v>
      </c>
      <c r="NQI42">
        <f t="shared" si="194"/>
        <v>0</v>
      </c>
      <c r="NQJ42">
        <f t="shared" si="194"/>
        <v>0</v>
      </c>
      <c r="NQK42">
        <f t="shared" si="194"/>
        <v>0</v>
      </c>
      <c r="NQL42">
        <f t="shared" ref="NQL42:NSW43" si="195">NQL41*1.6*1.2</f>
        <v>0</v>
      </c>
      <c r="NQM42">
        <f t="shared" si="195"/>
        <v>0</v>
      </c>
      <c r="NQN42">
        <f t="shared" si="195"/>
        <v>0</v>
      </c>
      <c r="NQO42">
        <f t="shared" si="195"/>
        <v>0</v>
      </c>
      <c r="NQP42">
        <f t="shared" si="195"/>
        <v>0</v>
      </c>
      <c r="NQQ42">
        <f t="shared" si="195"/>
        <v>0</v>
      </c>
      <c r="NQR42">
        <f t="shared" si="195"/>
        <v>0</v>
      </c>
      <c r="NQS42">
        <f t="shared" si="195"/>
        <v>0</v>
      </c>
      <c r="NQT42">
        <f t="shared" si="195"/>
        <v>0</v>
      </c>
      <c r="NQU42">
        <f t="shared" si="195"/>
        <v>0</v>
      </c>
      <c r="NQV42">
        <f t="shared" si="195"/>
        <v>0</v>
      </c>
      <c r="NQW42">
        <f t="shared" si="195"/>
        <v>0</v>
      </c>
      <c r="NQX42">
        <f t="shared" si="195"/>
        <v>0</v>
      </c>
      <c r="NQY42">
        <f t="shared" si="195"/>
        <v>0</v>
      </c>
      <c r="NQZ42">
        <f t="shared" si="195"/>
        <v>0</v>
      </c>
      <c r="NRA42">
        <f t="shared" si="195"/>
        <v>0</v>
      </c>
      <c r="NRB42">
        <f t="shared" si="195"/>
        <v>0</v>
      </c>
      <c r="NRC42">
        <f t="shared" si="195"/>
        <v>0</v>
      </c>
      <c r="NRD42">
        <f t="shared" si="195"/>
        <v>0</v>
      </c>
      <c r="NRE42">
        <f t="shared" si="195"/>
        <v>0</v>
      </c>
      <c r="NRF42">
        <f t="shared" si="195"/>
        <v>0</v>
      </c>
      <c r="NRG42">
        <f t="shared" si="195"/>
        <v>0</v>
      </c>
      <c r="NRH42">
        <f t="shared" si="195"/>
        <v>0</v>
      </c>
      <c r="NRI42">
        <f t="shared" si="195"/>
        <v>0</v>
      </c>
      <c r="NRJ42">
        <f t="shared" si="195"/>
        <v>0</v>
      </c>
      <c r="NRK42">
        <f t="shared" si="195"/>
        <v>0</v>
      </c>
      <c r="NRL42">
        <f t="shared" si="195"/>
        <v>0</v>
      </c>
      <c r="NRM42">
        <f t="shared" si="195"/>
        <v>0</v>
      </c>
      <c r="NRN42">
        <f t="shared" si="195"/>
        <v>0</v>
      </c>
      <c r="NRO42">
        <f t="shared" si="195"/>
        <v>0</v>
      </c>
      <c r="NRP42">
        <f t="shared" si="195"/>
        <v>0</v>
      </c>
      <c r="NRQ42">
        <f t="shared" si="195"/>
        <v>0</v>
      </c>
      <c r="NRR42">
        <f t="shared" si="195"/>
        <v>0</v>
      </c>
      <c r="NRS42">
        <f t="shared" si="195"/>
        <v>0</v>
      </c>
      <c r="NRT42">
        <f t="shared" si="195"/>
        <v>0</v>
      </c>
      <c r="NRU42">
        <f t="shared" si="195"/>
        <v>0</v>
      </c>
      <c r="NRV42">
        <f t="shared" si="195"/>
        <v>0</v>
      </c>
      <c r="NRW42">
        <f t="shared" si="195"/>
        <v>0</v>
      </c>
      <c r="NRX42">
        <f t="shared" si="195"/>
        <v>0</v>
      </c>
      <c r="NRY42">
        <f t="shared" si="195"/>
        <v>0</v>
      </c>
      <c r="NRZ42">
        <f t="shared" si="195"/>
        <v>0</v>
      </c>
      <c r="NSA42">
        <f t="shared" si="195"/>
        <v>0</v>
      </c>
      <c r="NSB42">
        <f t="shared" si="195"/>
        <v>0</v>
      </c>
      <c r="NSC42">
        <f t="shared" si="195"/>
        <v>0</v>
      </c>
      <c r="NSD42">
        <f t="shared" si="195"/>
        <v>0</v>
      </c>
      <c r="NSE42">
        <f t="shared" si="195"/>
        <v>0</v>
      </c>
      <c r="NSF42">
        <f t="shared" si="195"/>
        <v>0</v>
      </c>
      <c r="NSG42">
        <f t="shared" si="195"/>
        <v>0</v>
      </c>
      <c r="NSH42">
        <f t="shared" si="195"/>
        <v>0</v>
      </c>
      <c r="NSI42">
        <f t="shared" si="195"/>
        <v>0</v>
      </c>
      <c r="NSJ42">
        <f t="shared" si="195"/>
        <v>0</v>
      </c>
      <c r="NSK42">
        <f t="shared" si="195"/>
        <v>0</v>
      </c>
      <c r="NSL42">
        <f t="shared" si="195"/>
        <v>0</v>
      </c>
      <c r="NSM42">
        <f t="shared" si="195"/>
        <v>0</v>
      </c>
      <c r="NSN42">
        <f t="shared" si="195"/>
        <v>0</v>
      </c>
      <c r="NSO42">
        <f t="shared" si="195"/>
        <v>0</v>
      </c>
      <c r="NSP42">
        <f t="shared" si="195"/>
        <v>0</v>
      </c>
      <c r="NSQ42">
        <f t="shared" si="195"/>
        <v>0</v>
      </c>
      <c r="NSR42">
        <f t="shared" si="195"/>
        <v>0</v>
      </c>
      <c r="NSS42">
        <f t="shared" si="195"/>
        <v>0</v>
      </c>
      <c r="NST42">
        <f t="shared" si="195"/>
        <v>0</v>
      </c>
      <c r="NSU42">
        <f t="shared" si="195"/>
        <v>0</v>
      </c>
      <c r="NSV42">
        <f t="shared" si="195"/>
        <v>0</v>
      </c>
      <c r="NSW42">
        <f t="shared" si="195"/>
        <v>0</v>
      </c>
      <c r="NSX42">
        <f t="shared" ref="NSX42:NVI43" si="196">NSX41*1.6*1.2</f>
        <v>0</v>
      </c>
      <c r="NSY42">
        <f t="shared" si="196"/>
        <v>0</v>
      </c>
      <c r="NSZ42">
        <f t="shared" si="196"/>
        <v>0</v>
      </c>
      <c r="NTA42">
        <f t="shared" si="196"/>
        <v>0</v>
      </c>
      <c r="NTB42">
        <f t="shared" si="196"/>
        <v>0</v>
      </c>
      <c r="NTC42">
        <f t="shared" si="196"/>
        <v>0</v>
      </c>
      <c r="NTD42">
        <f t="shared" si="196"/>
        <v>0</v>
      </c>
      <c r="NTE42">
        <f t="shared" si="196"/>
        <v>0</v>
      </c>
      <c r="NTF42">
        <f t="shared" si="196"/>
        <v>0</v>
      </c>
      <c r="NTG42">
        <f t="shared" si="196"/>
        <v>0</v>
      </c>
      <c r="NTH42">
        <f t="shared" si="196"/>
        <v>0</v>
      </c>
      <c r="NTI42">
        <f t="shared" si="196"/>
        <v>0</v>
      </c>
      <c r="NTJ42">
        <f t="shared" si="196"/>
        <v>0</v>
      </c>
      <c r="NTK42">
        <f t="shared" si="196"/>
        <v>0</v>
      </c>
      <c r="NTL42">
        <f t="shared" si="196"/>
        <v>0</v>
      </c>
      <c r="NTM42">
        <f t="shared" si="196"/>
        <v>0</v>
      </c>
      <c r="NTN42">
        <f t="shared" si="196"/>
        <v>0</v>
      </c>
      <c r="NTO42">
        <f t="shared" si="196"/>
        <v>0</v>
      </c>
      <c r="NTP42">
        <f t="shared" si="196"/>
        <v>0</v>
      </c>
      <c r="NTQ42">
        <f t="shared" si="196"/>
        <v>0</v>
      </c>
      <c r="NTR42">
        <f t="shared" si="196"/>
        <v>0</v>
      </c>
      <c r="NTS42">
        <f t="shared" si="196"/>
        <v>0</v>
      </c>
      <c r="NTT42">
        <f t="shared" si="196"/>
        <v>0</v>
      </c>
      <c r="NTU42">
        <f t="shared" si="196"/>
        <v>0</v>
      </c>
      <c r="NTV42">
        <f t="shared" si="196"/>
        <v>0</v>
      </c>
      <c r="NTW42">
        <f t="shared" si="196"/>
        <v>0</v>
      </c>
      <c r="NTX42">
        <f t="shared" si="196"/>
        <v>0</v>
      </c>
      <c r="NTY42">
        <f t="shared" si="196"/>
        <v>0</v>
      </c>
      <c r="NTZ42">
        <f t="shared" si="196"/>
        <v>0</v>
      </c>
      <c r="NUA42">
        <f t="shared" si="196"/>
        <v>0</v>
      </c>
      <c r="NUB42">
        <f t="shared" si="196"/>
        <v>0</v>
      </c>
      <c r="NUC42">
        <f t="shared" si="196"/>
        <v>0</v>
      </c>
      <c r="NUD42">
        <f t="shared" si="196"/>
        <v>0</v>
      </c>
      <c r="NUE42">
        <f t="shared" si="196"/>
        <v>0</v>
      </c>
      <c r="NUF42">
        <f t="shared" si="196"/>
        <v>0</v>
      </c>
      <c r="NUG42">
        <f t="shared" si="196"/>
        <v>0</v>
      </c>
      <c r="NUH42">
        <f t="shared" si="196"/>
        <v>0</v>
      </c>
      <c r="NUI42">
        <f t="shared" si="196"/>
        <v>0</v>
      </c>
      <c r="NUJ42">
        <f t="shared" si="196"/>
        <v>0</v>
      </c>
      <c r="NUK42">
        <f t="shared" si="196"/>
        <v>0</v>
      </c>
      <c r="NUL42">
        <f t="shared" si="196"/>
        <v>0</v>
      </c>
      <c r="NUM42">
        <f t="shared" si="196"/>
        <v>0</v>
      </c>
      <c r="NUN42">
        <f t="shared" si="196"/>
        <v>0</v>
      </c>
      <c r="NUO42">
        <f t="shared" si="196"/>
        <v>0</v>
      </c>
      <c r="NUP42">
        <f t="shared" si="196"/>
        <v>0</v>
      </c>
      <c r="NUQ42">
        <f t="shared" si="196"/>
        <v>0</v>
      </c>
      <c r="NUR42">
        <f t="shared" si="196"/>
        <v>0</v>
      </c>
      <c r="NUS42">
        <f t="shared" si="196"/>
        <v>0</v>
      </c>
      <c r="NUT42">
        <f t="shared" si="196"/>
        <v>0</v>
      </c>
      <c r="NUU42">
        <f t="shared" si="196"/>
        <v>0</v>
      </c>
      <c r="NUV42">
        <f t="shared" si="196"/>
        <v>0</v>
      </c>
      <c r="NUW42">
        <f t="shared" si="196"/>
        <v>0</v>
      </c>
      <c r="NUX42">
        <f t="shared" si="196"/>
        <v>0</v>
      </c>
      <c r="NUY42">
        <f t="shared" si="196"/>
        <v>0</v>
      </c>
      <c r="NUZ42">
        <f t="shared" si="196"/>
        <v>0</v>
      </c>
      <c r="NVA42">
        <f t="shared" si="196"/>
        <v>0</v>
      </c>
      <c r="NVB42">
        <f t="shared" si="196"/>
        <v>0</v>
      </c>
      <c r="NVC42">
        <f t="shared" si="196"/>
        <v>0</v>
      </c>
      <c r="NVD42">
        <f t="shared" si="196"/>
        <v>0</v>
      </c>
      <c r="NVE42">
        <f t="shared" si="196"/>
        <v>0</v>
      </c>
      <c r="NVF42">
        <f t="shared" si="196"/>
        <v>0</v>
      </c>
      <c r="NVG42">
        <f t="shared" si="196"/>
        <v>0</v>
      </c>
      <c r="NVH42">
        <f t="shared" si="196"/>
        <v>0</v>
      </c>
      <c r="NVI42">
        <f t="shared" si="196"/>
        <v>0</v>
      </c>
      <c r="NVJ42">
        <f t="shared" ref="NVJ42:NXU43" si="197">NVJ41*1.6*1.2</f>
        <v>0</v>
      </c>
      <c r="NVK42">
        <f t="shared" si="197"/>
        <v>0</v>
      </c>
      <c r="NVL42">
        <f t="shared" si="197"/>
        <v>0</v>
      </c>
      <c r="NVM42">
        <f t="shared" si="197"/>
        <v>0</v>
      </c>
      <c r="NVN42">
        <f t="shared" si="197"/>
        <v>0</v>
      </c>
      <c r="NVO42">
        <f t="shared" si="197"/>
        <v>0</v>
      </c>
      <c r="NVP42">
        <f t="shared" si="197"/>
        <v>0</v>
      </c>
      <c r="NVQ42">
        <f t="shared" si="197"/>
        <v>0</v>
      </c>
      <c r="NVR42">
        <f t="shared" si="197"/>
        <v>0</v>
      </c>
      <c r="NVS42">
        <f t="shared" si="197"/>
        <v>0</v>
      </c>
      <c r="NVT42">
        <f t="shared" si="197"/>
        <v>0</v>
      </c>
      <c r="NVU42">
        <f t="shared" si="197"/>
        <v>0</v>
      </c>
      <c r="NVV42">
        <f t="shared" si="197"/>
        <v>0</v>
      </c>
      <c r="NVW42">
        <f t="shared" si="197"/>
        <v>0</v>
      </c>
      <c r="NVX42">
        <f t="shared" si="197"/>
        <v>0</v>
      </c>
      <c r="NVY42">
        <f t="shared" si="197"/>
        <v>0</v>
      </c>
      <c r="NVZ42">
        <f t="shared" si="197"/>
        <v>0</v>
      </c>
      <c r="NWA42">
        <f t="shared" si="197"/>
        <v>0</v>
      </c>
      <c r="NWB42">
        <f t="shared" si="197"/>
        <v>0</v>
      </c>
      <c r="NWC42">
        <f t="shared" si="197"/>
        <v>0</v>
      </c>
      <c r="NWD42">
        <f t="shared" si="197"/>
        <v>0</v>
      </c>
      <c r="NWE42">
        <f t="shared" si="197"/>
        <v>0</v>
      </c>
      <c r="NWF42">
        <f t="shared" si="197"/>
        <v>0</v>
      </c>
      <c r="NWG42">
        <f t="shared" si="197"/>
        <v>0</v>
      </c>
      <c r="NWH42">
        <f t="shared" si="197"/>
        <v>0</v>
      </c>
      <c r="NWI42">
        <f t="shared" si="197"/>
        <v>0</v>
      </c>
      <c r="NWJ42">
        <f t="shared" si="197"/>
        <v>0</v>
      </c>
      <c r="NWK42">
        <f t="shared" si="197"/>
        <v>0</v>
      </c>
      <c r="NWL42">
        <f t="shared" si="197"/>
        <v>0</v>
      </c>
      <c r="NWM42">
        <f t="shared" si="197"/>
        <v>0</v>
      </c>
      <c r="NWN42">
        <f t="shared" si="197"/>
        <v>0</v>
      </c>
      <c r="NWO42">
        <f t="shared" si="197"/>
        <v>0</v>
      </c>
      <c r="NWP42">
        <f t="shared" si="197"/>
        <v>0</v>
      </c>
      <c r="NWQ42">
        <f t="shared" si="197"/>
        <v>0</v>
      </c>
      <c r="NWR42">
        <f t="shared" si="197"/>
        <v>0</v>
      </c>
      <c r="NWS42">
        <f t="shared" si="197"/>
        <v>0</v>
      </c>
      <c r="NWT42">
        <f t="shared" si="197"/>
        <v>0</v>
      </c>
      <c r="NWU42">
        <f t="shared" si="197"/>
        <v>0</v>
      </c>
      <c r="NWV42">
        <f t="shared" si="197"/>
        <v>0</v>
      </c>
      <c r="NWW42">
        <f t="shared" si="197"/>
        <v>0</v>
      </c>
      <c r="NWX42">
        <f t="shared" si="197"/>
        <v>0</v>
      </c>
      <c r="NWY42">
        <f t="shared" si="197"/>
        <v>0</v>
      </c>
      <c r="NWZ42">
        <f t="shared" si="197"/>
        <v>0</v>
      </c>
      <c r="NXA42">
        <f t="shared" si="197"/>
        <v>0</v>
      </c>
      <c r="NXB42">
        <f t="shared" si="197"/>
        <v>0</v>
      </c>
      <c r="NXC42">
        <f t="shared" si="197"/>
        <v>0</v>
      </c>
      <c r="NXD42">
        <f t="shared" si="197"/>
        <v>0</v>
      </c>
      <c r="NXE42">
        <f t="shared" si="197"/>
        <v>0</v>
      </c>
      <c r="NXF42">
        <f t="shared" si="197"/>
        <v>0</v>
      </c>
      <c r="NXG42">
        <f t="shared" si="197"/>
        <v>0</v>
      </c>
      <c r="NXH42">
        <f t="shared" si="197"/>
        <v>0</v>
      </c>
      <c r="NXI42">
        <f t="shared" si="197"/>
        <v>0</v>
      </c>
      <c r="NXJ42">
        <f t="shared" si="197"/>
        <v>0</v>
      </c>
      <c r="NXK42">
        <f t="shared" si="197"/>
        <v>0</v>
      </c>
      <c r="NXL42">
        <f t="shared" si="197"/>
        <v>0</v>
      </c>
      <c r="NXM42">
        <f t="shared" si="197"/>
        <v>0</v>
      </c>
      <c r="NXN42">
        <f t="shared" si="197"/>
        <v>0</v>
      </c>
      <c r="NXO42">
        <f t="shared" si="197"/>
        <v>0</v>
      </c>
      <c r="NXP42">
        <f t="shared" si="197"/>
        <v>0</v>
      </c>
      <c r="NXQ42">
        <f t="shared" si="197"/>
        <v>0</v>
      </c>
      <c r="NXR42">
        <f t="shared" si="197"/>
        <v>0</v>
      </c>
      <c r="NXS42">
        <f t="shared" si="197"/>
        <v>0</v>
      </c>
      <c r="NXT42">
        <f t="shared" si="197"/>
        <v>0</v>
      </c>
      <c r="NXU42">
        <f t="shared" si="197"/>
        <v>0</v>
      </c>
      <c r="NXV42">
        <f t="shared" ref="NXV42:OAG43" si="198">NXV41*1.6*1.2</f>
        <v>0</v>
      </c>
      <c r="NXW42">
        <f t="shared" si="198"/>
        <v>0</v>
      </c>
      <c r="NXX42">
        <f t="shared" si="198"/>
        <v>0</v>
      </c>
      <c r="NXY42">
        <f t="shared" si="198"/>
        <v>0</v>
      </c>
      <c r="NXZ42">
        <f t="shared" si="198"/>
        <v>0</v>
      </c>
      <c r="NYA42">
        <f t="shared" si="198"/>
        <v>0</v>
      </c>
      <c r="NYB42">
        <f t="shared" si="198"/>
        <v>0</v>
      </c>
      <c r="NYC42">
        <f t="shared" si="198"/>
        <v>0</v>
      </c>
      <c r="NYD42">
        <f t="shared" si="198"/>
        <v>0</v>
      </c>
      <c r="NYE42">
        <f t="shared" si="198"/>
        <v>0</v>
      </c>
      <c r="NYF42">
        <f t="shared" si="198"/>
        <v>0</v>
      </c>
      <c r="NYG42">
        <f t="shared" si="198"/>
        <v>0</v>
      </c>
      <c r="NYH42">
        <f t="shared" si="198"/>
        <v>0</v>
      </c>
      <c r="NYI42">
        <f t="shared" si="198"/>
        <v>0</v>
      </c>
      <c r="NYJ42">
        <f t="shared" si="198"/>
        <v>0</v>
      </c>
      <c r="NYK42">
        <f t="shared" si="198"/>
        <v>0</v>
      </c>
      <c r="NYL42">
        <f t="shared" si="198"/>
        <v>0</v>
      </c>
      <c r="NYM42">
        <f t="shared" si="198"/>
        <v>0</v>
      </c>
      <c r="NYN42">
        <f t="shared" si="198"/>
        <v>0</v>
      </c>
      <c r="NYO42">
        <f t="shared" si="198"/>
        <v>0</v>
      </c>
      <c r="NYP42">
        <f t="shared" si="198"/>
        <v>0</v>
      </c>
      <c r="NYQ42">
        <f t="shared" si="198"/>
        <v>0</v>
      </c>
      <c r="NYR42">
        <f t="shared" si="198"/>
        <v>0</v>
      </c>
      <c r="NYS42">
        <f t="shared" si="198"/>
        <v>0</v>
      </c>
      <c r="NYT42">
        <f t="shared" si="198"/>
        <v>0</v>
      </c>
      <c r="NYU42">
        <f t="shared" si="198"/>
        <v>0</v>
      </c>
      <c r="NYV42">
        <f t="shared" si="198"/>
        <v>0</v>
      </c>
      <c r="NYW42">
        <f t="shared" si="198"/>
        <v>0</v>
      </c>
      <c r="NYX42">
        <f t="shared" si="198"/>
        <v>0</v>
      </c>
      <c r="NYY42">
        <f t="shared" si="198"/>
        <v>0</v>
      </c>
      <c r="NYZ42">
        <f t="shared" si="198"/>
        <v>0</v>
      </c>
      <c r="NZA42">
        <f t="shared" si="198"/>
        <v>0</v>
      </c>
      <c r="NZB42">
        <f t="shared" si="198"/>
        <v>0</v>
      </c>
      <c r="NZC42">
        <f t="shared" si="198"/>
        <v>0</v>
      </c>
      <c r="NZD42">
        <f t="shared" si="198"/>
        <v>0</v>
      </c>
      <c r="NZE42">
        <f t="shared" si="198"/>
        <v>0</v>
      </c>
      <c r="NZF42">
        <f t="shared" si="198"/>
        <v>0</v>
      </c>
      <c r="NZG42">
        <f t="shared" si="198"/>
        <v>0</v>
      </c>
      <c r="NZH42">
        <f t="shared" si="198"/>
        <v>0</v>
      </c>
      <c r="NZI42">
        <f t="shared" si="198"/>
        <v>0</v>
      </c>
      <c r="NZJ42">
        <f t="shared" si="198"/>
        <v>0</v>
      </c>
      <c r="NZK42">
        <f t="shared" si="198"/>
        <v>0</v>
      </c>
      <c r="NZL42">
        <f t="shared" si="198"/>
        <v>0</v>
      </c>
      <c r="NZM42">
        <f t="shared" si="198"/>
        <v>0</v>
      </c>
      <c r="NZN42">
        <f t="shared" si="198"/>
        <v>0</v>
      </c>
      <c r="NZO42">
        <f t="shared" si="198"/>
        <v>0</v>
      </c>
      <c r="NZP42">
        <f t="shared" si="198"/>
        <v>0</v>
      </c>
      <c r="NZQ42">
        <f t="shared" si="198"/>
        <v>0</v>
      </c>
      <c r="NZR42">
        <f t="shared" si="198"/>
        <v>0</v>
      </c>
      <c r="NZS42">
        <f t="shared" si="198"/>
        <v>0</v>
      </c>
      <c r="NZT42">
        <f t="shared" si="198"/>
        <v>0</v>
      </c>
      <c r="NZU42">
        <f t="shared" si="198"/>
        <v>0</v>
      </c>
      <c r="NZV42">
        <f t="shared" si="198"/>
        <v>0</v>
      </c>
      <c r="NZW42">
        <f t="shared" si="198"/>
        <v>0</v>
      </c>
      <c r="NZX42">
        <f t="shared" si="198"/>
        <v>0</v>
      </c>
      <c r="NZY42">
        <f t="shared" si="198"/>
        <v>0</v>
      </c>
      <c r="NZZ42">
        <f t="shared" si="198"/>
        <v>0</v>
      </c>
      <c r="OAA42">
        <f t="shared" si="198"/>
        <v>0</v>
      </c>
      <c r="OAB42">
        <f t="shared" si="198"/>
        <v>0</v>
      </c>
      <c r="OAC42">
        <f t="shared" si="198"/>
        <v>0</v>
      </c>
      <c r="OAD42">
        <f t="shared" si="198"/>
        <v>0</v>
      </c>
      <c r="OAE42">
        <f t="shared" si="198"/>
        <v>0</v>
      </c>
      <c r="OAF42">
        <f t="shared" si="198"/>
        <v>0</v>
      </c>
      <c r="OAG42">
        <f t="shared" si="198"/>
        <v>0</v>
      </c>
      <c r="OAH42">
        <f t="shared" ref="OAH42:OCS43" si="199">OAH41*1.6*1.2</f>
        <v>0</v>
      </c>
      <c r="OAI42">
        <f t="shared" si="199"/>
        <v>0</v>
      </c>
      <c r="OAJ42">
        <f t="shared" si="199"/>
        <v>0</v>
      </c>
      <c r="OAK42">
        <f t="shared" si="199"/>
        <v>0</v>
      </c>
      <c r="OAL42">
        <f t="shared" si="199"/>
        <v>0</v>
      </c>
      <c r="OAM42">
        <f t="shared" si="199"/>
        <v>0</v>
      </c>
      <c r="OAN42">
        <f t="shared" si="199"/>
        <v>0</v>
      </c>
      <c r="OAO42">
        <f t="shared" si="199"/>
        <v>0</v>
      </c>
      <c r="OAP42">
        <f t="shared" si="199"/>
        <v>0</v>
      </c>
      <c r="OAQ42">
        <f t="shared" si="199"/>
        <v>0</v>
      </c>
      <c r="OAR42">
        <f t="shared" si="199"/>
        <v>0</v>
      </c>
      <c r="OAS42">
        <f t="shared" si="199"/>
        <v>0</v>
      </c>
      <c r="OAT42">
        <f t="shared" si="199"/>
        <v>0</v>
      </c>
      <c r="OAU42">
        <f t="shared" si="199"/>
        <v>0</v>
      </c>
      <c r="OAV42">
        <f t="shared" si="199"/>
        <v>0</v>
      </c>
      <c r="OAW42">
        <f t="shared" si="199"/>
        <v>0</v>
      </c>
      <c r="OAX42">
        <f t="shared" si="199"/>
        <v>0</v>
      </c>
      <c r="OAY42">
        <f t="shared" si="199"/>
        <v>0</v>
      </c>
      <c r="OAZ42">
        <f t="shared" si="199"/>
        <v>0</v>
      </c>
      <c r="OBA42">
        <f t="shared" si="199"/>
        <v>0</v>
      </c>
      <c r="OBB42">
        <f t="shared" si="199"/>
        <v>0</v>
      </c>
      <c r="OBC42">
        <f t="shared" si="199"/>
        <v>0</v>
      </c>
      <c r="OBD42">
        <f t="shared" si="199"/>
        <v>0</v>
      </c>
      <c r="OBE42">
        <f t="shared" si="199"/>
        <v>0</v>
      </c>
      <c r="OBF42">
        <f t="shared" si="199"/>
        <v>0</v>
      </c>
      <c r="OBG42">
        <f t="shared" si="199"/>
        <v>0</v>
      </c>
      <c r="OBH42">
        <f t="shared" si="199"/>
        <v>0</v>
      </c>
      <c r="OBI42">
        <f t="shared" si="199"/>
        <v>0</v>
      </c>
      <c r="OBJ42">
        <f t="shared" si="199"/>
        <v>0</v>
      </c>
      <c r="OBK42">
        <f t="shared" si="199"/>
        <v>0</v>
      </c>
      <c r="OBL42">
        <f t="shared" si="199"/>
        <v>0</v>
      </c>
      <c r="OBM42">
        <f t="shared" si="199"/>
        <v>0</v>
      </c>
      <c r="OBN42">
        <f t="shared" si="199"/>
        <v>0</v>
      </c>
      <c r="OBO42">
        <f t="shared" si="199"/>
        <v>0</v>
      </c>
      <c r="OBP42">
        <f t="shared" si="199"/>
        <v>0</v>
      </c>
      <c r="OBQ42">
        <f t="shared" si="199"/>
        <v>0</v>
      </c>
      <c r="OBR42">
        <f t="shared" si="199"/>
        <v>0</v>
      </c>
      <c r="OBS42">
        <f t="shared" si="199"/>
        <v>0</v>
      </c>
      <c r="OBT42">
        <f t="shared" si="199"/>
        <v>0</v>
      </c>
      <c r="OBU42">
        <f t="shared" si="199"/>
        <v>0</v>
      </c>
      <c r="OBV42">
        <f t="shared" si="199"/>
        <v>0</v>
      </c>
      <c r="OBW42">
        <f t="shared" si="199"/>
        <v>0</v>
      </c>
      <c r="OBX42">
        <f t="shared" si="199"/>
        <v>0</v>
      </c>
      <c r="OBY42">
        <f t="shared" si="199"/>
        <v>0</v>
      </c>
      <c r="OBZ42">
        <f t="shared" si="199"/>
        <v>0</v>
      </c>
      <c r="OCA42">
        <f t="shared" si="199"/>
        <v>0</v>
      </c>
      <c r="OCB42">
        <f t="shared" si="199"/>
        <v>0</v>
      </c>
      <c r="OCC42">
        <f t="shared" si="199"/>
        <v>0</v>
      </c>
      <c r="OCD42">
        <f t="shared" si="199"/>
        <v>0</v>
      </c>
      <c r="OCE42">
        <f t="shared" si="199"/>
        <v>0</v>
      </c>
      <c r="OCF42">
        <f t="shared" si="199"/>
        <v>0</v>
      </c>
      <c r="OCG42">
        <f t="shared" si="199"/>
        <v>0</v>
      </c>
      <c r="OCH42">
        <f t="shared" si="199"/>
        <v>0</v>
      </c>
      <c r="OCI42">
        <f t="shared" si="199"/>
        <v>0</v>
      </c>
      <c r="OCJ42">
        <f t="shared" si="199"/>
        <v>0</v>
      </c>
      <c r="OCK42">
        <f t="shared" si="199"/>
        <v>0</v>
      </c>
      <c r="OCL42">
        <f t="shared" si="199"/>
        <v>0</v>
      </c>
      <c r="OCM42">
        <f t="shared" si="199"/>
        <v>0</v>
      </c>
      <c r="OCN42">
        <f t="shared" si="199"/>
        <v>0</v>
      </c>
      <c r="OCO42">
        <f t="shared" si="199"/>
        <v>0</v>
      </c>
      <c r="OCP42">
        <f t="shared" si="199"/>
        <v>0</v>
      </c>
      <c r="OCQ42">
        <f t="shared" si="199"/>
        <v>0</v>
      </c>
      <c r="OCR42">
        <f t="shared" si="199"/>
        <v>0</v>
      </c>
      <c r="OCS42">
        <f t="shared" si="199"/>
        <v>0</v>
      </c>
      <c r="OCT42">
        <f t="shared" ref="OCT42:OFE43" si="200">OCT41*1.6*1.2</f>
        <v>0</v>
      </c>
      <c r="OCU42">
        <f t="shared" si="200"/>
        <v>0</v>
      </c>
      <c r="OCV42">
        <f t="shared" si="200"/>
        <v>0</v>
      </c>
      <c r="OCW42">
        <f t="shared" si="200"/>
        <v>0</v>
      </c>
      <c r="OCX42">
        <f t="shared" si="200"/>
        <v>0</v>
      </c>
      <c r="OCY42">
        <f t="shared" si="200"/>
        <v>0</v>
      </c>
      <c r="OCZ42">
        <f t="shared" si="200"/>
        <v>0</v>
      </c>
      <c r="ODA42">
        <f t="shared" si="200"/>
        <v>0</v>
      </c>
      <c r="ODB42">
        <f t="shared" si="200"/>
        <v>0</v>
      </c>
      <c r="ODC42">
        <f t="shared" si="200"/>
        <v>0</v>
      </c>
      <c r="ODD42">
        <f t="shared" si="200"/>
        <v>0</v>
      </c>
      <c r="ODE42">
        <f t="shared" si="200"/>
        <v>0</v>
      </c>
      <c r="ODF42">
        <f t="shared" si="200"/>
        <v>0</v>
      </c>
      <c r="ODG42">
        <f t="shared" si="200"/>
        <v>0</v>
      </c>
      <c r="ODH42">
        <f t="shared" si="200"/>
        <v>0</v>
      </c>
      <c r="ODI42">
        <f t="shared" si="200"/>
        <v>0</v>
      </c>
      <c r="ODJ42">
        <f t="shared" si="200"/>
        <v>0</v>
      </c>
      <c r="ODK42">
        <f t="shared" si="200"/>
        <v>0</v>
      </c>
      <c r="ODL42">
        <f t="shared" si="200"/>
        <v>0</v>
      </c>
      <c r="ODM42">
        <f t="shared" si="200"/>
        <v>0</v>
      </c>
      <c r="ODN42">
        <f t="shared" si="200"/>
        <v>0</v>
      </c>
      <c r="ODO42">
        <f t="shared" si="200"/>
        <v>0</v>
      </c>
      <c r="ODP42">
        <f t="shared" si="200"/>
        <v>0</v>
      </c>
      <c r="ODQ42">
        <f t="shared" si="200"/>
        <v>0</v>
      </c>
      <c r="ODR42">
        <f t="shared" si="200"/>
        <v>0</v>
      </c>
      <c r="ODS42">
        <f t="shared" si="200"/>
        <v>0</v>
      </c>
      <c r="ODT42">
        <f t="shared" si="200"/>
        <v>0</v>
      </c>
      <c r="ODU42">
        <f t="shared" si="200"/>
        <v>0</v>
      </c>
      <c r="ODV42">
        <f t="shared" si="200"/>
        <v>0</v>
      </c>
      <c r="ODW42">
        <f t="shared" si="200"/>
        <v>0</v>
      </c>
      <c r="ODX42">
        <f t="shared" si="200"/>
        <v>0</v>
      </c>
      <c r="ODY42">
        <f t="shared" si="200"/>
        <v>0</v>
      </c>
      <c r="ODZ42">
        <f t="shared" si="200"/>
        <v>0</v>
      </c>
      <c r="OEA42">
        <f t="shared" si="200"/>
        <v>0</v>
      </c>
      <c r="OEB42">
        <f t="shared" si="200"/>
        <v>0</v>
      </c>
      <c r="OEC42">
        <f t="shared" si="200"/>
        <v>0</v>
      </c>
      <c r="OED42">
        <f t="shared" si="200"/>
        <v>0</v>
      </c>
      <c r="OEE42">
        <f t="shared" si="200"/>
        <v>0</v>
      </c>
      <c r="OEF42">
        <f t="shared" si="200"/>
        <v>0</v>
      </c>
      <c r="OEG42">
        <f t="shared" si="200"/>
        <v>0</v>
      </c>
      <c r="OEH42">
        <f t="shared" si="200"/>
        <v>0</v>
      </c>
      <c r="OEI42">
        <f t="shared" si="200"/>
        <v>0</v>
      </c>
      <c r="OEJ42">
        <f t="shared" si="200"/>
        <v>0</v>
      </c>
      <c r="OEK42">
        <f t="shared" si="200"/>
        <v>0</v>
      </c>
      <c r="OEL42">
        <f t="shared" si="200"/>
        <v>0</v>
      </c>
      <c r="OEM42">
        <f t="shared" si="200"/>
        <v>0</v>
      </c>
      <c r="OEN42">
        <f t="shared" si="200"/>
        <v>0</v>
      </c>
      <c r="OEO42">
        <f t="shared" si="200"/>
        <v>0</v>
      </c>
      <c r="OEP42">
        <f t="shared" si="200"/>
        <v>0</v>
      </c>
      <c r="OEQ42">
        <f t="shared" si="200"/>
        <v>0</v>
      </c>
      <c r="OER42">
        <f t="shared" si="200"/>
        <v>0</v>
      </c>
      <c r="OES42">
        <f t="shared" si="200"/>
        <v>0</v>
      </c>
      <c r="OET42">
        <f t="shared" si="200"/>
        <v>0</v>
      </c>
      <c r="OEU42">
        <f t="shared" si="200"/>
        <v>0</v>
      </c>
      <c r="OEV42">
        <f t="shared" si="200"/>
        <v>0</v>
      </c>
      <c r="OEW42">
        <f t="shared" si="200"/>
        <v>0</v>
      </c>
      <c r="OEX42">
        <f t="shared" si="200"/>
        <v>0</v>
      </c>
      <c r="OEY42">
        <f t="shared" si="200"/>
        <v>0</v>
      </c>
      <c r="OEZ42">
        <f t="shared" si="200"/>
        <v>0</v>
      </c>
      <c r="OFA42">
        <f t="shared" si="200"/>
        <v>0</v>
      </c>
      <c r="OFB42">
        <f t="shared" si="200"/>
        <v>0</v>
      </c>
      <c r="OFC42">
        <f t="shared" si="200"/>
        <v>0</v>
      </c>
      <c r="OFD42">
        <f t="shared" si="200"/>
        <v>0</v>
      </c>
      <c r="OFE42">
        <f t="shared" si="200"/>
        <v>0</v>
      </c>
      <c r="OFF42">
        <f t="shared" ref="OFF42:OHQ43" si="201">OFF41*1.6*1.2</f>
        <v>0</v>
      </c>
      <c r="OFG42">
        <f t="shared" si="201"/>
        <v>0</v>
      </c>
      <c r="OFH42">
        <f t="shared" si="201"/>
        <v>0</v>
      </c>
      <c r="OFI42">
        <f t="shared" si="201"/>
        <v>0</v>
      </c>
      <c r="OFJ42">
        <f t="shared" si="201"/>
        <v>0</v>
      </c>
      <c r="OFK42">
        <f t="shared" si="201"/>
        <v>0</v>
      </c>
      <c r="OFL42">
        <f t="shared" si="201"/>
        <v>0</v>
      </c>
      <c r="OFM42">
        <f t="shared" si="201"/>
        <v>0</v>
      </c>
      <c r="OFN42">
        <f t="shared" si="201"/>
        <v>0</v>
      </c>
      <c r="OFO42">
        <f t="shared" si="201"/>
        <v>0</v>
      </c>
      <c r="OFP42">
        <f t="shared" si="201"/>
        <v>0</v>
      </c>
      <c r="OFQ42">
        <f t="shared" si="201"/>
        <v>0</v>
      </c>
      <c r="OFR42">
        <f t="shared" si="201"/>
        <v>0</v>
      </c>
      <c r="OFS42">
        <f t="shared" si="201"/>
        <v>0</v>
      </c>
      <c r="OFT42">
        <f t="shared" si="201"/>
        <v>0</v>
      </c>
      <c r="OFU42">
        <f t="shared" si="201"/>
        <v>0</v>
      </c>
      <c r="OFV42">
        <f t="shared" si="201"/>
        <v>0</v>
      </c>
      <c r="OFW42">
        <f t="shared" si="201"/>
        <v>0</v>
      </c>
      <c r="OFX42">
        <f t="shared" si="201"/>
        <v>0</v>
      </c>
      <c r="OFY42">
        <f t="shared" si="201"/>
        <v>0</v>
      </c>
      <c r="OFZ42">
        <f t="shared" si="201"/>
        <v>0</v>
      </c>
      <c r="OGA42">
        <f t="shared" si="201"/>
        <v>0</v>
      </c>
      <c r="OGB42">
        <f t="shared" si="201"/>
        <v>0</v>
      </c>
      <c r="OGC42">
        <f t="shared" si="201"/>
        <v>0</v>
      </c>
      <c r="OGD42">
        <f t="shared" si="201"/>
        <v>0</v>
      </c>
      <c r="OGE42">
        <f t="shared" si="201"/>
        <v>0</v>
      </c>
      <c r="OGF42">
        <f t="shared" si="201"/>
        <v>0</v>
      </c>
      <c r="OGG42">
        <f t="shared" si="201"/>
        <v>0</v>
      </c>
      <c r="OGH42">
        <f t="shared" si="201"/>
        <v>0</v>
      </c>
      <c r="OGI42">
        <f t="shared" si="201"/>
        <v>0</v>
      </c>
      <c r="OGJ42">
        <f t="shared" si="201"/>
        <v>0</v>
      </c>
      <c r="OGK42">
        <f t="shared" si="201"/>
        <v>0</v>
      </c>
      <c r="OGL42">
        <f t="shared" si="201"/>
        <v>0</v>
      </c>
      <c r="OGM42">
        <f t="shared" si="201"/>
        <v>0</v>
      </c>
      <c r="OGN42">
        <f t="shared" si="201"/>
        <v>0</v>
      </c>
      <c r="OGO42">
        <f t="shared" si="201"/>
        <v>0</v>
      </c>
      <c r="OGP42">
        <f t="shared" si="201"/>
        <v>0</v>
      </c>
      <c r="OGQ42">
        <f t="shared" si="201"/>
        <v>0</v>
      </c>
      <c r="OGR42">
        <f t="shared" si="201"/>
        <v>0</v>
      </c>
      <c r="OGS42">
        <f t="shared" si="201"/>
        <v>0</v>
      </c>
      <c r="OGT42">
        <f t="shared" si="201"/>
        <v>0</v>
      </c>
      <c r="OGU42">
        <f t="shared" si="201"/>
        <v>0</v>
      </c>
      <c r="OGV42">
        <f t="shared" si="201"/>
        <v>0</v>
      </c>
      <c r="OGW42">
        <f t="shared" si="201"/>
        <v>0</v>
      </c>
      <c r="OGX42">
        <f t="shared" si="201"/>
        <v>0</v>
      </c>
      <c r="OGY42">
        <f t="shared" si="201"/>
        <v>0</v>
      </c>
      <c r="OGZ42">
        <f t="shared" si="201"/>
        <v>0</v>
      </c>
      <c r="OHA42">
        <f t="shared" si="201"/>
        <v>0</v>
      </c>
      <c r="OHB42">
        <f t="shared" si="201"/>
        <v>0</v>
      </c>
      <c r="OHC42">
        <f t="shared" si="201"/>
        <v>0</v>
      </c>
      <c r="OHD42">
        <f t="shared" si="201"/>
        <v>0</v>
      </c>
      <c r="OHE42">
        <f t="shared" si="201"/>
        <v>0</v>
      </c>
      <c r="OHF42">
        <f t="shared" si="201"/>
        <v>0</v>
      </c>
      <c r="OHG42">
        <f t="shared" si="201"/>
        <v>0</v>
      </c>
      <c r="OHH42">
        <f t="shared" si="201"/>
        <v>0</v>
      </c>
      <c r="OHI42">
        <f t="shared" si="201"/>
        <v>0</v>
      </c>
      <c r="OHJ42">
        <f t="shared" si="201"/>
        <v>0</v>
      </c>
      <c r="OHK42">
        <f t="shared" si="201"/>
        <v>0</v>
      </c>
      <c r="OHL42">
        <f t="shared" si="201"/>
        <v>0</v>
      </c>
      <c r="OHM42">
        <f t="shared" si="201"/>
        <v>0</v>
      </c>
      <c r="OHN42">
        <f t="shared" si="201"/>
        <v>0</v>
      </c>
      <c r="OHO42">
        <f t="shared" si="201"/>
        <v>0</v>
      </c>
      <c r="OHP42">
        <f t="shared" si="201"/>
        <v>0</v>
      </c>
      <c r="OHQ42">
        <f t="shared" si="201"/>
        <v>0</v>
      </c>
      <c r="OHR42">
        <f t="shared" ref="OHR42:OKC43" si="202">OHR41*1.6*1.2</f>
        <v>0</v>
      </c>
      <c r="OHS42">
        <f t="shared" si="202"/>
        <v>0</v>
      </c>
      <c r="OHT42">
        <f t="shared" si="202"/>
        <v>0</v>
      </c>
      <c r="OHU42">
        <f t="shared" si="202"/>
        <v>0</v>
      </c>
      <c r="OHV42">
        <f t="shared" si="202"/>
        <v>0</v>
      </c>
      <c r="OHW42">
        <f t="shared" si="202"/>
        <v>0</v>
      </c>
      <c r="OHX42">
        <f t="shared" si="202"/>
        <v>0</v>
      </c>
      <c r="OHY42">
        <f t="shared" si="202"/>
        <v>0</v>
      </c>
      <c r="OHZ42">
        <f t="shared" si="202"/>
        <v>0</v>
      </c>
      <c r="OIA42">
        <f t="shared" si="202"/>
        <v>0</v>
      </c>
      <c r="OIB42">
        <f t="shared" si="202"/>
        <v>0</v>
      </c>
      <c r="OIC42">
        <f t="shared" si="202"/>
        <v>0</v>
      </c>
      <c r="OID42">
        <f t="shared" si="202"/>
        <v>0</v>
      </c>
      <c r="OIE42">
        <f t="shared" si="202"/>
        <v>0</v>
      </c>
      <c r="OIF42">
        <f t="shared" si="202"/>
        <v>0</v>
      </c>
      <c r="OIG42">
        <f t="shared" si="202"/>
        <v>0</v>
      </c>
      <c r="OIH42">
        <f t="shared" si="202"/>
        <v>0</v>
      </c>
      <c r="OII42">
        <f t="shared" si="202"/>
        <v>0</v>
      </c>
      <c r="OIJ42">
        <f t="shared" si="202"/>
        <v>0</v>
      </c>
      <c r="OIK42">
        <f t="shared" si="202"/>
        <v>0</v>
      </c>
      <c r="OIL42">
        <f t="shared" si="202"/>
        <v>0</v>
      </c>
      <c r="OIM42">
        <f t="shared" si="202"/>
        <v>0</v>
      </c>
      <c r="OIN42">
        <f t="shared" si="202"/>
        <v>0</v>
      </c>
      <c r="OIO42">
        <f t="shared" si="202"/>
        <v>0</v>
      </c>
      <c r="OIP42">
        <f t="shared" si="202"/>
        <v>0</v>
      </c>
      <c r="OIQ42">
        <f t="shared" si="202"/>
        <v>0</v>
      </c>
      <c r="OIR42">
        <f t="shared" si="202"/>
        <v>0</v>
      </c>
      <c r="OIS42">
        <f t="shared" si="202"/>
        <v>0</v>
      </c>
      <c r="OIT42">
        <f t="shared" si="202"/>
        <v>0</v>
      </c>
      <c r="OIU42">
        <f t="shared" si="202"/>
        <v>0</v>
      </c>
      <c r="OIV42">
        <f t="shared" si="202"/>
        <v>0</v>
      </c>
      <c r="OIW42">
        <f t="shared" si="202"/>
        <v>0</v>
      </c>
      <c r="OIX42">
        <f t="shared" si="202"/>
        <v>0</v>
      </c>
      <c r="OIY42">
        <f t="shared" si="202"/>
        <v>0</v>
      </c>
      <c r="OIZ42">
        <f t="shared" si="202"/>
        <v>0</v>
      </c>
      <c r="OJA42">
        <f t="shared" si="202"/>
        <v>0</v>
      </c>
      <c r="OJB42">
        <f t="shared" si="202"/>
        <v>0</v>
      </c>
      <c r="OJC42">
        <f t="shared" si="202"/>
        <v>0</v>
      </c>
      <c r="OJD42">
        <f t="shared" si="202"/>
        <v>0</v>
      </c>
      <c r="OJE42">
        <f t="shared" si="202"/>
        <v>0</v>
      </c>
      <c r="OJF42">
        <f t="shared" si="202"/>
        <v>0</v>
      </c>
      <c r="OJG42">
        <f t="shared" si="202"/>
        <v>0</v>
      </c>
      <c r="OJH42">
        <f t="shared" si="202"/>
        <v>0</v>
      </c>
      <c r="OJI42">
        <f t="shared" si="202"/>
        <v>0</v>
      </c>
      <c r="OJJ42">
        <f t="shared" si="202"/>
        <v>0</v>
      </c>
      <c r="OJK42">
        <f t="shared" si="202"/>
        <v>0</v>
      </c>
      <c r="OJL42">
        <f t="shared" si="202"/>
        <v>0</v>
      </c>
      <c r="OJM42">
        <f t="shared" si="202"/>
        <v>0</v>
      </c>
      <c r="OJN42">
        <f t="shared" si="202"/>
        <v>0</v>
      </c>
      <c r="OJO42">
        <f t="shared" si="202"/>
        <v>0</v>
      </c>
      <c r="OJP42">
        <f t="shared" si="202"/>
        <v>0</v>
      </c>
      <c r="OJQ42">
        <f t="shared" si="202"/>
        <v>0</v>
      </c>
      <c r="OJR42">
        <f t="shared" si="202"/>
        <v>0</v>
      </c>
      <c r="OJS42">
        <f t="shared" si="202"/>
        <v>0</v>
      </c>
      <c r="OJT42">
        <f t="shared" si="202"/>
        <v>0</v>
      </c>
      <c r="OJU42">
        <f t="shared" si="202"/>
        <v>0</v>
      </c>
      <c r="OJV42">
        <f t="shared" si="202"/>
        <v>0</v>
      </c>
      <c r="OJW42">
        <f t="shared" si="202"/>
        <v>0</v>
      </c>
      <c r="OJX42">
        <f t="shared" si="202"/>
        <v>0</v>
      </c>
      <c r="OJY42">
        <f t="shared" si="202"/>
        <v>0</v>
      </c>
      <c r="OJZ42">
        <f t="shared" si="202"/>
        <v>0</v>
      </c>
      <c r="OKA42">
        <f t="shared" si="202"/>
        <v>0</v>
      </c>
      <c r="OKB42">
        <f t="shared" si="202"/>
        <v>0</v>
      </c>
      <c r="OKC42">
        <f t="shared" si="202"/>
        <v>0</v>
      </c>
      <c r="OKD42">
        <f t="shared" ref="OKD42:OMO43" si="203">OKD41*1.6*1.2</f>
        <v>0</v>
      </c>
      <c r="OKE42">
        <f t="shared" si="203"/>
        <v>0</v>
      </c>
      <c r="OKF42">
        <f t="shared" si="203"/>
        <v>0</v>
      </c>
      <c r="OKG42">
        <f t="shared" si="203"/>
        <v>0</v>
      </c>
      <c r="OKH42">
        <f t="shared" si="203"/>
        <v>0</v>
      </c>
      <c r="OKI42">
        <f t="shared" si="203"/>
        <v>0</v>
      </c>
      <c r="OKJ42">
        <f t="shared" si="203"/>
        <v>0</v>
      </c>
      <c r="OKK42">
        <f t="shared" si="203"/>
        <v>0</v>
      </c>
      <c r="OKL42">
        <f t="shared" si="203"/>
        <v>0</v>
      </c>
      <c r="OKM42">
        <f t="shared" si="203"/>
        <v>0</v>
      </c>
      <c r="OKN42">
        <f t="shared" si="203"/>
        <v>0</v>
      </c>
      <c r="OKO42">
        <f t="shared" si="203"/>
        <v>0</v>
      </c>
      <c r="OKP42">
        <f t="shared" si="203"/>
        <v>0</v>
      </c>
      <c r="OKQ42">
        <f t="shared" si="203"/>
        <v>0</v>
      </c>
      <c r="OKR42">
        <f t="shared" si="203"/>
        <v>0</v>
      </c>
      <c r="OKS42">
        <f t="shared" si="203"/>
        <v>0</v>
      </c>
      <c r="OKT42">
        <f t="shared" si="203"/>
        <v>0</v>
      </c>
      <c r="OKU42">
        <f t="shared" si="203"/>
        <v>0</v>
      </c>
      <c r="OKV42">
        <f t="shared" si="203"/>
        <v>0</v>
      </c>
      <c r="OKW42">
        <f t="shared" si="203"/>
        <v>0</v>
      </c>
      <c r="OKX42">
        <f t="shared" si="203"/>
        <v>0</v>
      </c>
      <c r="OKY42">
        <f t="shared" si="203"/>
        <v>0</v>
      </c>
      <c r="OKZ42">
        <f t="shared" si="203"/>
        <v>0</v>
      </c>
      <c r="OLA42">
        <f t="shared" si="203"/>
        <v>0</v>
      </c>
      <c r="OLB42">
        <f t="shared" si="203"/>
        <v>0</v>
      </c>
      <c r="OLC42">
        <f t="shared" si="203"/>
        <v>0</v>
      </c>
      <c r="OLD42">
        <f t="shared" si="203"/>
        <v>0</v>
      </c>
      <c r="OLE42">
        <f t="shared" si="203"/>
        <v>0</v>
      </c>
      <c r="OLF42">
        <f t="shared" si="203"/>
        <v>0</v>
      </c>
      <c r="OLG42">
        <f t="shared" si="203"/>
        <v>0</v>
      </c>
      <c r="OLH42">
        <f t="shared" si="203"/>
        <v>0</v>
      </c>
      <c r="OLI42">
        <f t="shared" si="203"/>
        <v>0</v>
      </c>
      <c r="OLJ42">
        <f t="shared" si="203"/>
        <v>0</v>
      </c>
      <c r="OLK42">
        <f t="shared" si="203"/>
        <v>0</v>
      </c>
      <c r="OLL42">
        <f t="shared" si="203"/>
        <v>0</v>
      </c>
      <c r="OLM42">
        <f t="shared" si="203"/>
        <v>0</v>
      </c>
      <c r="OLN42">
        <f t="shared" si="203"/>
        <v>0</v>
      </c>
      <c r="OLO42">
        <f t="shared" si="203"/>
        <v>0</v>
      </c>
      <c r="OLP42">
        <f t="shared" si="203"/>
        <v>0</v>
      </c>
      <c r="OLQ42">
        <f t="shared" si="203"/>
        <v>0</v>
      </c>
      <c r="OLR42">
        <f t="shared" si="203"/>
        <v>0</v>
      </c>
      <c r="OLS42">
        <f t="shared" si="203"/>
        <v>0</v>
      </c>
      <c r="OLT42">
        <f t="shared" si="203"/>
        <v>0</v>
      </c>
      <c r="OLU42">
        <f t="shared" si="203"/>
        <v>0</v>
      </c>
      <c r="OLV42">
        <f t="shared" si="203"/>
        <v>0</v>
      </c>
      <c r="OLW42">
        <f t="shared" si="203"/>
        <v>0</v>
      </c>
      <c r="OLX42">
        <f t="shared" si="203"/>
        <v>0</v>
      </c>
      <c r="OLY42">
        <f t="shared" si="203"/>
        <v>0</v>
      </c>
      <c r="OLZ42">
        <f t="shared" si="203"/>
        <v>0</v>
      </c>
      <c r="OMA42">
        <f t="shared" si="203"/>
        <v>0</v>
      </c>
      <c r="OMB42">
        <f t="shared" si="203"/>
        <v>0</v>
      </c>
      <c r="OMC42">
        <f t="shared" si="203"/>
        <v>0</v>
      </c>
      <c r="OMD42">
        <f t="shared" si="203"/>
        <v>0</v>
      </c>
      <c r="OME42">
        <f t="shared" si="203"/>
        <v>0</v>
      </c>
      <c r="OMF42">
        <f t="shared" si="203"/>
        <v>0</v>
      </c>
      <c r="OMG42">
        <f t="shared" si="203"/>
        <v>0</v>
      </c>
      <c r="OMH42">
        <f t="shared" si="203"/>
        <v>0</v>
      </c>
      <c r="OMI42">
        <f t="shared" si="203"/>
        <v>0</v>
      </c>
      <c r="OMJ42">
        <f t="shared" si="203"/>
        <v>0</v>
      </c>
      <c r="OMK42">
        <f t="shared" si="203"/>
        <v>0</v>
      </c>
      <c r="OML42">
        <f t="shared" si="203"/>
        <v>0</v>
      </c>
      <c r="OMM42">
        <f t="shared" si="203"/>
        <v>0</v>
      </c>
      <c r="OMN42">
        <f t="shared" si="203"/>
        <v>0</v>
      </c>
      <c r="OMO42">
        <f t="shared" si="203"/>
        <v>0</v>
      </c>
      <c r="OMP42">
        <f t="shared" ref="OMP42:OPA43" si="204">OMP41*1.6*1.2</f>
        <v>0</v>
      </c>
      <c r="OMQ42">
        <f t="shared" si="204"/>
        <v>0</v>
      </c>
      <c r="OMR42">
        <f t="shared" si="204"/>
        <v>0</v>
      </c>
      <c r="OMS42">
        <f t="shared" si="204"/>
        <v>0</v>
      </c>
      <c r="OMT42">
        <f t="shared" si="204"/>
        <v>0</v>
      </c>
      <c r="OMU42">
        <f t="shared" si="204"/>
        <v>0</v>
      </c>
      <c r="OMV42">
        <f t="shared" si="204"/>
        <v>0</v>
      </c>
      <c r="OMW42">
        <f t="shared" si="204"/>
        <v>0</v>
      </c>
      <c r="OMX42">
        <f t="shared" si="204"/>
        <v>0</v>
      </c>
      <c r="OMY42">
        <f t="shared" si="204"/>
        <v>0</v>
      </c>
      <c r="OMZ42">
        <f t="shared" si="204"/>
        <v>0</v>
      </c>
      <c r="ONA42">
        <f t="shared" si="204"/>
        <v>0</v>
      </c>
      <c r="ONB42">
        <f t="shared" si="204"/>
        <v>0</v>
      </c>
      <c r="ONC42">
        <f t="shared" si="204"/>
        <v>0</v>
      </c>
      <c r="OND42">
        <f t="shared" si="204"/>
        <v>0</v>
      </c>
      <c r="ONE42">
        <f t="shared" si="204"/>
        <v>0</v>
      </c>
      <c r="ONF42">
        <f t="shared" si="204"/>
        <v>0</v>
      </c>
      <c r="ONG42">
        <f t="shared" si="204"/>
        <v>0</v>
      </c>
      <c r="ONH42">
        <f t="shared" si="204"/>
        <v>0</v>
      </c>
      <c r="ONI42">
        <f t="shared" si="204"/>
        <v>0</v>
      </c>
      <c r="ONJ42">
        <f t="shared" si="204"/>
        <v>0</v>
      </c>
      <c r="ONK42">
        <f t="shared" si="204"/>
        <v>0</v>
      </c>
      <c r="ONL42">
        <f t="shared" si="204"/>
        <v>0</v>
      </c>
      <c r="ONM42">
        <f t="shared" si="204"/>
        <v>0</v>
      </c>
      <c r="ONN42">
        <f t="shared" si="204"/>
        <v>0</v>
      </c>
      <c r="ONO42">
        <f t="shared" si="204"/>
        <v>0</v>
      </c>
      <c r="ONP42">
        <f t="shared" si="204"/>
        <v>0</v>
      </c>
      <c r="ONQ42">
        <f t="shared" si="204"/>
        <v>0</v>
      </c>
      <c r="ONR42">
        <f t="shared" si="204"/>
        <v>0</v>
      </c>
      <c r="ONS42">
        <f t="shared" si="204"/>
        <v>0</v>
      </c>
      <c r="ONT42">
        <f t="shared" si="204"/>
        <v>0</v>
      </c>
      <c r="ONU42">
        <f t="shared" si="204"/>
        <v>0</v>
      </c>
      <c r="ONV42">
        <f t="shared" si="204"/>
        <v>0</v>
      </c>
      <c r="ONW42">
        <f t="shared" si="204"/>
        <v>0</v>
      </c>
      <c r="ONX42">
        <f t="shared" si="204"/>
        <v>0</v>
      </c>
      <c r="ONY42">
        <f t="shared" si="204"/>
        <v>0</v>
      </c>
      <c r="ONZ42">
        <f t="shared" si="204"/>
        <v>0</v>
      </c>
      <c r="OOA42">
        <f t="shared" si="204"/>
        <v>0</v>
      </c>
      <c r="OOB42">
        <f t="shared" si="204"/>
        <v>0</v>
      </c>
      <c r="OOC42">
        <f t="shared" si="204"/>
        <v>0</v>
      </c>
      <c r="OOD42">
        <f t="shared" si="204"/>
        <v>0</v>
      </c>
      <c r="OOE42">
        <f t="shared" si="204"/>
        <v>0</v>
      </c>
      <c r="OOF42">
        <f t="shared" si="204"/>
        <v>0</v>
      </c>
      <c r="OOG42">
        <f t="shared" si="204"/>
        <v>0</v>
      </c>
      <c r="OOH42">
        <f t="shared" si="204"/>
        <v>0</v>
      </c>
      <c r="OOI42">
        <f t="shared" si="204"/>
        <v>0</v>
      </c>
      <c r="OOJ42">
        <f t="shared" si="204"/>
        <v>0</v>
      </c>
      <c r="OOK42">
        <f t="shared" si="204"/>
        <v>0</v>
      </c>
      <c r="OOL42">
        <f t="shared" si="204"/>
        <v>0</v>
      </c>
      <c r="OOM42">
        <f t="shared" si="204"/>
        <v>0</v>
      </c>
      <c r="OON42">
        <f t="shared" si="204"/>
        <v>0</v>
      </c>
      <c r="OOO42">
        <f t="shared" si="204"/>
        <v>0</v>
      </c>
      <c r="OOP42">
        <f t="shared" si="204"/>
        <v>0</v>
      </c>
      <c r="OOQ42">
        <f t="shared" si="204"/>
        <v>0</v>
      </c>
      <c r="OOR42">
        <f t="shared" si="204"/>
        <v>0</v>
      </c>
      <c r="OOS42">
        <f t="shared" si="204"/>
        <v>0</v>
      </c>
      <c r="OOT42">
        <f t="shared" si="204"/>
        <v>0</v>
      </c>
      <c r="OOU42">
        <f t="shared" si="204"/>
        <v>0</v>
      </c>
      <c r="OOV42">
        <f t="shared" si="204"/>
        <v>0</v>
      </c>
      <c r="OOW42">
        <f t="shared" si="204"/>
        <v>0</v>
      </c>
      <c r="OOX42">
        <f t="shared" si="204"/>
        <v>0</v>
      </c>
      <c r="OOY42">
        <f t="shared" si="204"/>
        <v>0</v>
      </c>
      <c r="OOZ42">
        <f t="shared" si="204"/>
        <v>0</v>
      </c>
      <c r="OPA42">
        <f t="shared" si="204"/>
        <v>0</v>
      </c>
      <c r="OPB42">
        <f t="shared" ref="OPB42:ORM43" si="205">OPB41*1.6*1.2</f>
        <v>0</v>
      </c>
      <c r="OPC42">
        <f t="shared" si="205"/>
        <v>0</v>
      </c>
      <c r="OPD42">
        <f t="shared" si="205"/>
        <v>0</v>
      </c>
      <c r="OPE42">
        <f t="shared" si="205"/>
        <v>0</v>
      </c>
      <c r="OPF42">
        <f t="shared" si="205"/>
        <v>0</v>
      </c>
      <c r="OPG42">
        <f t="shared" si="205"/>
        <v>0</v>
      </c>
      <c r="OPH42">
        <f t="shared" si="205"/>
        <v>0</v>
      </c>
      <c r="OPI42">
        <f t="shared" si="205"/>
        <v>0</v>
      </c>
      <c r="OPJ42">
        <f t="shared" si="205"/>
        <v>0</v>
      </c>
      <c r="OPK42">
        <f t="shared" si="205"/>
        <v>0</v>
      </c>
      <c r="OPL42">
        <f t="shared" si="205"/>
        <v>0</v>
      </c>
      <c r="OPM42">
        <f t="shared" si="205"/>
        <v>0</v>
      </c>
      <c r="OPN42">
        <f t="shared" si="205"/>
        <v>0</v>
      </c>
      <c r="OPO42">
        <f t="shared" si="205"/>
        <v>0</v>
      </c>
      <c r="OPP42">
        <f t="shared" si="205"/>
        <v>0</v>
      </c>
      <c r="OPQ42">
        <f t="shared" si="205"/>
        <v>0</v>
      </c>
      <c r="OPR42">
        <f t="shared" si="205"/>
        <v>0</v>
      </c>
      <c r="OPS42">
        <f t="shared" si="205"/>
        <v>0</v>
      </c>
      <c r="OPT42">
        <f t="shared" si="205"/>
        <v>0</v>
      </c>
      <c r="OPU42">
        <f t="shared" si="205"/>
        <v>0</v>
      </c>
      <c r="OPV42">
        <f t="shared" si="205"/>
        <v>0</v>
      </c>
      <c r="OPW42">
        <f t="shared" si="205"/>
        <v>0</v>
      </c>
      <c r="OPX42">
        <f t="shared" si="205"/>
        <v>0</v>
      </c>
      <c r="OPY42">
        <f t="shared" si="205"/>
        <v>0</v>
      </c>
      <c r="OPZ42">
        <f t="shared" si="205"/>
        <v>0</v>
      </c>
      <c r="OQA42">
        <f t="shared" si="205"/>
        <v>0</v>
      </c>
      <c r="OQB42">
        <f t="shared" si="205"/>
        <v>0</v>
      </c>
      <c r="OQC42">
        <f t="shared" si="205"/>
        <v>0</v>
      </c>
      <c r="OQD42">
        <f t="shared" si="205"/>
        <v>0</v>
      </c>
      <c r="OQE42">
        <f t="shared" si="205"/>
        <v>0</v>
      </c>
      <c r="OQF42">
        <f t="shared" si="205"/>
        <v>0</v>
      </c>
      <c r="OQG42">
        <f t="shared" si="205"/>
        <v>0</v>
      </c>
      <c r="OQH42">
        <f t="shared" si="205"/>
        <v>0</v>
      </c>
      <c r="OQI42">
        <f t="shared" si="205"/>
        <v>0</v>
      </c>
      <c r="OQJ42">
        <f t="shared" si="205"/>
        <v>0</v>
      </c>
      <c r="OQK42">
        <f t="shared" si="205"/>
        <v>0</v>
      </c>
      <c r="OQL42">
        <f t="shared" si="205"/>
        <v>0</v>
      </c>
      <c r="OQM42">
        <f t="shared" si="205"/>
        <v>0</v>
      </c>
      <c r="OQN42">
        <f t="shared" si="205"/>
        <v>0</v>
      </c>
      <c r="OQO42">
        <f t="shared" si="205"/>
        <v>0</v>
      </c>
      <c r="OQP42">
        <f t="shared" si="205"/>
        <v>0</v>
      </c>
      <c r="OQQ42">
        <f t="shared" si="205"/>
        <v>0</v>
      </c>
      <c r="OQR42">
        <f t="shared" si="205"/>
        <v>0</v>
      </c>
      <c r="OQS42">
        <f t="shared" si="205"/>
        <v>0</v>
      </c>
      <c r="OQT42">
        <f t="shared" si="205"/>
        <v>0</v>
      </c>
      <c r="OQU42">
        <f t="shared" si="205"/>
        <v>0</v>
      </c>
      <c r="OQV42">
        <f t="shared" si="205"/>
        <v>0</v>
      </c>
      <c r="OQW42">
        <f t="shared" si="205"/>
        <v>0</v>
      </c>
      <c r="OQX42">
        <f t="shared" si="205"/>
        <v>0</v>
      </c>
      <c r="OQY42">
        <f t="shared" si="205"/>
        <v>0</v>
      </c>
      <c r="OQZ42">
        <f t="shared" si="205"/>
        <v>0</v>
      </c>
      <c r="ORA42">
        <f t="shared" si="205"/>
        <v>0</v>
      </c>
      <c r="ORB42">
        <f t="shared" si="205"/>
        <v>0</v>
      </c>
      <c r="ORC42">
        <f t="shared" si="205"/>
        <v>0</v>
      </c>
      <c r="ORD42">
        <f t="shared" si="205"/>
        <v>0</v>
      </c>
      <c r="ORE42">
        <f t="shared" si="205"/>
        <v>0</v>
      </c>
      <c r="ORF42">
        <f t="shared" si="205"/>
        <v>0</v>
      </c>
      <c r="ORG42">
        <f t="shared" si="205"/>
        <v>0</v>
      </c>
      <c r="ORH42">
        <f t="shared" si="205"/>
        <v>0</v>
      </c>
      <c r="ORI42">
        <f t="shared" si="205"/>
        <v>0</v>
      </c>
      <c r="ORJ42">
        <f t="shared" si="205"/>
        <v>0</v>
      </c>
      <c r="ORK42">
        <f t="shared" si="205"/>
        <v>0</v>
      </c>
      <c r="ORL42">
        <f t="shared" si="205"/>
        <v>0</v>
      </c>
      <c r="ORM42">
        <f t="shared" si="205"/>
        <v>0</v>
      </c>
      <c r="ORN42">
        <f t="shared" ref="ORN42:OTY43" si="206">ORN41*1.6*1.2</f>
        <v>0</v>
      </c>
      <c r="ORO42">
        <f t="shared" si="206"/>
        <v>0</v>
      </c>
      <c r="ORP42">
        <f t="shared" si="206"/>
        <v>0</v>
      </c>
      <c r="ORQ42">
        <f t="shared" si="206"/>
        <v>0</v>
      </c>
      <c r="ORR42">
        <f t="shared" si="206"/>
        <v>0</v>
      </c>
      <c r="ORS42">
        <f t="shared" si="206"/>
        <v>0</v>
      </c>
      <c r="ORT42">
        <f t="shared" si="206"/>
        <v>0</v>
      </c>
      <c r="ORU42">
        <f t="shared" si="206"/>
        <v>0</v>
      </c>
      <c r="ORV42">
        <f t="shared" si="206"/>
        <v>0</v>
      </c>
      <c r="ORW42">
        <f t="shared" si="206"/>
        <v>0</v>
      </c>
      <c r="ORX42">
        <f t="shared" si="206"/>
        <v>0</v>
      </c>
      <c r="ORY42">
        <f t="shared" si="206"/>
        <v>0</v>
      </c>
      <c r="ORZ42">
        <f t="shared" si="206"/>
        <v>0</v>
      </c>
      <c r="OSA42">
        <f t="shared" si="206"/>
        <v>0</v>
      </c>
      <c r="OSB42">
        <f t="shared" si="206"/>
        <v>0</v>
      </c>
      <c r="OSC42">
        <f t="shared" si="206"/>
        <v>0</v>
      </c>
      <c r="OSD42">
        <f t="shared" si="206"/>
        <v>0</v>
      </c>
      <c r="OSE42">
        <f t="shared" si="206"/>
        <v>0</v>
      </c>
      <c r="OSF42">
        <f t="shared" si="206"/>
        <v>0</v>
      </c>
      <c r="OSG42">
        <f t="shared" si="206"/>
        <v>0</v>
      </c>
      <c r="OSH42">
        <f t="shared" si="206"/>
        <v>0</v>
      </c>
      <c r="OSI42">
        <f t="shared" si="206"/>
        <v>0</v>
      </c>
      <c r="OSJ42">
        <f t="shared" si="206"/>
        <v>0</v>
      </c>
      <c r="OSK42">
        <f t="shared" si="206"/>
        <v>0</v>
      </c>
      <c r="OSL42">
        <f t="shared" si="206"/>
        <v>0</v>
      </c>
      <c r="OSM42">
        <f t="shared" si="206"/>
        <v>0</v>
      </c>
      <c r="OSN42">
        <f t="shared" si="206"/>
        <v>0</v>
      </c>
      <c r="OSO42">
        <f t="shared" si="206"/>
        <v>0</v>
      </c>
      <c r="OSP42">
        <f t="shared" si="206"/>
        <v>0</v>
      </c>
      <c r="OSQ42">
        <f t="shared" si="206"/>
        <v>0</v>
      </c>
      <c r="OSR42">
        <f t="shared" si="206"/>
        <v>0</v>
      </c>
      <c r="OSS42">
        <f t="shared" si="206"/>
        <v>0</v>
      </c>
      <c r="OST42">
        <f t="shared" si="206"/>
        <v>0</v>
      </c>
      <c r="OSU42">
        <f t="shared" si="206"/>
        <v>0</v>
      </c>
      <c r="OSV42">
        <f t="shared" si="206"/>
        <v>0</v>
      </c>
      <c r="OSW42">
        <f t="shared" si="206"/>
        <v>0</v>
      </c>
      <c r="OSX42">
        <f t="shared" si="206"/>
        <v>0</v>
      </c>
      <c r="OSY42">
        <f t="shared" si="206"/>
        <v>0</v>
      </c>
      <c r="OSZ42">
        <f t="shared" si="206"/>
        <v>0</v>
      </c>
      <c r="OTA42">
        <f t="shared" si="206"/>
        <v>0</v>
      </c>
      <c r="OTB42">
        <f t="shared" si="206"/>
        <v>0</v>
      </c>
      <c r="OTC42">
        <f t="shared" si="206"/>
        <v>0</v>
      </c>
      <c r="OTD42">
        <f t="shared" si="206"/>
        <v>0</v>
      </c>
      <c r="OTE42">
        <f t="shared" si="206"/>
        <v>0</v>
      </c>
      <c r="OTF42">
        <f t="shared" si="206"/>
        <v>0</v>
      </c>
      <c r="OTG42">
        <f t="shared" si="206"/>
        <v>0</v>
      </c>
      <c r="OTH42">
        <f t="shared" si="206"/>
        <v>0</v>
      </c>
      <c r="OTI42">
        <f t="shared" si="206"/>
        <v>0</v>
      </c>
      <c r="OTJ42">
        <f t="shared" si="206"/>
        <v>0</v>
      </c>
      <c r="OTK42">
        <f t="shared" si="206"/>
        <v>0</v>
      </c>
      <c r="OTL42">
        <f t="shared" si="206"/>
        <v>0</v>
      </c>
      <c r="OTM42">
        <f t="shared" si="206"/>
        <v>0</v>
      </c>
      <c r="OTN42">
        <f t="shared" si="206"/>
        <v>0</v>
      </c>
      <c r="OTO42">
        <f t="shared" si="206"/>
        <v>0</v>
      </c>
      <c r="OTP42">
        <f t="shared" si="206"/>
        <v>0</v>
      </c>
      <c r="OTQ42">
        <f t="shared" si="206"/>
        <v>0</v>
      </c>
      <c r="OTR42">
        <f t="shared" si="206"/>
        <v>0</v>
      </c>
      <c r="OTS42">
        <f t="shared" si="206"/>
        <v>0</v>
      </c>
      <c r="OTT42">
        <f t="shared" si="206"/>
        <v>0</v>
      </c>
      <c r="OTU42">
        <f t="shared" si="206"/>
        <v>0</v>
      </c>
      <c r="OTV42">
        <f t="shared" si="206"/>
        <v>0</v>
      </c>
      <c r="OTW42">
        <f t="shared" si="206"/>
        <v>0</v>
      </c>
      <c r="OTX42">
        <f t="shared" si="206"/>
        <v>0</v>
      </c>
      <c r="OTY42">
        <f t="shared" si="206"/>
        <v>0</v>
      </c>
      <c r="OTZ42">
        <f t="shared" ref="OTZ42:OWK43" si="207">OTZ41*1.6*1.2</f>
        <v>0</v>
      </c>
      <c r="OUA42">
        <f t="shared" si="207"/>
        <v>0</v>
      </c>
      <c r="OUB42">
        <f t="shared" si="207"/>
        <v>0</v>
      </c>
      <c r="OUC42">
        <f t="shared" si="207"/>
        <v>0</v>
      </c>
      <c r="OUD42">
        <f t="shared" si="207"/>
        <v>0</v>
      </c>
      <c r="OUE42">
        <f t="shared" si="207"/>
        <v>0</v>
      </c>
      <c r="OUF42">
        <f t="shared" si="207"/>
        <v>0</v>
      </c>
      <c r="OUG42">
        <f t="shared" si="207"/>
        <v>0</v>
      </c>
      <c r="OUH42">
        <f t="shared" si="207"/>
        <v>0</v>
      </c>
      <c r="OUI42">
        <f t="shared" si="207"/>
        <v>0</v>
      </c>
      <c r="OUJ42">
        <f t="shared" si="207"/>
        <v>0</v>
      </c>
      <c r="OUK42">
        <f t="shared" si="207"/>
        <v>0</v>
      </c>
      <c r="OUL42">
        <f t="shared" si="207"/>
        <v>0</v>
      </c>
      <c r="OUM42">
        <f t="shared" si="207"/>
        <v>0</v>
      </c>
      <c r="OUN42">
        <f t="shared" si="207"/>
        <v>0</v>
      </c>
      <c r="OUO42">
        <f t="shared" si="207"/>
        <v>0</v>
      </c>
      <c r="OUP42">
        <f t="shared" si="207"/>
        <v>0</v>
      </c>
      <c r="OUQ42">
        <f t="shared" si="207"/>
        <v>0</v>
      </c>
      <c r="OUR42">
        <f t="shared" si="207"/>
        <v>0</v>
      </c>
      <c r="OUS42">
        <f t="shared" si="207"/>
        <v>0</v>
      </c>
      <c r="OUT42">
        <f t="shared" si="207"/>
        <v>0</v>
      </c>
      <c r="OUU42">
        <f t="shared" si="207"/>
        <v>0</v>
      </c>
      <c r="OUV42">
        <f t="shared" si="207"/>
        <v>0</v>
      </c>
      <c r="OUW42">
        <f t="shared" si="207"/>
        <v>0</v>
      </c>
      <c r="OUX42">
        <f t="shared" si="207"/>
        <v>0</v>
      </c>
      <c r="OUY42">
        <f t="shared" si="207"/>
        <v>0</v>
      </c>
      <c r="OUZ42">
        <f t="shared" si="207"/>
        <v>0</v>
      </c>
      <c r="OVA42">
        <f t="shared" si="207"/>
        <v>0</v>
      </c>
      <c r="OVB42">
        <f t="shared" si="207"/>
        <v>0</v>
      </c>
      <c r="OVC42">
        <f t="shared" si="207"/>
        <v>0</v>
      </c>
      <c r="OVD42">
        <f t="shared" si="207"/>
        <v>0</v>
      </c>
      <c r="OVE42">
        <f t="shared" si="207"/>
        <v>0</v>
      </c>
      <c r="OVF42">
        <f t="shared" si="207"/>
        <v>0</v>
      </c>
      <c r="OVG42">
        <f t="shared" si="207"/>
        <v>0</v>
      </c>
      <c r="OVH42">
        <f t="shared" si="207"/>
        <v>0</v>
      </c>
      <c r="OVI42">
        <f t="shared" si="207"/>
        <v>0</v>
      </c>
      <c r="OVJ42">
        <f t="shared" si="207"/>
        <v>0</v>
      </c>
      <c r="OVK42">
        <f t="shared" si="207"/>
        <v>0</v>
      </c>
      <c r="OVL42">
        <f t="shared" si="207"/>
        <v>0</v>
      </c>
      <c r="OVM42">
        <f t="shared" si="207"/>
        <v>0</v>
      </c>
      <c r="OVN42">
        <f t="shared" si="207"/>
        <v>0</v>
      </c>
      <c r="OVO42">
        <f t="shared" si="207"/>
        <v>0</v>
      </c>
      <c r="OVP42">
        <f t="shared" si="207"/>
        <v>0</v>
      </c>
      <c r="OVQ42">
        <f t="shared" si="207"/>
        <v>0</v>
      </c>
      <c r="OVR42">
        <f t="shared" si="207"/>
        <v>0</v>
      </c>
      <c r="OVS42">
        <f t="shared" si="207"/>
        <v>0</v>
      </c>
      <c r="OVT42">
        <f t="shared" si="207"/>
        <v>0</v>
      </c>
      <c r="OVU42">
        <f t="shared" si="207"/>
        <v>0</v>
      </c>
      <c r="OVV42">
        <f t="shared" si="207"/>
        <v>0</v>
      </c>
      <c r="OVW42">
        <f t="shared" si="207"/>
        <v>0</v>
      </c>
      <c r="OVX42">
        <f t="shared" si="207"/>
        <v>0</v>
      </c>
      <c r="OVY42">
        <f t="shared" si="207"/>
        <v>0</v>
      </c>
      <c r="OVZ42">
        <f t="shared" si="207"/>
        <v>0</v>
      </c>
      <c r="OWA42">
        <f t="shared" si="207"/>
        <v>0</v>
      </c>
      <c r="OWB42">
        <f t="shared" si="207"/>
        <v>0</v>
      </c>
      <c r="OWC42">
        <f t="shared" si="207"/>
        <v>0</v>
      </c>
      <c r="OWD42">
        <f t="shared" si="207"/>
        <v>0</v>
      </c>
      <c r="OWE42">
        <f t="shared" si="207"/>
        <v>0</v>
      </c>
      <c r="OWF42">
        <f t="shared" si="207"/>
        <v>0</v>
      </c>
      <c r="OWG42">
        <f t="shared" si="207"/>
        <v>0</v>
      </c>
      <c r="OWH42">
        <f t="shared" si="207"/>
        <v>0</v>
      </c>
      <c r="OWI42">
        <f t="shared" si="207"/>
        <v>0</v>
      </c>
      <c r="OWJ42">
        <f t="shared" si="207"/>
        <v>0</v>
      </c>
      <c r="OWK42">
        <f t="shared" si="207"/>
        <v>0</v>
      </c>
      <c r="OWL42">
        <f t="shared" ref="OWL42:OYW43" si="208">OWL41*1.6*1.2</f>
        <v>0</v>
      </c>
      <c r="OWM42">
        <f t="shared" si="208"/>
        <v>0</v>
      </c>
      <c r="OWN42">
        <f t="shared" si="208"/>
        <v>0</v>
      </c>
      <c r="OWO42">
        <f t="shared" si="208"/>
        <v>0</v>
      </c>
      <c r="OWP42">
        <f t="shared" si="208"/>
        <v>0</v>
      </c>
      <c r="OWQ42">
        <f t="shared" si="208"/>
        <v>0</v>
      </c>
      <c r="OWR42">
        <f t="shared" si="208"/>
        <v>0</v>
      </c>
      <c r="OWS42">
        <f t="shared" si="208"/>
        <v>0</v>
      </c>
      <c r="OWT42">
        <f t="shared" si="208"/>
        <v>0</v>
      </c>
      <c r="OWU42">
        <f t="shared" si="208"/>
        <v>0</v>
      </c>
      <c r="OWV42">
        <f t="shared" si="208"/>
        <v>0</v>
      </c>
      <c r="OWW42">
        <f t="shared" si="208"/>
        <v>0</v>
      </c>
      <c r="OWX42">
        <f t="shared" si="208"/>
        <v>0</v>
      </c>
      <c r="OWY42">
        <f t="shared" si="208"/>
        <v>0</v>
      </c>
      <c r="OWZ42">
        <f t="shared" si="208"/>
        <v>0</v>
      </c>
      <c r="OXA42">
        <f t="shared" si="208"/>
        <v>0</v>
      </c>
      <c r="OXB42">
        <f t="shared" si="208"/>
        <v>0</v>
      </c>
      <c r="OXC42">
        <f t="shared" si="208"/>
        <v>0</v>
      </c>
      <c r="OXD42">
        <f t="shared" si="208"/>
        <v>0</v>
      </c>
      <c r="OXE42">
        <f t="shared" si="208"/>
        <v>0</v>
      </c>
      <c r="OXF42">
        <f t="shared" si="208"/>
        <v>0</v>
      </c>
      <c r="OXG42">
        <f t="shared" si="208"/>
        <v>0</v>
      </c>
      <c r="OXH42">
        <f t="shared" si="208"/>
        <v>0</v>
      </c>
      <c r="OXI42">
        <f t="shared" si="208"/>
        <v>0</v>
      </c>
      <c r="OXJ42">
        <f t="shared" si="208"/>
        <v>0</v>
      </c>
      <c r="OXK42">
        <f t="shared" si="208"/>
        <v>0</v>
      </c>
      <c r="OXL42">
        <f t="shared" si="208"/>
        <v>0</v>
      </c>
      <c r="OXM42">
        <f t="shared" si="208"/>
        <v>0</v>
      </c>
      <c r="OXN42">
        <f t="shared" si="208"/>
        <v>0</v>
      </c>
      <c r="OXO42">
        <f t="shared" si="208"/>
        <v>0</v>
      </c>
      <c r="OXP42">
        <f t="shared" si="208"/>
        <v>0</v>
      </c>
      <c r="OXQ42">
        <f t="shared" si="208"/>
        <v>0</v>
      </c>
      <c r="OXR42">
        <f t="shared" si="208"/>
        <v>0</v>
      </c>
      <c r="OXS42">
        <f t="shared" si="208"/>
        <v>0</v>
      </c>
      <c r="OXT42">
        <f t="shared" si="208"/>
        <v>0</v>
      </c>
      <c r="OXU42">
        <f t="shared" si="208"/>
        <v>0</v>
      </c>
      <c r="OXV42">
        <f t="shared" si="208"/>
        <v>0</v>
      </c>
      <c r="OXW42">
        <f t="shared" si="208"/>
        <v>0</v>
      </c>
      <c r="OXX42">
        <f t="shared" si="208"/>
        <v>0</v>
      </c>
      <c r="OXY42">
        <f t="shared" si="208"/>
        <v>0</v>
      </c>
      <c r="OXZ42">
        <f t="shared" si="208"/>
        <v>0</v>
      </c>
      <c r="OYA42">
        <f t="shared" si="208"/>
        <v>0</v>
      </c>
      <c r="OYB42">
        <f t="shared" si="208"/>
        <v>0</v>
      </c>
      <c r="OYC42">
        <f t="shared" si="208"/>
        <v>0</v>
      </c>
      <c r="OYD42">
        <f t="shared" si="208"/>
        <v>0</v>
      </c>
      <c r="OYE42">
        <f t="shared" si="208"/>
        <v>0</v>
      </c>
      <c r="OYF42">
        <f t="shared" si="208"/>
        <v>0</v>
      </c>
      <c r="OYG42">
        <f t="shared" si="208"/>
        <v>0</v>
      </c>
      <c r="OYH42">
        <f t="shared" si="208"/>
        <v>0</v>
      </c>
      <c r="OYI42">
        <f t="shared" si="208"/>
        <v>0</v>
      </c>
      <c r="OYJ42">
        <f t="shared" si="208"/>
        <v>0</v>
      </c>
      <c r="OYK42">
        <f t="shared" si="208"/>
        <v>0</v>
      </c>
      <c r="OYL42">
        <f t="shared" si="208"/>
        <v>0</v>
      </c>
      <c r="OYM42">
        <f t="shared" si="208"/>
        <v>0</v>
      </c>
      <c r="OYN42">
        <f t="shared" si="208"/>
        <v>0</v>
      </c>
      <c r="OYO42">
        <f t="shared" si="208"/>
        <v>0</v>
      </c>
      <c r="OYP42">
        <f t="shared" si="208"/>
        <v>0</v>
      </c>
      <c r="OYQ42">
        <f t="shared" si="208"/>
        <v>0</v>
      </c>
      <c r="OYR42">
        <f t="shared" si="208"/>
        <v>0</v>
      </c>
      <c r="OYS42">
        <f t="shared" si="208"/>
        <v>0</v>
      </c>
      <c r="OYT42">
        <f t="shared" si="208"/>
        <v>0</v>
      </c>
      <c r="OYU42">
        <f t="shared" si="208"/>
        <v>0</v>
      </c>
      <c r="OYV42">
        <f t="shared" si="208"/>
        <v>0</v>
      </c>
      <c r="OYW42">
        <f t="shared" si="208"/>
        <v>0</v>
      </c>
      <c r="OYX42">
        <f t="shared" ref="OYX42:PBI43" si="209">OYX41*1.6*1.2</f>
        <v>0</v>
      </c>
      <c r="OYY42">
        <f t="shared" si="209"/>
        <v>0</v>
      </c>
      <c r="OYZ42">
        <f t="shared" si="209"/>
        <v>0</v>
      </c>
      <c r="OZA42">
        <f t="shared" si="209"/>
        <v>0</v>
      </c>
      <c r="OZB42">
        <f t="shared" si="209"/>
        <v>0</v>
      </c>
      <c r="OZC42">
        <f t="shared" si="209"/>
        <v>0</v>
      </c>
      <c r="OZD42">
        <f t="shared" si="209"/>
        <v>0</v>
      </c>
      <c r="OZE42">
        <f t="shared" si="209"/>
        <v>0</v>
      </c>
      <c r="OZF42">
        <f t="shared" si="209"/>
        <v>0</v>
      </c>
      <c r="OZG42">
        <f t="shared" si="209"/>
        <v>0</v>
      </c>
      <c r="OZH42">
        <f t="shared" si="209"/>
        <v>0</v>
      </c>
      <c r="OZI42">
        <f t="shared" si="209"/>
        <v>0</v>
      </c>
      <c r="OZJ42">
        <f t="shared" si="209"/>
        <v>0</v>
      </c>
      <c r="OZK42">
        <f t="shared" si="209"/>
        <v>0</v>
      </c>
      <c r="OZL42">
        <f t="shared" si="209"/>
        <v>0</v>
      </c>
      <c r="OZM42">
        <f t="shared" si="209"/>
        <v>0</v>
      </c>
      <c r="OZN42">
        <f t="shared" si="209"/>
        <v>0</v>
      </c>
      <c r="OZO42">
        <f t="shared" si="209"/>
        <v>0</v>
      </c>
      <c r="OZP42">
        <f t="shared" si="209"/>
        <v>0</v>
      </c>
      <c r="OZQ42">
        <f t="shared" si="209"/>
        <v>0</v>
      </c>
      <c r="OZR42">
        <f t="shared" si="209"/>
        <v>0</v>
      </c>
      <c r="OZS42">
        <f t="shared" si="209"/>
        <v>0</v>
      </c>
      <c r="OZT42">
        <f t="shared" si="209"/>
        <v>0</v>
      </c>
      <c r="OZU42">
        <f t="shared" si="209"/>
        <v>0</v>
      </c>
      <c r="OZV42">
        <f t="shared" si="209"/>
        <v>0</v>
      </c>
      <c r="OZW42">
        <f t="shared" si="209"/>
        <v>0</v>
      </c>
      <c r="OZX42">
        <f t="shared" si="209"/>
        <v>0</v>
      </c>
      <c r="OZY42">
        <f t="shared" si="209"/>
        <v>0</v>
      </c>
      <c r="OZZ42">
        <f t="shared" si="209"/>
        <v>0</v>
      </c>
      <c r="PAA42">
        <f t="shared" si="209"/>
        <v>0</v>
      </c>
      <c r="PAB42">
        <f t="shared" si="209"/>
        <v>0</v>
      </c>
      <c r="PAC42">
        <f t="shared" si="209"/>
        <v>0</v>
      </c>
      <c r="PAD42">
        <f t="shared" si="209"/>
        <v>0</v>
      </c>
      <c r="PAE42">
        <f t="shared" si="209"/>
        <v>0</v>
      </c>
      <c r="PAF42">
        <f t="shared" si="209"/>
        <v>0</v>
      </c>
      <c r="PAG42">
        <f t="shared" si="209"/>
        <v>0</v>
      </c>
      <c r="PAH42">
        <f t="shared" si="209"/>
        <v>0</v>
      </c>
      <c r="PAI42">
        <f t="shared" si="209"/>
        <v>0</v>
      </c>
      <c r="PAJ42">
        <f t="shared" si="209"/>
        <v>0</v>
      </c>
      <c r="PAK42">
        <f t="shared" si="209"/>
        <v>0</v>
      </c>
      <c r="PAL42">
        <f t="shared" si="209"/>
        <v>0</v>
      </c>
      <c r="PAM42">
        <f t="shared" si="209"/>
        <v>0</v>
      </c>
      <c r="PAN42">
        <f t="shared" si="209"/>
        <v>0</v>
      </c>
      <c r="PAO42">
        <f t="shared" si="209"/>
        <v>0</v>
      </c>
      <c r="PAP42">
        <f t="shared" si="209"/>
        <v>0</v>
      </c>
      <c r="PAQ42">
        <f t="shared" si="209"/>
        <v>0</v>
      </c>
      <c r="PAR42">
        <f t="shared" si="209"/>
        <v>0</v>
      </c>
      <c r="PAS42">
        <f t="shared" si="209"/>
        <v>0</v>
      </c>
      <c r="PAT42">
        <f t="shared" si="209"/>
        <v>0</v>
      </c>
      <c r="PAU42">
        <f t="shared" si="209"/>
        <v>0</v>
      </c>
      <c r="PAV42">
        <f t="shared" si="209"/>
        <v>0</v>
      </c>
      <c r="PAW42">
        <f t="shared" si="209"/>
        <v>0</v>
      </c>
      <c r="PAX42">
        <f t="shared" si="209"/>
        <v>0</v>
      </c>
      <c r="PAY42">
        <f t="shared" si="209"/>
        <v>0</v>
      </c>
      <c r="PAZ42">
        <f t="shared" si="209"/>
        <v>0</v>
      </c>
      <c r="PBA42">
        <f t="shared" si="209"/>
        <v>0</v>
      </c>
      <c r="PBB42">
        <f t="shared" si="209"/>
        <v>0</v>
      </c>
      <c r="PBC42">
        <f t="shared" si="209"/>
        <v>0</v>
      </c>
      <c r="PBD42">
        <f t="shared" si="209"/>
        <v>0</v>
      </c>
      <c r="PBE42">
        <f t="shared" si="209"/>
        <v>0</v>
      </c>
      <c r="PBF42">
        <f t="shared" si="209"/>
        <v>0</v>
      </c>
      <c r="PBG42">
        <f t="shared" si="209"/>
        <v>0</v>
      </c>
      <c r="PBH42">
        <f t="shared" si="209"/>
        <v>0</v>
      </c>
      <c r="PBI42">
        <f t="shared" si="209"/>
        <v>0</v>
      </c>
      <c r="PBJ42">
        <f t="shared" ref="PBJ42:PDU43" si="210">PBJ41*1.6*1.2</f>
        <v>0</v>
      </c>
      <c r="PBK42">
        <f t="shared" si="210"/>
        <v>0</v>
      </c>
      <c r="PBL42">
        <f t="shared" si="210"/>
        <v>0</v>
      </c>
      <c r="PBM42">
        <f t="shared" si="210"/>
        <v>0</v>
      </c>
      <c r="PBN42">
        <f t="shared" si="210"/>
        <v>0</v>
      </c>
      <c r="PBO42">
        <f t="shared" si="210"/>
        <v>0</v>
      </c>
      <c r="PBP42">
        <f t="shared" si="210"/>
        <v>0</v>
      </c>
      <c r="PBQ42">
        <f t="shared" si="210"/>
        <v>0</v>
      </c>
      <c r="PBR42">
        <f t="shared" si="210"/>
        <v>0</v>
      </c>
      <c r="PBS42">
        <f t="shared" si="210"/>
        <v>0</v>
      </c>
      <c r="PBT42">
        <f t="shared" si="210"/>
        <v>0</v>
      </c>
      <c r="PBU42">
        <f t="shared" si="210"/>
        <v>0</v>
      </c>
      <c r="PBV42">
        <f t="shared" si="210"/>
        <v>0</v>
      </c>
      <c r="PBW42">
        <f t="shared" si="210"/>
        <v>0</v>
      </c>
      <c r="PBX42">
        <f t="shared" si="210"/>
        <v>0</v>
      </c>
      <c r="PBY42">
        <f t="shared" si="210"/>
        <v>0</v>
      </c>
      <c r="PBZ42">
        <f t="shared" si="210"/>
        <v>0</v>
      </c>
      <c r="PCA42">
        <f t="shared" si="210"/>
        <v>0</v>
      </c>
      <c r="PCB42">
        <f t="shared" si="210"/>
        <v>0</v>
      </c>
      <c r="PCC42">
        <f t="shared" si="210"/>
        <v>0</v>
      </c>
      <c r="PCD42">
        <f t="shared" si="210"/>
        <v>0</v>
      </c>
      <c r="PCE42">
        <f t="shared" si="210"/>
        <v>0</v>
      </c>
      <c r="PCF42">
        <f t="shared" si="210"/>
        <v>0</v>
      </c>
      <c r="PCG42">
        <f t="shared" si="210"/>
        <v>0</v>
      </c>
      <c r="PCH42">
        <f t="shared" si="210"/>
        <v>0</v>
      </c>
      <c r="PCI42">
        <f t="shared" si="210"/>
        <v>0</v>
      </c>
      <c r="PCJ42">
        <f t="shared" si="210"/>
        <v>0</v>
      </c>
      <c r="PCK42">
        <f t="shared" si="210"/>
        <v>0</v>
      </c>
      <c r="PCL42">
        <f t="shared" si="210"/>
        <v>0</v>
      </c>
      <c r="PCM42">
        <f t="shared" si="210"/>
        <v>0</v>
      </c>
      <c r="PCN42">
        <f t="shared" si="210"/>
        <v>0</v>
      </c>
      <c r="PCO42">
        <f t="shared" si="210"/>
        <v>0</v>
      </c>
      <c r="PCP42">
        <f t="shared" si="210"/>
        <v>0</v>
      </c>
      <c r="PCQ42">
        <f t="shared" si="210"/>
        <v>0</v>
      </c>
      <c r="PCR42">
        <f t="shared" si="210"/>
        <v>0</v>
      </c>
      <c r="PCS42">
        <f t="shared" si="210"/>
        <v>0</v>
      </c>
      <c r="PCT42">
        <f t="shared" si="210"/>
        <v>0</v>
      </c>
      <c r="PCU42">
        <f t="shared" si="210"/>
        <v>0</v>
      </c>
      <c r="PCV42">
        <f t="shared" si="210"/>
        <v>0</v>
      </c>
      <c r="PCW42">
        <f t="shared" si="210"/>
        <v>0</v>
      </c>
      <c r="PCX42">
        <f t="shared" si="210"/>
        <v>0</v>
      </c>
      <c r="PCY42">
        <f t="shared" si="210"/>
        <v>0</v>
      </c>
      <c r="PCZ42">
        <f t="shared" si="210"/>
        <v>0</v>
      </c>
      <c r="PDA42">
        <f t="shared" si="210"/>
        <v>0</v>
      </c>
      <c r="PDB42">
        <f t="shared" si="210"/>
        <v>0</v>
      </c>
      <c r="PDC42">
        <f t="shared" si="210"/>
        <v>0</v>
      </c>
      <c r="PDD42">
        <f t="shared" si="210"/>
        <v>0</v>
      </c>
      <c r="PDE42">
        <f t="shared" si="210"/>
        <v>0</v>
      </c>
      <c r="PDF42">
        <f t="shared" si="210"/>
        <v>0</v>
      </c>
      <c r="PDG42">
        <f t="shared" si="210"/>
        <v>0</v>
      </c>
      <c r="PDH42">
        <f t="shared" si="210"/>
        <v>0</v>
      </c>
      <c r="PDI42">
        <f t="shared" si="210"/>
        <v>0</v>
      </c>
      <c r="PDJ42">
        <f t="shared" si="210"/>
        <v>0</v>
      </c>
      <c r="PDK42">
        <f t="shared" si="210"/>
        <v>0</v>
      </c>
      <c r="PDL42">
        <f t="shared" si="210"/>
        <v>0</v>
      </c>
      <c r="PDM42">
        <f t="shared" si="210"/>
        <v>0</v>
      </c>
      <c r="PDN42">
        <f t="shared" si="210"/>
        <v>0</v>
      </c>
      <c r="PDO42">
        <f t="shared" si="210"/>
        <v>0</v>
      </c>
      <c r="PDP42">
        <f t="shared" si="210"/>
        <v>0</v>
      </c>
      <c r="PDQ42">
        <f t="shared" si="210"/>
        <v>0</v>
      </c>
      <c r="PDR42">
        <f t="shared" si="210"/>
        <v>0</v>
      </c>
      <c r="PDS42">
        <f t="shared" si="210"/>
        <v>0</v>
      </c>
      <c r="PDT42">
        <f t="shared" si="210"/>
        <v>0</v>
      </c>
      <c r="PDU42">
        <f t="shared" si="210"/>
        <v>0</v>
      </c>
      <c r="PDV42">
        <f t="shared" ref="PDV42:PGG43" si="211">PDV41*1.6*1.2</f>
        <v>0</v>
      </c>
      <c r="PDW42">
        <f t="shared" si="211"/>
        <v>0</v>
      </c>
      <c r="PDX42">
        <f t="shared" si="211"/>
        <v>0</v>
      </c>
      <c r="PDY42">
        <f t="shared" si="211"/>
        <v>0</v>
      </c>
      <c r="PDZ42">
        <f t="shared" si="211"/>
        <v>0</v>
      </c>
      <c r="PEA42">
        <f t="shared" si="211"/>
        <v>0</v>
      </c>
      <c r="PEB42">
        <f t="shared" si="211"/>
        <v>0</v>
      </c>
      <c r="PEC42">
        <f t="shared" si="211"/>
        <v>0</v>
      </c>
      <c r="PED42">
        <f t="shared" si="211"/>
        <v>0</v>
      </c>
      <c r="PEE42">
        <f t="shared" si="211"/>
        <v>0</v>
      </c>
      <c r="PEF42">
        <f t="shared" si="211"/>
        <v>0</v>
      </c>
      <c r="PEG42">
        <f t="shared" si="211"/>
        <v>0</v>
      </c>
      <c r="PEH42">
        <f t="shared" si="211"/>
        <v>0</v>
      </c>
      <c r="PEI42">
        <f t="shared" si="211"/>
        <v>0</v>
      </c>
      <c r="PEJ42">
        <f t="shared" si="211"/>
        <v>0</v>
      </c>
      <c r="PEK42">
        <f t="shared" si="211"/>
        <v>0</v>
      </c>
      <c r="PEL42">
        <f t="shared" si="211"/>
        <v>0</v>
      </c>
      <c r="PEM42">
        <f t="shared" si="211"/>
        <v>0</v>
      </c>
      <c r="PEN42">
        <f t="shared" si="211"/>
        <v>0</v>
      </c>
      <c r="PEO42">
        <f t="shared" si="211"/>
        <v>0</v>
      </c>
      <c r="PEP42">
        <f t="shared" si="211"/>
        <v>0</v>
      </c>
      <c r="PEQ42">
        <f t="shared" si="211"/>
        <v>0</v>
      </c>
      <c r="PER42">
        <f t="shared" si="211"/>
        <v>0</v>
      </c>
      <c r="PES42">
        <f t="shared" si="211"/>
        <v>0</v>
      </c>
      <c r="PET42">
        <f t="shared" si="211"/>
        <v>0</v>
      </c>
      <c r="PEU42">
        <f t="shared" si="211"/>
        <v>0</v>
      </c>
      <c r="PEV42">
        <f t="shared" si="211"/>
        <v>0</v>
      </c>
      <c r="PEW42">
        <f t="shared" si="211"/>
        <v>0</v>
      </c>
      <c r="PEX42">
        <f t="shared" si="211"/>
        <v>0</v>
      </c>
      <c r="PEY42">
        <f t="shared" si="211"/>
        <v>0</v>
      </c>
      <c r="PEZ42">
        <f t="shared" si="211"/>
        <v>0</v>
      </c>
      <c r="PFA42">
        <f t="shared" si="211"/>
        <v>0</v>
      </c>
      <c r="PFB42">
        <f t="shared" si="211"/>
        <v>0</v>
      </c>
      <c r="PFC42">
        <f t="shared" si="211"/>
        <v>0</v>
      </c>
      <c r="PFD42">
        <f t="shared" si="211"/>
        <v>0</v>
      </c>
      <c r="PFE42">
        <f t="shared" si="211"/>
        <v>0</v>
      </c>
      <c r="PFF42">
        <f t="shared" si="211"/>
        <v>0</v>
      </c>
      <c r="PFG42">
        <f t="shared" si="211"/>
        <v>0</v>
      </c>
      <c r="PFH42">
        <f t="shared" si="211"/>
        <v>0</v>
      </c>
      <c r="PFI42">
        <f t="shared" si="211"/>
        <v>0</v>
      </c>
      <c r="PFJ42">
        <f t="shared" si="211"/>
        <v>0</v>
      </c>
      <c r="PFK42">
        <f t="shared" si="211"/>
        <v>0</v>
      </c>
      <c r="PFL42">
        <f t="shared" si="211"/>
        <v>0</v>
      </c>
      <c r="PFM42">
        <f t="shared" si="211"/>
        <v>0</v>
      </c>
      <c r="PFN42">
        <f t="shared" si="211"/>
        <v>0</v>
      </c>
      <c r="PFO42">
        <f t="shared" si="211"/>
        <v>0</v>
      </c>
      <c r="PFP42">
        <f t="shared" si="211"/>
        <v>0</v>
      </c>
      <c r="PFQ42">
        <f t="shared" si="211"/>
        <v>0</v>
      </c>
      <c r="PFR42">
        <f t="shared" si="211"/>
        <v>0</v>
      </c>
      <c r="PFS42">
        <f t="shared" si="211"/>
        <v>0</v>
      </c>
      <c r="PFT42">
        <f t="shared" si="211"/>
        <v>0</v>
      </c>
      <c r="PFU42">
        <f t="shared" si="211"/>
        <v>0</v>
      </c>
      <c r="PFV42">
        <f t="shared" si="211"/>
        <v>0</v>
      </c>
      <c r="PFW42">
        <f t="shared" si="211"/>
        <v>0</v>
      </c>
      <c r="PFX42">
        <f t="shared" si="211"/>
        <v>0</v>
      </c>
      <c r="PFY42">
        <f t="shared" si="211"/>
        <v>0</v>
      </c>
      <c r="PFZ42">
        <f t="shared" si="211"/>
        <v>0</v>
      </c>
      <c r="PGA42">
        <f t="shared" si="211"/>
        <v>0</v>
      </c>
      <c r="PGB42">
        <f t="shared" si="211"/>
        <v>0</v>
      </c>
      <c r="PGC42">
        <f t="shared" si="211"/>
        <v>0</v>
      </c>
      <c r="PGD42">
        <f t="shared" si="211"/>
        <v>0</v>
      </c>
      <c r="PGE42">
        <f t="shared" si="211"/>
        <v>0</v>
      </c>
      <c r="PGF42">
        <f t="shared" si="211"/>
        <v>0</v>
      </c>
      <c r="PGG42">
        <f t="shared" si="211"/>
        <v>0</v>
      </c>
      <c r="PGH42">
        <f t="shared" ref="PGH42:PIS43" si="212">PGH41*1.6*1.2</f>
        <v>0</v>
      </c>
      <c r="PGI42">
        <f t="shared" si="212"/>
        <v>0</v>
      </c>
      <c r="PGJ42">
        <f t="shared" si="212"/>
        <v>0</v>
      </c>
      <c r="PGK42">
        <f t="shared" si="212"/>
        <v>0</v>
      </c>
      <c r="PGL42">
        <f t="shared" si="212"/>
        <v>0</v>
      </c>
      <c r="PGM42">
        <f t="shared" si="212"/>
        <v>0</v>
      </c>
      <c r="PGN42">
        <f t="shared" si="212"/>
        <v>0</v>
      </c>
      <c r="PGO42">
        <f t="shared" si="212"/>
        <v>0</v>
      </c>
      <c r="PGP42">
        <f t="shared" si="212"/>
        <v>0</v>
      </c>
      <c r="PGQ42">
        <f t="shared" si="212"/>
        <v>0</v>
      </c>
      <c r="PGR42">
        <f t="shared" si="212"/>
        <v>0</v>
      </c>
      <c r="PGS42">
        <f t="shared" si="212"/>
        <v>0</v>
      </c>
      <c r="PGT42">
        <f t="shared" si="212"/>
        <v>0</v>
      </c>
      <c r="PGU42">
        <f t="shared" si="212"/>
        <v>0</v>
      </c>
      <c r="PGV42">
        <f t="shared" si="212"/>
        <v>0</v>
      </c>
      <c r="PGW42">
        <f t="shared" si="212"/>
        <v>0</v>
      </c>
      <c r="PGX42">
        <f t="shared" si="212"/>
        <v>0</v>
      </c>
      <c r="PGY42">
        <f t="shared" si="212"/>
        <v>0</v>
      </c>
      <c r="PGZ42">
        <f t="shared" si="212"/>
        <v>0</v>
      </c>
      <c r="PHA42">
        <f t="shared" si="212"/>
        <v>0</v>
      </c>
      <c r="PHB42">
        <f t="shared" si="212"/>
        <v>0</v>
      </c>
      <c r="PHC42">
        <f t="shared" si="212"/>
        <v>0</v>
      </c>
      <c r="PHD42">
        <f t="shared" si="212"/>
        <v>0</v>
      </c>
      <c r="PHE42">
        <f t="shared" si="212"/>
        <v>0</v>
      </c>
      <c r="PHF42">
        <f t="shared" si="212"/>
        <v>0</v>
      </c>
      <c r="PHG42">
        <f t="shared" si="212"/>
        <v>0</v>
      </c>
      <c r="PHH42">
        <f t="shared" si="212"/>
        <v>0</v>
      </c>
      <c r="PHI42">
        <f t="shared" si="212"/>
        <v>0</v>
      </c>
      <c r="PHJ42">
        <f t="shared" si="212"/>
        <v>0</v>
      </c>
      <c r="PHK42">
        <f t="shared" si="212"/>
        <v>0</v>
      </c>
      <c r="PHL42">
        <f t="shared" si="212"/>
        <v>0</v>
      </c>
      <c r="PHM42">
        <f t="shared" si="212"/>
        <v>0</v>
      </c>
      <c r="PHN42">
        <f t="shared" si="212"/>
        <v>0</v>
      </c>
      <c r="PHO42">
        <f t="shared" si="212"/>
        <v>0</v>
      </c>
      <c r="PHP42">
        <f t="shared" si="212"/>
        <v>0</v>
      </c>
      <c r="PHQ42">
        <f t="shared" si="212"/>
        <v>0</v>
      </c>
      <c r="PHR42">
        <f t="shared" si="212"/>
        <v>0</v>
      </c>
      <c r="PHS42">
        <f t="shared" si="212"/>
        <v>0</v>
      </c>
      <c r="PHT42">
        <f t="shared" si="212"/>
        <v>0</v>
      </c>
      <c r="PHU42">
        <f t="shared" si="212"/>
        <v>0</v>
      </c>
      <c r="PHV42">
        <f t="shared" si="212"/>
        <v>0</v>
      </c>
      <c r="PHW42">
        <f t="shared" si="212"/>
        <v>0</v>
      </c>
      <c r="PHX42">
        <f t="shared" si="212"/>
        <v>0</v>
      </c>
      <c r="PHY42">
        <f t="shared" si="212"/>
        <v>0</v>
      </c>
      <c r="PHZ42">
        <f t="shared" si="212"/>
        <v>0</v>
      </c>
      <c r="PIA42">
        <f t="shared" si="212"/>
        <v>0</v>
      </c>
      <c r="PIB42">
        <f t="shared" si="212"/>
        <v>0</v>
      </c>
      <c r="PIC42">
        <f t="shared" si="212"/>
        <v>0</v>
      </c>
      <c r="PID42">
        <f t="shared" si="212"/>
        <v>0</v>
      </c>
      <c r="PIE42">
        <f t="shared" si="212"/>
        <v>0</v>
      </c>
      <c r="PIF42">
        <f t="shared" si="212"/>
        <v>0</v>
      </c>
      <c r="PIG42">
        <f t="shared" si="212"/>
        <v>0</v>
      </c>
      <c r="PIH42">
        <f t="shared" si="212"/>
        <v>0</v>
      </c>
      <c r="PII42">
        <f t="shared" si="212"/>
        <v>0</v>
      </c>
      <c r="PIJ42">
        <f t="shared" si="212"/>
        <v>0</v>
      </c>
      <c r="PIK42">
        <f t="shared" si="212"/>
        <v>0</v>
      </c>
      <c r="PIL42">
        <f t="shared" si="212"/>
        <v>0</v>
      </c>
      <c r="PIM42">
        <f t="shared" si="212"/>
        <v>0</v>
      </c>
      <c r="PIN42">
        <f t="shared" si="212"/>
        <v>0</v>
      </c>
      <c r="PIO42">
        <f t="shared" si="212"/>
        <v>0</v>
      </c>
      <c r="PIP42">
        <f t="shared" si="212"/>
        <v>0</v>
      </c>
      <c r="PIQ42">
        <f t="shared" si="212"/>
        <v>0</v>
      </c>
      <c r="PIR42">
        <f t="shared" si="212"/>
        <v>0</v>
      </c>
      <c r="PIS42">
        <f t="shared" si="212"/>
        <v>0</v>
      </c>
      <c r="PIT42">
        <f t="shared" ref="PIT42:PLE43" si="213">PIT41*1.6*1.2</f>
        <v>0</v>
      </c>
      <c r="PIU42">
        <f t="shared" si="213"/>
        <v>0</v>
      </c>
      <c r="PIV42">
        <f t="shared" si="213"/>
        <v>0</v>
      </c>
      <c r="PIW42">
        <f t="shared" si="213"/>
        <v>0</v>
      </c>
      <c r="PIX42">
        <f t="shared" si="213"/>
        <v>0</v>
      </c>
      <c r="PIY42">
        <f t="shared" si="213"/>
        <v>0</v>
      </c>
      <c r="PIZ42">
        <f t="shared" si="213"/>
        <v>0</v>
      </c>
      <c r="PJA42">
        <f t="shared" si="213"/>
        <v>0</v>
      </c>
      <c r="PJB42">
        <f t="shared" si="213"/>
        <v>0</v>
      </c>
      <c r="PJC42">
        <f t="shared" si="213"/>
        <v>0</v>
      </c>
      <c r="PJD42">
        <f t="shared" si="213"/>
        <v>0</v>
      </c>
      <c r="PJE42">
        <f t="shared" si="213"/>
        <v>0</v>
      </c>
      <c r="PJF42">
        <f t="shared" si="213"/>
        <v>0</v>
      </c>
      <c r="PJG42">
        <f t="shared" si="213"/>
        <v>0</v>
      </c>
      <c r="PJH42">
        <f t="shared" si="213"/>
        <v>0</v>
      </c>
      <c r="PJI42">
        <f t="shared" si="213"/>
        <v>0</v>
      </c>
      <c r="PJJ42">
        <f t="shared" si="213"/>
        <v>0</v>
      </c>
      <c r="PJK42">
        <f t="shared" si="213"/>
        <v>0</v>
      </c>
      <c r="PJL42">
        <f t="shared" si="213"/>
        <v>0</v>
      </c>
      <c r="PJM42">
        <f t="shared" si="213"/>
        <v>0</v>
      </c>
      <c r="PJN42">
        <f t="shared" si="213"/>
        <v>0</v>
      </c>
      <c r="PJO42">
        <f t="shared" si="213"/>
        <v>0</v>
      </c>
      <c r="PJP42">
        <f t="shared" si="213"/>
        <v>0</v>
      </c>
      <c r="PJQ42">
        <f t="shared" si="213"/>
        <v>0</v>
      </c>
      <c r="PJR42">
        <f t="shared" si="213"/>
        <v>0</v>
      </c>
      <c r="PJS42">
        <f t="shared" si="213"/>
        <v>0</v>
      </c>
      <c r="PJT42">
        <f t="shared" si="213"/>
        <v>0</v>
      </c>
      <c r="PJU42">
        <f t="shared" si="213"/>
        <v>0</v>
      </c>
      <c r="PJV42">
        <f t="shared" si="213"/>
        <v>0</v>
      </c>
      <c r="PJW42">
        <f t="shared" si="213"/>
        <v>0</v>
      </c>
      <c r="PJX42">
        <f t="shared" si="213"/>
        <v>0</v>
      </c>
      <c r="PJY42">
        <f t="shared" si="213"/>
        <v>0</v>
      </c>
      <c r="PJZ42">
        <f t="shared" si="213"/>
        <v>0</v>
      </c>
      <c r="PKA42">
        <f t="shared" si="213"/>
        <v>0</v>
      </c>
      <c r="PKB42">
        <f t="shared" si="213"/>
        <v>0</v>
      </c>
      <c r="PKC42">
        <f t="shared" si="213"/>
        <v>0</v>
      </c>
      <c r="PKD42">
        <f t="shared" si="213"/>
        <v>0</v>
      </c>
      <c r="PKE42">
        <f t="shared" si="213"/>
        <v>0</v>
      </c>
      <c r="PKF42">
        <f t="shared" si="213"/>
        <v>0</v>
      </c>
      <c r="PKG42">
        <f t="shared" si="213"/>
        <v>0</v>
      </c>
      <c r="PKH42">
        <f t="shared" si="213"/>
        <v>0</v>
      </c>
      <c r="PKI42">
        <f t="shared" si="213"/>
        <v>0</v>
      </c>
      <c r="PKJ42">
        <f t="shared" si="213"/>
        <v>0</v>
      </c>
      <c r="PKK42">
        <f t="shared" si="213"/>
        <v>0</v>
      </c>
      <c r="PKL42">
        <f t="shared" si="213"/>
        <v>0</v>
      </c>
      <c r="PKM42">
        <f t="shared" si="213"/>
        <v>0</v>
      </c>
      <c r="PKN42">
        <f t="shared" si="213"/>
        <v>0</v>
      </c>
      <c r="PKO42">
        <f t="shared" si="213"/>
        <v>0</v>
      </c>
      <c r="PKP42">
        <f t="shared" si="213"/>
        <v>0</v>
      </c>
      <c r="PKQ42">
        <f t="shared" si="213"/>
        <v>0</v>
      </c>
      <c r="PKR42">
        <f t="shared" si="213"/>
        <v>0</v>
      </c>
      <c r="PKS42">
        <f t="shared" si="213"/>
        <v>0</v>
      </c>
      <c r="PKT42">
        <f t="shared" si="213"/>
        <v>0</v>
      </c>
      <c r="PKU42">
        <f t="shared" si="213"/>
        <v>0</v>
      </c>
      <c r="PKV42">
        <f t="shared" si="213"/>
        <v>0</v>
      </c>
      <c r="PKW42">
        <f t="shared" si="213"/>
        <v>0</v>
      </c>
      <c r="PKX42">
        <f t="shared" si="213"/>
        <v>0</v>
      </c>
      <c r="PKY42">
        <f t="shared" si="213"/>
        <v>0</v>
      </c>
      <c r="PKZ42">
        <f t="shared" si="213"/>
        <v>0</v>
      </c>
      <c r="PLA42">
        <f t="shared" si="213"/>
        <v>0</v>
      </c>
      <c r="PLB42">
        <f t="shared" si="213"/>
        <v>0</v>
      </c>
      <c r="PLC42">
        <f t="shared" si="213"/>
        <v>0</v>
      </c>
      <c r="PLD42">
        <f t="shared" si="213"/>
        <v>0</v>
      </c>
      <c r="PLE42">
        <f t="shared" si="213"/>
        <v>0</v>
      </c>
      <c r="PLF42">
        <f t="shared" ref="PLF42:PNQ43" si="214">PLF41*1.6*1.2</f>
        <v>0</v>
      </c>
      <c r="PLG42">
        <f t="shared" si="214"/>
        <v>0</v>
      </c>
      <c r="PLH42">
        <f t="shared" si="214"/>
        <v>0</v>
      </c>
      <c r="PLI42">
        <f t="shared" si="214"/>
        <v>0</v>
      </c>
      <c r="PLJ42">
        <f t="shared" si="214"/>
        <v>0</v>
      </c>
      <c r="PLK42">
        <f t="shared" si="214"/>
        <v>0</v>
      </c>
      <c r="PLL42">
        <f t="shared" si="214"/>
        <v>0</v>
      </c>
      <c r="PLM42">
        <f t="shared" si="214"/>
        <v>0</v>
      </c>
      <c r="PLN42">
        <f t="shared" si="214"/>
        <v>0</v>
      </c>
      <c r="PLO42">
        <f t="shared" si="214"/>
        <v>0</v>
      </c>
      <c r="PLP42">
        <f t="shared" si="214"/>
        <v>0</v>
      </c>
      <c r="PLQ42">
        <f t="shared" si="214"/>
        <v>0</v>
      </c>
      <c r="PLR42">
        <f t="shared" si="214"/>
        <v>0</v>
      </c>
      <c r="PLS42">
        <f t="shared" si="214"/>
        <v>0</v>
      </c>
      <c r="PLT42">
        <f t="shared" si="214"/>
        <v>0</v>
      </c>
      <c r="PLU42">
        <f t="shared" si="214"/>
        <v>0</v>
      </c>
      <c r="PLV42">
        <f t="shared" si="214"/>
        <v>0</v>
      </c>
      <c r="PLW42">
        <f t="shared" si="214"/>
        <v>0</v>
      </c>
      <c r="PLX42">
        <f t="shared" si="214"/>
        <v>0</v>
      </c>
      <c r="PLY42">
        <f t="shared" si="214"/>
        <v>0</v>
      </c>
      <c r="PLZ42">
        <f t="shared" si="214"/>
        <v>0</v>
      </c>
      <c r="PMA42">
        <f t="shared" si="214"/>
        <v>0</v>
      </c>
      <c r="PMB42">
        <f t="shared" si="214"/>
        <v>0</v>
      </c>
      <c r="PMC42">
        <f t="shared" si="214"/>
        <v>0</v>
      </c>
      <c r="PMD42">
        <f t="shared" si="214"/>
        <v>0</v>
      </c>
      <c r="PME42">
        <f t="shared" si="214"/>
        <v>0</v>
      </c>
      <c r="PMF42">
        <f t="shared" si="214"/>
        <v>0</v>
      </c>
      <c r="PMG42">
        <f t="shared" si="214"/>
        <v>0</v>
      </c>
      <c r="PMH42">
        <f t="shared" si="214"/>
        <v>0</v>
      </c>
      <c r="PMI42">
        <f t="shared" si="214"/>
        <v>0</v>
      </c>
      <c r="PMJ42">
        <f t="shared" si="214"/>
        <v>0</v>
      </c>
      <c r="PMK42">
        <f t="shared" si="214"/>
        <v>0</v>
      </c>
      <c r="PML42">
        <f t="shared" si="214"/>
        <v>0</v>
      </c>
      <c r="PMM42">
        <f t="shared" si="214"/>
        <v>0</v>
      </c>
      <c r="PMN42">
        <f t="shared" si="214"/>
        <v>0</v>
      </c>
      <c r="PMO42">
        <f t="shared" si="214"/>
        <v>0</v>
      </c>
      <c r="PMP42">
        <f t="shared" si="214"/>
        <v>0</v>
      </c>
      <c r="PMQ42">
        <f t="shared" si="214"/>
        <v>0</v>
      </c>
      <c r="PMR42">
        <f t="shared" si="214"/>
        <v>0</v>
      </c>
      <c r="PMS42">
        <f t="shared" si="214"/>
        <v>0</v>
      </c>
      <c r="PMT42">
        <f t="shared" si="214"/>
        <v>0</v>
      </c>
      <c r="PMU42">
        <f t="shared" si="214"/>
        <v>0</v>
      </c>
      <c r="PMV42">
        <f t="shared" si="214"/>
        <v>0</v>
      </c>
      <c r="PMW42">
        <f t="shared" si="214"/>
        <v>0</v>
      </c>
      <c r="PMX42">
        <f t="shared" si="214"/>
        <v>0</v>
      </c>
      <c r="PMY42">
        <f t="shared" si="214"/>
        <v>0</v>
      </c>
      <c r="PMZ42">
        <f t="shared" si="214"/>
        <v>0</v>
      </c>
      <c r="PNA42">
        <f t="shared" si="214"/>
        <v>0</v>
      </c>
      <c r="PNB42">
        <f t="shared" si="214"/>
        <v>0</v>
      </c>
      <c r="PNC42">
        <f t="shared" si="214"/>
        <v>0</v>
      </c>
      <c r="PND42">
        <f t="shared" si="214"/>
        <v>0</v>
      </c>
      <c r="PNE42">
        <f t="shared" si="214"/>
        <v>0</v>
      </c>
      <c r="PNF42">
        <f t="shared" si="214"/>
        <v>0</v>
      </c>
      <c r="PNG42">
        <f t="shared" si="214"/>
        <v>0</v>
      </c>
      <c r="PNH42">
        <f t="shared" si="214"/>
        <v>0</v>
      </c>
      <c r="PNI42">
        <f t="shared" si="214"/>
        <v>0</v>
      </c>
      <c r="PNJ42">
        <f t="shared" si="214"/>
        <v>0</v>
      </c>
      <c r="PNK42">
        <f t="shared" si="214"/>
        <v>0</v>
      </c>
      <c r="PNL42">
        <f t="shared" si="214"/>
        <v>0</v>
      </c>
      <c r="PNM42">
        <f t="shared" si="214"/>
        <v>0</v>
      </c>
      <c r="PNN42">
        <f t="shared" si="214"/>
        <v>0</v>
      </c>
      <c r="PNO42">
        <f t="shared" si="214"/>
        <v>0</v>
      </c>
      <c r="PNP42">
        <f t="shared" si="214"/>
        <v>0</v>
      </c>
      <c r="PNQ42">
        <f t="shared" si="214"/>
        <v>0</v>
      </c>
      <c r="PNR42">
        <f t="shared" ref="PNR42:PQC43" si="215">PNR41*1.6*1.2</f>
        <v>0</v>
      </c>
      <c r="PNS42">
        <f t="shared" si="215"/>
        <v>0</v>
      </c>
      <c r="PNT42">
        <f t="shared" si="215"/>
        <v>0</v>
      </c>
      <c r="PNU42">
        <f t="shared" si="215"/>
        <v>0</v>
      </c>
      <c r="PNV42">
        <f t="shared" si="215"/>
        <v>0</v>
      </c>
      <c r="PNW42">
        <f t="shared" si="215"/>
        <v>0</v>
      </c>
      <c r="PNX42">
        <f t="shared" si="215"/>
        <v>0</v>
      </c>
      <c r="PNY42">
        <f t="shared" si="215"/>
        <v>0</v>
      </c>
      <c r="PNZ42">
        <f t="shared" si="215"/>
        <v>0</v>
      </c>
      <c r="POA42">
        <f t="shared" si="215"/>
        <v>0</v>
      </c>
      <c r="POB42">
        <f t="shared" si="215"/>
        <v>0</v>
      </c>
      <c r="POC42">
        <f t="shared" si="215"/>
        <v>0</v>
      </c>
      <c r="POD42">
        <f t="shared" si="215"/>
        <v>0</v>
      </c>
      <c r="POE42">
        <f t="shared" si="215"/>
        <v>0</v>
      </c>
      <c r="POF42">
        <f t="shared" si="215"/>
        <v>0</v>
      </c>
      <c r="POG42">
        <f t="shared" si="215"/>
        <v>0</v>
      </c>
      <c r="POH42">
        <f t="shared" si="215"/>
        <v>0</v>
      </c>
      <c r="POI42">
        <f t="shared" si="215"/>
        <v>0</v>
      </c>
      <c r="POJ42">
        <f t="shared" si="215"/>
        <v>0</v>
      </c>
      <c r="POK42">
        <f t="shared" si="215"/>
        <v>0</v>
      </c>
      <c r="POL42">
        <f t="shared" si="215"/>
        <v>0</v>
      </c>
      <c r="POM42">
        <f t="shared" si="215"/>
        <v>0</v>
      </c>
      <c r="PON42">
        <f t="shared" si="215"/>
        <v>0</v>
      </c>
      <c r="POO42">
        <f t="shared" si="215"/>
        <v>0</v>
      </c>
      <c r="POP42">
        <f t="shared" si="215"/>
        <v>0</v>
      </c>
      <c r="POQ42">
        <f t="shared" si="215"/>
        <v>0</v>
      </c>
      <c r="POR42">
        <f t="shared" si="215"/>
        <v>0</v>
      </c>
      <c r="POS42">
        <f t="shared" si="215"/>
        <v>0</v>
      </c>
      <c r="POT42">
        <f t="shared" si="215"/>
        <v>0</v>
      </c>
      <c r="POU42">
        <f t="shared" si="215"/>
        <v>0</v>
      </c>
      <c r="POV42">
        <f t="shared" si="215"/>
        <v>0</v>
      </c>
      <c r="POW42">
        <f t="shared" si="215"/>
        <v>0</v>
      </c>
      <c r="POX42">
        <f t="shared" si="215"/>
        <v>0</v>
      </c>
      <c r="POY42">
        <f t="shared" si="215"/>
        <v>0</v>
      </c>
      <c r="POZ42">
        <f t="shared" si="215"/>
        <v>0</v>
      </c>
      <c r="PPA42">
        <f t="shared" si="215"/>
        <v>0</v>
      </c>
      <c r="PPB42">
        <f t="shared" si="215"/>
        <v>0</v>
      </c>
      <c r="PPC42">
        <f t="shared" si="215"/>
        <v>0</v>
      </c>
      <c r="PPD42">
        <f t="shared" si="215"/>
        <v>0</v>
      </c>
      <c r="PPE42">
        <f t="shared" si="215"/>
        <v>0</v>
      </c>
      <c r="PPF42">
        <f t="shared" si="215"/>
        <v>0</v>
      </c>
      <c r="PPG42">
        <f t="shared" si="215"/>
        <v>0</v>
      </c>
      <c r="PPH42">
        <f t="shared" si="215"/>
        <v>0</v>
      </c>
      <c r="PPI42">
        <f t="shared" si="215"/>
        <v>0</v>
      </c>
      <c r="PPJ42">
        <f t="shared" si="215"/>
        <v>0</v>
      </c>
      <c r="PPK42">
        <f t="shared" si="215"/>
        <v>0</v>
      </c>
      <c r="PPL42">
        <f t="shared" si="215"/>
        <v>0</v>
      </c>
      <c r="PPM42">
        <f t="shared" si="215"/>
        <v>0</v>
      </c>
      <c r="PPN42">
        <f t="shared" si="215"/>
        <v>0</v>
      </c>
      <c r="PPO42">
        <f t="shared" si="215"/>
        <v>0</v>
      </c>
      <c r="PPP42">
        <f t="shared" si="215"/>
        <v>0</v>
      </c>
      <c r="PPQ42">
        <f t="shared" si="215"/>
        <v>0</v>
      </c>
      <c r="PPR42">
        <f t="shared" si="215"/>
        <v>0</v>
      </c>
      <c r="PPS42">
        <f t="shared" si="215"/>
        <v>0</v>
      </c>
      <c r="PPT42">
        <f t="shared" si="215"/>
        <v>0</v>
      </c>
      <c r="PPU42">
        <f t="shared" si="215"/>
        <v>0</v>
      </c>
      <c r="PPV42">
        <f t="shared" si="215"/>
        <v>0</v>
      </c>
      <c r="PPW42">
        <f t="shared" si="215"/>
        <v>0</v>
      </c>
      <c r="PPX42">
        <f t="shared" si="215"/>
        <v>0</v>
      </c>
      <c r="PPY42">
        <f t="shared" si="215"/>
        <v>0</v>
      </c>
      <c r="PPZ42">
        <f t="shared" si="215"/>
        <v>0</v>
      </c>
      <c r="PQA42">
        <f t="shared" si="215"/>
        <v>0</v>
      </c>
      <c r="PQB42">
        <f t="shared" si="215"/>
        <v>0</v>
      </c>
      <c r="PQC42">
        <f t="shared" si="215"/>
        <v>0</v>
      </c>
      <c r="PQD42">
        <f t="shared" ref="PQD42:PSO43" si="216">PQD41*1.6*1.2</f>
        <v>0</v>
      </c>
      <c r="PQE42">
        <f t="shared" si="216"/>
        <v>0</v>
      </c>
      <c r="PQF42">
        <f t="shared" si="216"/>
        <v>0</v>
      </c>
      <c r="PQG42">
        <f t="shared" si="216"/>
        <v>0</v>
      </c>
      <c r="PQH42">
        <f t="shared" si="216"/>
        <v>0</v>
      </c>
      <c r="PQI42">
        <f t="shared" si="216"/>
        <v>0</v>
      </c>
      <c r="PQJ42">
        <f t="shared" si="216"/>
        <v>0</v>
      </c>
      <c r="PQK42">
        <f t="shared" si="216"/>
        <v>0</v>
      </c>
      <c r="PQL42">
        <f t="shared" si="216"/>
        <v>0</v>
      </c>
      <c r="PQM42">
        <f t="shared" si="216"/>
        <v>0</v>
      </c>
      <c r="PQN42">
        <f t="shared" si="216"/>
        <v>0</v>
      </c>
      <c r="PQO42">
        <f t="shared" si="216"/>
        <v>0</v>
      </c>
      <c r="PQP42">
        <f t="shared" si="216"/>
        <v>0</v>
      </c>
      <c r="PQQ42">
        <f t="shared" si="216"/>
        <v>0</v>
      </c>
      <c r="PQR42">
        <f t="shared" si="216"/>
        <v>0</v>
      </c>
      <c r="PQS42">
        <f t="shared" si="216"/>
        <v>0</v>
      </c>
      <c r="PQT42">
        <f t="shared" si="216"/>
        <v>0</v>
      </c>
      <c r="PQU42">
        <f t="shared" si="216"/>
        <v>0</v>
      </c>
      <c r="PQV42">
        <f t="shared" si="216"/>
        <v>0</v>
      </c>
      <c r="PQW42">
        <f t="shared" si="216"/>
        <v>0</v>
      </c>
      <c r="PQX42">
        <f t="shared" si="216"/>
        <v>0</v>
      </c>
      <c r="PQY42">
        <f t="shared" si="216"/>
        <v>0</v>
      </c>
      <c r="PQZ42">
        <f t="shared" si="216"/>
        <v>0</v>
      </c>
      <c r="PRA42">
        <f t="shared" si="216"/>
        <v>0</v>
      </c>
      <c r="PRB42">
        <f t="shared" si="216"/>
        <v>0</v>
      </c>
      <c r="PRC42">
        <f t="shared" si="216"/>
        <v>0</v>
      </c>
      <c r="PRD42">
        <f t="shared" si="216"/>
        <v>0</v>
      </c>
      <c r="PRE42">
        <f t="shared" si="216"/>
        <v>0</v>
      </c>
      <c r="PRF42">
        <f t="shared" si="216"/>
        <v>0</v>
      </c>
      <c r="PRG42">
        <f t="shared" si="216"/>
        <v>0</v>
      </c>
      <c r="PRH42">
        <f t="shared" si="216"/>
        <v>0</v>
      </c>
      <c r="PRI42">
        <f t="shared" si="216"/>
        <v>0</v>
      </c>
      <c r="PRJ42">
        <f t="shared" si="216"/>
        <v>0</v>
      </c>
      <c r="PRK42">
        <f t="shared" si="216"/>
        <v>0</v>
      </c>
      <c r="PRL42">
        <f t="shared" si="216"/>
        <v>0</v>
      </c>
      <c r="PRM42">
        <f t="shared" si="216"/>
        <v>0</v>
      </c>
      <c r="PRN42">
        <f t="shared" si="216"/>
        <v>0</v>
      </c>
      <c r="PRO42">
        <f t="shared" si="216"/>
        <v>0</v>
      </c>
      <c r="PRP42">
        <f t="shared" si="216"/>
        <v>0</v>
      </c>
      <c r="PRQ42">
        <f t="shared" si="216"/>
        <v>0</v>
      </c>
      <c r="PRR42">
        <f t="shared" si="216"/>
        <v>0</v>
      </c>
      <c r="PRS42">
        <f t="shared" si="216"/>
        <v>0</v>
      </c>
      <c r="PRT42">
        <f t="shared" si="216"/>
        <v>0</v>
      </c>
      <c r="PRU42">
        <f t="shared" si="216"/>
        <v>0</v>
      </c>
      <c r="PRV42">
        <f t="shared" si="216"/>
        <v>0</v>
      </c>
      <c r="PRW42">
        <f t="shared" si="216"/>
        <v>0</v>
      </c>
      <c r="PRX42">
        <f t="shared" si="216"/>
        <v>0</v>
      </c>
      <c r="PRY42">
        <f t="shared" si="216"/>
        <v>0</v>
      </c>
      <c r="PRZ42">
        <f t="shared" si="216"/>
        <v>0</v>
      </c>
      <c r="PSA42">
        <f t="shared" si="216"/>
        <v>0</v>
      </c>
      <c r="PSB42">
        <f t="shared" si="216"/>
        <v>0</v>
      </c>
      <c r="PSC42">
        <f t="shared" si="216"/>
        <v>0</v>
      </c>
      <c r="PSD42">
        <f t="shared" si="216"/>
        <v>0</v>
      </c>
      <c r="PSE42">
        <f t="shared" si="216"/>
        <v>0</v>
      </c>
      <c r="PSF42">
        <f t="shared" si="216"/>
        <v>0</v>
      </c>
      <c r="PSG42">
        <f t="shared" si="216"/>
        <v>0</v>
      </c>
      <c r="PSH42">
        <f t="shared" si="216"/>
        <v>0</v>
      </c>
      <c r="PSI42">
        <f t="shared" si="216"/>
        <v>0</v>
      </c>
      <c r="PSJ42">
        <f t="shared" si="216"/>
        <v>0</v>
      </c>
      <c r="PSK42">
        <f t="shared" si="216"/>
        <v>0</v>
      </c>
      <c r="PSL42">
        <f t="shared" si="216"/>
        <v>0</v>
      </c>
      <c r="PSM42">
        <f t="shared" si="216"/>
        <v>0</v>
      </c>
      <c r="PSN42">
        <f t="shared" si="216"/>
        <v>0</v>
      </c>
      <c r="PSO42">
        <f t="shared" si="216"/>
        <v>0</v>
      </c>
      <c r="PSP42">
        <f t="shared" ref="PSP42:PVA43" si="217">PSP41*1.6*1.2</f>
        <v>0</v>
      </c>
      <c r="PSQ42">
        <f t="shared" si="217"/>
        <v>0</v>
      </c>
      <c r="PSR42">
        <f t="shared" si="217"/>
        <v>0</v>
      </c>
      <c r="PSS42">
        <f t="shared" si="217"/>
        <v>0</v>
      </c>
      <c r="PST42">
        <f t="shared" si="217"/>
        <v>0</v>
      </c>
      <c r="PSU42">
        <f t="shared" si="217"/>
        <v>0</v>
      </c>
      <c r="PSV42">
        <f t="shared" si="217"/>
        <v>0</v>
      </c>
      <c r="PSW42">
        <f t="shared" si="217"/>
        <v>0</v>
      </c>
      <c r="PSX42">
        <f t="shared" si="217"/>
        <v>0</v>
      </c>
      <c r="PSY42">
        <f t="shared" si="217"/>
        <v>0</v>
      </c>
      <c r="PSZ42">
        <f t="shared" si="217"/>
        <v>0</v>
      </c>
      <c r="PTA42">
        <f t="shared" si="217"/>
        <v>0</v>
      </c>
      <c r="PTB42">
        <f t="shared" si="217"/>
        <v>0</v>
      </c>
      <c r="PTC42">
        <f t="shared" si="217"/>
        <v>0</v>
      </c>
      <c r="PTD42">
        <f t="shared" si="217"/>
        <v>0</v>
      </c>
      <c r="PTE42">
        <f t="shared" si="217"/>
        <v>0</v>
      </c>
      <c r="PTF42">
        <f t="shared" si="217"/>
        <v>0</v>
      </c>
      <c r="PTG42">
        <f t="shared" si="217"/>
        <v>0</v>
      </c>
      <c r="PTH42">
        <f t="shared" si="217"/>
        <v>0</v>
      </c>
      <c r="PTI42">
        <f t="shared" si="217"/>
        <v>0</v>
      </c>
      <c r="PTJ42">
        <f t="shared" si="217"/>
        <v>0</v>
      </c>
      <c r="PTK42">
        <f t="shared" si="217"/>
        <v>0</v>
      </c>
      <c r="PTL42">
        <f t="shared" si="217"/>
        <v>0</v>
      </c>
      <c r="PTM42">
        <f t="shared" si="217"/>
        <v>0</v>
      </c>
      <c r="PTN42">
        <f t="shared" si="217"/>
        <v>0</v>
      </c>
      <c r="PTO42">
        <f t="shared" si="217"/>
        <v>0</v>
      </c>
      <c r="PTP42">
        <f t="shared" si="217"/>
        <v>0</v>
      </c>
      <c r="PTQ42">
        <f t="shared" si="217"/>
        <v>0</v>
      </c>
      <c r="PTR42">
        <f t="shared" si="217"/>
        <v>0</v>
      </c>
      <c r="PTS42">
        <f t="shared" si="217"/>
        <v>0</v>
      </c>
      <c r="PTT42">
        <f t="shared" si="217"/>
        <v>0</v>
      </c>
      <c r="PTU42">
        <f t="shared" si="217"/>
        <v>0</v>
      </c>
      <c r="PTV42">
        <f t="shared" si="217"/>
        <v>0</v>
      </c>
      <c r="PTW42">
        <f t="shared" si="217"/>
        <v>0</v>
      </c>
      <c r="PTX42">
        <f t="shared" si="217"/>
        <v>0</v>
      </c>
      <c r="PTY42">
        <f t="shared" si="217"/>
        <v>0</v>
      </c>
      <c r="PTZ42">
        <f t="shared" si="217"/>
        <v>0</v>
      </c>
      <c r="PUA42">
        <f t="shared" si="217"/>
        <v>0</v>
      </c>
      <c r="PUB42">
        <f t="shared" si="217"/>
        <v>0</v>
      </c>
      <c r="PUC42">
        <f t="shared" si="217"/>
        <v>0</v>
      </c>
      <c r="PUD42">
        <f t="shared" si="217"/>
        <v>0</v>
      </c>
      <c r="PUE42">
        <f t="shared" si="217"/>
        <v>0</v>
      </c>
      <c r="PUF42">
        <f t="shared" si="217"/>
        <v>0</v>
      </c>
      <c r="PUG42">
        <f t="shared" si="217"/>
        <v>0</v>
      </c>
      <c r="PUH42">
        <f t="shared" si="217"/>
        <v>0</v>
      </c>
      <c r="PUI42">
        <f t="shared" si="217"/>
        <v>0</v>
      </c>
      <c r="PUJ42">
        <f t="shared" si="217"/>
        <v>0</v>
      </c>
      <c r="PUK42">
        <f t="shared" si="217"/>
        <v>0</v>
      </c>
      <c r="PUL42">
        <f t="shared" si="217"/>
        <v>0</v>
      </c>
      <c r="PUM42">
        <f t="shared" si="217"/>
        <v>0</v>
      </c>
      <c r="PUN42">
        <f t="shared" si="217"/>
        <v>0</v>
      </c>
      <c r="PUO42">
        <f t="shared" si="217"/>
        <v>0</v>
      </c>
      <c r="PUP42">
        <f t="shared" si="217"/>
        <v>0</v>
      </c>
      <c r="PUQ42">
        <f t="shared" si="217"/>
        <v>0</v>
      </c>
      <c r="PUR42">
        <f t="shared" si="217"/>
        <v>0</v>
      </c>
      <c r="PUS42">
        <f t="shared" si="217"/>
        <v>0</v>
      </c>
      <c r="PUT42">
        <f t="shared" si="217"/>
        <v>0</v>
      </c>
      <c r="PUU42">
        <f t="shared" si="217"/>
        <v>0</v>
      </c>
      <c r="PUV42">
        <f t="shared" si="217"/>
        <v>0</v>
      </c>
      <c r="PUW42">
        <f t="shared" si="217"/>
        <v>0</v>
      </c>
      <c r="PUX42">
        <f t="shared" si="217"/>
        <v>0</v>
      </c>
      <c r="PUY42">
        <f t="shared" si="217"/>
        <v>0</v>
      </c>
      <c r="PUZ42">
        <f t="shared" si="217"/>
        <v>0</v>
      </c>
      <c r="PVA42">
        <f t="shared" si="217"/>
        <v>0</v>
      </c>
      <c r="PVB42">
        <f t="shared" ref="PVB42:PXM43" si="218">PVB41*1.6*1.2</f>
        <v>0</v>
      </c>
      <c r="PVC42">
        <f t="shared" si="218"/>
        <v>0</v>
      </c>
      <c r="PVD42">
        <f t="shared" si="218"/>
        <v>0</v>
      </c>
      <c r="PVE42">
        <f t="shared" si="218"/>
        <v>0</v>
      </c>
      <c r="PVF42">
        <f t="shared" si="218"/>
        <v>0</v>
      </c>
      <c r="PVG42">
        <f t="shared" si="218"/>
        <v>0</v>
      </c>
      <c r="PVH42">
        <f t="shared" si="218"/>
        <v>0</v>
      </c>
      <c r="PVI42">
        <f t="shared" si="218"/>
        <v>0</v>
      </c>
      <c r="PVJ42">
        <f t="shared" si="218"/>
        <v>0</v>
      </c>
      <c r="PVK42">
        <f t="shared" si="218"/>
        <v>0</v>
      </c>
      <c r="PVL42">
        <f t="shared" si="218"/>
        <v>0</v>
      </c>
      <c r="PVM42">
        <f t="shared" si="218"/>
        <v>0</v>
      </c>
      <c r="PVN42">
        <f t="shared" si="218"/>
        <v>0</v>
      </c>
      <c r="PVO42">
        <f t="shared" si="218"/>
        <v>0</v>
      </c>
      <c r="PVP42">
        <f t="shared" si="218"/>
        <v>0</v>
      </c>
      <c r="PVQ42">
        <f t="shared" si="218"/>
        <v>0</v>
      </c>
      <c r="PVR42">
        <f t="shared" si="218"/>
        <v>0</v>
      </c>
      <c r="PVS42">
        <f t="shared" si="218"/>
        <v>0</v>
      </c>
      <c r="PVT42">
        <f t="shared" si="218"/>
        <v>0</v>
      </c>
      <c r="PVU42">
        <f t="shared" si="218"/>
        <v>0</v>
      </c>
      <c r="PVV42">
        <f t="shared" si="218"/>
        <v>0</v>
      </c>
      <c r="PVW42">
        <f t="shared" si="218"/>
        <v>0</v>
      </c>
      <c r="PVX42">
        <f t="shared" si="218"/>
        <v>0</v>
      </c>
      <c r="PVY42">
        <f t="shared" si="218"/>
        <v>0</v>
      </c>
      <c r="PVZ42">
        <f t="shared" si="218"/>
        <v>0</v>
      </c>
      <c r="PWA42">
        <f t="shared" si="218"/>
        <v>0</v>
      </c>
      <c r="PWB42">
        <f t="shared" si="218"/>
        <v>0</v>
      </c>
      <c r="PWC42">
        <f t="shared" si="218"/>
        <v>0</v>
      </c>
      <c r="PWD42">
        <f t="shared" si="218"/>
        <v>0</v>
      </c>
      <c r="PWE42">
        <f t="shared" si="218"/>
        <v>0</v>
      </c>
      <c r="PWF42">
        <f t="shared" si="218"/>
        <v>0</v>
      </c>
      <c r="PWG42">
        <f t="shared" si="218"/>
        <v>0</v>
      </c>
      <c r="PWH42">
        <f t="shared" si="218"/>
        <v>0</v>
      </c>
      <c r="PWI42">
        <f t="shared" si="218"/>
        <v>0</v>
      </c>
      <c r="PWJ42">
        <f t="shared" si="218"/>
        <v>0</v>
      </c>
      <c r="PWK42">
        <f t="shared" si="218"/>
        <v>0</v>
      </c>
      <c r="PWL42">
        <f t="shared" si="218"/>
        <v>0</v>
      </c>
      <c r="PWM42">
        <f t="shared" si="218"/>
        <v>0</v>
      </c>
      <c r="PWN42">
        <f t="shared" si="218"/>
        <v>0</v>
      </c>
      <c r="PWO42">
        <f t="shared" si="218"/>
        <v>0</v>
      </c>
      <c r="PWP42">
        <f t="shared" si="218"/>
        <v>0</v>
      </c>
      <c r="PWQ42">
        <f t="shared" si="218"/>
        <v>0</v>
      </c>
      <c r="PWR42">
        <f t="shared" si="218"/>
        <v>0</v>
      </c>
      <c r="PWS42">
        <f t="shared" si="218"/>
        <v>0</v>
      </c>
      <c r="PWT42">
        <f t="shared" si="218"/>
        <v>0</v>
      </c>
      <c r="PWU42">
        <f t="shared" si="218"/>
        <v>0</v>
      </c>
      <c r="PWV42">
        <f t="shared" si="218"/>
        <v>0</v>
      </c>
      <c r="PWW42">
        <f t="shared" si="218"/>
        <v>0</v>
      </c>
      <c r="PWX42">
        <f t="shared" si="218"/>
        <v>0</v>
      </c>
      <c r="PWY42">
        <f t="shared" si="218"/>
        <v>0</v>
      </c>
      <c r="PWZ42">
        <f t="shared" si="218"/>
        <v>0</v>
      </c>
      <c r="PXA42">
        <f t="shared" si="218"/>
        <v>0</v>
      </c>
      <c r="PXB42">
        <f t="shared" si="218"/>
        <v>0</v>
      </c>
      <c r="PXC42">
        <f t="shared" si="218"/>
        <v>0</v>
      </c>
      <c r="PXD42">
        <f t="shared" si="218"/>
        <v>0</v>
      </c>
      <c r="PXE42">
        <f t="shared" si="218"/>
        <v>0</v>
      </c>
      <c r="PXF42">
        <f t="shared" si="218"/>
        <v>0</v>
      </c>
      <c r="PXG42">
        <f t="shared" si="218"/>
        <v>0</v>
      </c>
      <c r="PXH42">
        <f t="shared" si="218"/>
        <v>0</v>
      </c>
      <c r="PXI42">
        <f t="shared" si="218"/>
        <v>0</v>
      </c>
      <c r="PXJ42">
        <f t="shared" si="218"/>
        <v>0</v>
      </c>
      <c r="PXK42">
        <f t="shared" si="218"/>
        <v>0</v>
      </c>
      <c r="PXL42">
        <f t="shared" si="218"/>
        <v>0</v>
      </c>
      <c r="PXM42">
        <f t="shared" si="218"/>
        <v>0</v>
      </c>
      <c r="PXN42">
        <f t="shared" ref="PXN42:PZY43" si="219">PXN41*1.6*1.2</f>
        <v>0</v>
      </c>
      <c r="PXO42">
        <f t="shared" si="219"/>
        <v>0</v>
      </c>
      <c r="PXP42">
        <f t="shared" si="219"/>
        <v>0</v>
      </c>
      <c r="PXQ42">
        <f t="shared" si="219"/>
        <v>0</v>
      </c>
      <c r="PXR42">
        <f t="shared" si="219"/>
        <v>0</v>
      </c>
      <c r="PXS42">
        <f t="shared" si="219"/>
        <v>0</v>
      </c>
      <c r="PXT42">
        <f t="shared" si="219"/>
        <v>0</v>
      </c>
      <c r="PXU42">
        <f t="shared" si="219"/>
        <v>0</v>
      </c>
      <c r="PXV42">
        <f t="shared" si="219"/>
        <v>0</v>
      </c>
      <c r="PXW42">
        <f t="shared" si="219"/>
        <v>0</v>
      </c>
      <c r="PXX42">
        <f t="shared" si="219"/>
        <v>0</v>
      </c>
      <c r="PXY42">
        <f t="shared" si="219"/>
        <v>0</v>
      </c>
      <c r="PXZ42">
        <f t="shared" si="219"/>
        <v>0</v>
      </c>
      <c r="PYA42">
        <f t="shared" si="219"/>
        <v>0</v>
      </c>
      <c r="PYB42">
        <f t="shared" si="219"/>
        <v>0</v>
      </c>
      <c r="PYC42">
        <f t="shared" si="219"/>
        <v>0</v>
      </c>
      <c r="PYD42">
        <f t="shared" si="219"/>
        <v>0</v>
      </c>
      <c r="PYE42">
        <f t="shared" si="219"/>
        <v>0</v>
      </c>
      <c r="PYF42">
        <f t="shared" si="219"/>
        <v>0</v>
      </c>
      <c r="PYG42">
        <f t="shared" si="219"/>
        <v>0</v>
      </c>
      <c r="PYH42">
        <f t="shared" si="219"/>
        <v>0</v>
      </c>
      <c r="PYI42">
        <f t="shared" si="219"/>
        <v>0</v>
      </c>
      <c r="PYJ42">
        <f t="shared" si="219"/>
        <v>0</v>
      </c>
      <c r="PYK42">
        <f t="shared" si="219"/>
        <v>0</v>
      </c>
      <c r="PYL42">
        <f t="shared" si="219"/>
        <v>0</v>
      </c>
      <c r="PYM42">
        <f t="shared" si="219"/>
        <v>0</v>
      </c>
      <c r="PYN42">
        <f t="shared" si="219"/>
        <v>0</v>
      </c>
      <c r="PYO42">
        <f t="shared" si="219"/>
        <v>0</v>
      </c>
      <c r="PYP42">
        <f t="shared" si="219"/>
        <v>0</v>
      </c>
      <c r="PYQ42">
        <f t="shared" si="219"/>
        <v>0</v>
      </c>
      <c r="PYR42">
        <f t="shared" si="219"/>
        <v>0</v>
      </c>
      <c r="PYS42">
        <f t="shared" si="219"/>
        <v>0</v>
      </c>
      <c r="PYT42">
        <f t="shared" si="219"/>
        <v>0</v>
      </c>
      <c r="PYU42">
        <f t="shared" si="219"/>
        <v>0</v>
      </c>
      <c r="PYV42">
        <f t="shared" si="219"/>
        <v>0</v>
      </c>
      <c r="PYW42">
        <f t="shared" si="219"/>
        <v>0</v>
      </c>
      <c r="PYX42">
        <f t="shared" si="219"/>
        <v>0</v>
      </c>
      <c r="PYY42">
        <f t="shared" si="219"/>
        <v>0</v>
      </c>
      <c r="PYZ42">
        <f t="shared" si="219"/>
        <v>0</v>
      </c>
      <c r="PZA42">
        <f t="shared" si="219"/>
        <v>0</v>
      </c>
      <c r="PZB42">
        <f t="shared" si="219"/>
        <v>0</v>
      </c>
      <c r="PZC42">
        <f t="shared" si="219"/>
        <v>0</v>
      </c>
      <c r="PZD42">
        <f t="shared" si="219"/>
        <v>0</v>
      </c>
      <c r="PZE42">
        <f t="shared" si="219"/>
        <v>0</v>
      </c>
      <c r="PZF42">
        <f t="shared" si="219"/>
        <v>0</v>
      </c>
      <c r="PZG42">
        <f t="shared" si="219"/>
        <v>0</v>
      </c>
      <c r="PZH42">
        <f t="shared" si="219"/>
        <v>0</v>
      </c>
      <c r="PZI42">
        <f t="shared" si="219"/>
        <v>0</v>
      </c>
      <c r="PZJ42">
        <f t="shared" si="219"/>
        <v>0</v>
      </c>
      <c r="PZK42">
        <f t="shared" si="219"/>
        <v>0</v>
      </c>
      <c r="PZL42">
        <f t="shared" si="219"/>
        <v>0</v>
      </c>
      <c r="PZM42">
        <f t="shared" si="219"/>
        <v>0</v>
      </c>
      <c r="PZN42">
        <f t="shared" si="219"/>
        <v>0</v>
      </c>
      <c r="PZO42">
        <f t="shared" si="219"/>
        <v>0</v>
      </c>
      <c r="PZP42">
        <f t="shared" si="219"/>
        <v>0</v>
      </c>
      <c r="PZQ42">
        <f t="shared" si="219"/>
        <v>0</v>
      </c>
      <c r="PZR42">
        <f t="shared" si="219"/>
        <v>0</v>
      </c>
      <c r="PZS42">
        <f t="shared" si="219"/>
        <v>0</v>
      </c>
      <c r="PZT42">
        <f t="shared" si="219"/>
        <v>0</v>
      </c>
      <c r="PZU42">
        <f t="shared" si="219"/>
        <v>0</v>
      </c>
      <c r="PZV42">
        <f t="shared" si="219"/>
        <v>0</v>
      </c>
      <c r="PZW42">
        <f t="shared" si="219"/>
        <v>0</v>
      </c>
      <c r="PZX42">
        <f t="shared" si="219"/>
        <v>0</v>
      </c>
      <c r="PZY42">
        <f t="shared" si="219"/>
        <v>0</v>
      </c>
      <c r="PZZ42">
        <f t="shared" ref="PZZ42:QCK43" si="220">PZZ41*1.6*1.2</f>
        <v>0</v>
      </c>
      <c r="QAA42">
        <f t="shared" si="220"/>
        <v>0</v>
      </c>
      <c r="QAB42">
        <f t="shared" si="220"/>
        <v>0</v>
      </c>
      <c r="QAC42">
        <f t="shared" si="220"/>
        <v>0</v>
      </c>
      <c r="QAD42">
        <f t="shared" si="220"/>
        <v>0</v>
      </c>
      <c r="QAE42">
        <f t="shared" si="220"/>
        <v>0</v>
      </c>
      <c r="QAF42">
        <f t="shared" si="220"/>
        <v>0</v>
      </c>
      <c r="QAG42">
        <f t="shared" si="220"/>
        <v>0</v>
      </c>
      <c r="QAH42">
        <f t="shared" si="220"/>
        <v>0</v>
      </c>
      <c r="QAI42">
        <f t="shared" si="220"/>
        <v>0</v>
      </c>
      <c r="QAJ42">
        <f t="shared" si="220"/>
        <v>0</v>
      </c>
      <c r="QAK42">
        <f t="shared" si="220"/>
        <v>0</v>
      </c>
      <c r="QAL42">
        <f t="shared" si="220"/>
        <v>0</v>
      </c>
      <c r="QAM42">
        <f t="shared" si="220"/>
        <v>0</v>
      </c>
      <c r="QAN42">
        <f t="shared" si="220"/>
        <v>0</v>
      </c>
      <c r="QAO42">
        <f t="shared" si="220"/>
        <v>0</v>
      </c>
      <c r="QAP42">
        <f t="shared" si="220"/>
        <v>0</v>
      </c>
      <c r="QAQ42">
        <f t="shared" si="220"/>
        <v>0</v>
      </c>
      <c r="QAR42">
        <f t="shared" si="220"/>
        <v>0</v>
      </c>
      <c r="QAS42">
        <f t="shared" si="220"/>
        <v>0</v>
      </c>
      <c r="QAT42">
        <f t="shared" si="220"/>
        <v>0</v>
      </c>
      <c r="QAU42">
        <f t="shared" si="220"/>
        <v>0</v>
      </c>
      <c r="QAV42">
        <f t="shared" si="220"/>
        <v>0</v>
      </c>
      <c r="QAW42">
        <f t="shared" si="220"/>
        <v>0</v>
      </c>
      <c r="QAX42">
        <f t="shared" si="220"/>
        <v>0</v>
      </c>
      <c r="QAY42">
        <f t="shared" si="220"/>
        <v>0</v>
      </c>
      <c r="QAZ42">
        <f t="shared" si="220"/>
        <v>0</v>
      </c>
      <c r="QBA42">
        <f t="shared" si="220"/>
        <v>0</v>
      </c>
      <c r="QBB42">
        <f t="shared" si="220"/>
        <v>0</v>
      </c>
      <c r="QBC42">
        <f t="shared" si="220"/>
        <v>0</v>
      </c>
      <c r="QBD42">
        <f t="shared" si="220"/>
        <v>0</v>
      </c>
      <c r="QBE42">
        <f t="shared" si="220"/>
        <v>0</v>
      </c>
      <c r="QBF42">
        <f t="shared" si="220"/>
        <v>0</v>
      </c>
      <c r="QBG42">
        <f t="shared" si="220"/>
        <v>0</v>
      </c>
      <c r="QBH42">
        <f t="shared" si="220"/>
        <v>0</v>
      </c>
      <c r="QBI42">
        <f t="shared" si="220"/>
        <v>0</v>
      </c>
      <c r="QBJ42">
        <f t="shared" si="220"/>
        <v>0</v>
      </c>
      <c r="QBK42">
        <f t="shared" si="220"/>
        <v>0</v>
      </c>
      <c r="QBL42">
        <f t="shared" si="220"/>
        <v>0</v>
      </c>
      <c r="QBM42">
        <f t="shared" si="220"/>
        <v>0</v>
      </c>
      <c r="QBN42">
        <f t="shared" si="220"/>
        <v>0</v>
      </c>
      <c r="QBO42">
        <f t="shared" si="220"/>
        <v>0</v>
      </c>
      <c r="QBP42">
        <f t="shared" si="220"/>
        <v>0</v>
      </c>
      <c r="QBQ42">
        <f t="shared" si="220"/>
        <v>0</v>
      </c>
      <c r="QBR42">
        <f t="shared" si="220"/>
        <v>0</v>
      </c>
      <c r="QBS42">
        <f t="shared" si="220"/>
        <v>0</v>
      </c>
      <c r="QBT42">
        <f t="shared" si="220"/>
        <v>0</v>
      </c>
      <c r="QBU42">
        <f t="shared" si="220"/>
        <v>0</v>
      </c>
      <c r="QBV42">
        <f t="shared" si="220"/>
        <v>0</v>
      </c>
      <c r="QBW42">
        <f t="shared" si="220"/>
        <v>0</v>
      </c>
      <c r="QBX42">
        <f t="shared" si="220"/>
        <v>0</v>
      </c>
      <c r="QBY42">
        <f t="shared" si="220"/>
        <v>0</v>
      </c>
      <c r="QBZ42">
        <f t="shared" si="220"/>
        <v>0</v>
      </c>
      <c r="QCA42">
        <f t="shared" si="220"/>
        <v>0</v>
      </c>
      <c r="QCB42">
        <f t="shared" si="220"/>
        <v>0</v>
      </c>
      <c r="QCC42">
        <f t="shared" si="220"/>
        <v>0</v>
      </c>
      <c r="QCD42">
        <f t="shared" si="220"/>
        <v>0</v>
      </c>
      <c r="QCE42">
        <f t="shared" si="220"/>
        <v>0</v>
      </c>
      <c r="QCF42">
        <f t="shared" si="220"/>
        <v>0</v>
      </c>
      <c r="QCG42">
        <f t="shared" si="220"/>
        <v>0</v>
      </c>
      <c r="QCH42">
        <f t="shared" si="220"/>
        <v>0</v>
      </c>
      <c r="QCI42">
        <f t="shared" si="220"/>
        <v>0</v>
      </c>
      <c r="QCJ42">
        <f t="shared" si="220"/>
        <v>0</v>
      </c>
      <c r="QCK42">
        <f t="shared" si="220"/>
        <v>0</v>
      </c>
      <c r="QCL42">
        <f t="shared" ref="QCL42:QEW43" si="221">QCL41*1.6*1.2</f>
        <v>0</v>
      </c>
      <c r="QCM42">
        <f t="shared" si="221"/>
        <v>0</v>
      </c>
      <c r="QCN42">
        <f t="shared" si="221"/>
        <v>0</v>
      </c>
      <c r="QCO42">
        <f t="shared" si="221"/>
        <v>0</v>
      </c>
      <c r="QCP42">
        <f t="shared" si="221"/>
        <v>0</v>
      </c>
      <c r="QCQ42">
        <f t="shared" si="221"/>
        <v>0</v>
      </c>
      <c r="QCR42">
        <f t="shared" si="221"/>
        <v>0</v>
      </c>
      <c r="QCS42">
        <f t="shared" si="221"/>
        <v>0</v>
      </c>
      <c r="QCT42">
        <f t="shared" si="221"/>
        <v>0</v>
      </c>
      <c r="QCU42">
        <f t="shared" si="221"/>
        <v>0</v>
      </c>
      <c r="QCV42">
        <f t="shared" si="221"/>
        <v>0</v>
      </c>
      <c r="QCW42">
        <f t="shared" si="221"/>
        <v>0</v>
      </c>
      <c r="QCX42">
        <f t="shared" si="221"/>
        <v>0</v>
      </c>
      <c r="QCY42">
        <f t="shared" si="221"/>
        <v>0</v>
      </c>
      <c r="QCZ42">
        <f t="shared" si="221"/>
        <v>0</v>
      </c>
      <c r="QDA42">
        <f t="shared" si="221"/>
        <v>0</v>
      </c>
      <c r="QDB42">
        <f t="shared" si="221"/>
        <v>0</v>
      </c>
      <c r="QDC42">
        <f t="shared" si="221"/>
        <v>0</v>
      </c>
      <c r="QDD42">
        <f t="shared" si="221"/>
        <v>0</v>
      </c>
      <c r="QDE42">
        <f t="shared" si="221"/>
        <v>0</v>
      </c>
      <c r="QDF42">
        <f t="shared" si="221"/>
        <v>0</v>
      </c>
      <c r="QDG42">
        <f t="shared" si="221"/>
        <v>0</v>
      </c>
      <c r="QDH42">
        <f t="shared" si="221"/>
        <v>0</v>
      </c>
      <c r="QDI42">
        <f t="shared" si="221"/>
        <v>0</v>
      </c>
      <c r="QDJ42">
        <f t="shared" si="221"/>
        <v>0</v>
      </c>
      <c r="QDK42">
        <f t="shared" si="221"/>
        <v>0</v>
      </c>
      <c r="QDL42">
        <f t="shared" si="221"/>
        <v>0</v>
      </c>
      <c r="QDM42">
        <f t="shared" si="221"/>
        <v>0</v>
      </c>
      <c r="QDN42">
        <f t="shared" si="221"/>
        <v>0</v>
      </c>
      <c r="QDO42">
        <f t="shared" si="221"/>
        <v>0</v>
      </c>
      <c r="QDP42">
        <f t="shared" si="221"/>
        <v>0</v>
      </c>
      <c r="QDQ42">
        <f t="shared" si="221"/>
        <v>0</v>
      </c>
      <c r="QDR42">
        <f t="shared" si="221"/>
        <v>0</v>
      </c>
      <c r="QDS42">
        <f t="shared" si="221"/>
        <v>0</v>
      </c>
      <c r="QDT42">
        <f t="shared" si="221"/>
        <v>0</v>
      </c>
      <c r="QDU42">
        <f t="shared" si="221"/>
        <v>0</v>
      </c>
      <c r="QDV42">
        <f t="shared" si="221"/>
        <v>0</v>
      </c>
      <c r="QDW42">
        <f t="shared" si="221"/>
        <v>0</v>
      </c>
      <c r="QDX42">
        <f t="shared" si="221"/>
        <v>0</v>
      </c>
      <c r="QDY42">
        <f t="shared" si="221"/>
        <v>0</v>
      </c>
      <c r="QDZ42">
        <f t="shared" si="221"/>
        <v>0</v>
      </c>
      <c r="QEA42">
        <f t="shared" si="221"/>
        <v>0</v>
      </c>
      <c r="QEB42">
        <f t="shared" si="221"/>
        <v>0</v>
      </c>
      <c r="QEC42">
        <f t="shared" si="221"/>
        <v>0</v>
      </c>
      <c r="QED42">
        <f t="shared" si="221"/>
        <v>0</v>
      </c>
      <c r="QEE42">
        <f t="shared" si="221"/>
        <v>0</v>
      </c>
      <c r="QEF42">
        <f t="shared" si="221"/>
        <v>0</v>
      </c>
      <c r="QEG42">
        <f t="shared" si="221"/>
        <v>0</v>
      </c>
      <c r="QEH42">
        <f t="shared" si="221"/>
        <v>0</v>
      </c>
      <c r="QEI42">
        <f t="shared" si="221"/>
        <v>0</v>
      </c>
      <c r="QEJ42">
        <f t="shared" si="221"/>
        <v>0</v>
      </c>
      <c r="QEK42">
        <f t="shared" si="221"/>
        <v>0</v>
      </c>
      <c r="QEL42">
        <f t="shared" si="221"/>
        <v>0</v>
      </c>
      <c r="QEM42">
        <f t="shared" si="221"/>
        <v>0</v>
      </c>
      <c r="QEN42">
        <f t="shared" si="221"/>
        <v>0</v>
      </c>
      <c r="QEO42">
        <f t="shared" si="221"/>
        <v>0</v>
      </c>
      <c r="QEP42">
        <f t="shared" si="221"/>
        <v>0</v>
      </c>
      <c r="QEQ42">
        <f t="shared" si="221"/>
        <v>0</v>
      </c>
      <c r="QER42">
        <f t="shared" si="221"/>
        <v>0</v>
      </c>
      <c r="QES42">
        <f t="shared" si="221"/>
        <v>0</v>
      </c>
      <c r="QET42">
        <f t="shared" si="221"/>
        <v>0</v>
      </c>
      <c r="QEU42">
        <f t="shared" si="221"/>
        <v>0</v>
      </c>
      <c r="QEV42">
        <f t="shared" si="221"/>
        <v>0</v>
      </c>
      <c r="QEW42">
        <f t="shared" si="221"/>
        <v>0</v>
      </c>
      <c r="QEX42">
        <f t="shared" ref="QEX42:QHI43" si="222">QEX41*1.6*1.2</f>
        <v>0</v>
      </c>
      <c r="QEY42">
        <f t="shared" si="222"/>
        <v>0</v>
      </c>
      <c r="QEZ42">
        <f t="shared" si="222"/>
        <v>0</v>
      </c>
      <c r="QFA42">
        <f t="shared" si="222"/>
        <v>0</v>
      </c>
      <c r="QFB42">
        <f t="shared" si="222"/>
        <v>0</v>
      </c>
      <c r="QFC42">
        <f t="shared" si="222"/>
        <v>0</v>
      </c>
      <c r="QFD42">
        <f t="shared" si="222"/>
        <v>0</v>
      </c>
      <c r="QFE42">
        <f t="shared" si="222"/>
        <v>0</v>
      </c>
      <c r="QFF42">
        <f t="shared" si="222"/>
        <v>0</v>
      </c>
      <c r="QFG42">
        <f t="shared" si="222"/>
        <v>0</v>
      </c>
      <c r="QFH42">
        <f t="shared" si="222"/>
        <v>0</v>
      </c>
      <c r="QFI42">
        <f t="shared" si="222"/>
        <v>0</v>
      </c>
      <c r="QFJ42">
        <f t="shared" si="222"/>
        <v>0</v>
      </c>
      <c r="QFK42">
        <f t="shared" si="222"/>
        <v>0</v>
      </c>
      <c r="QFL42">
        <f t="shared" si="222"/>
        <v>0</v>
      </c>
      <c r="QFM42">
        <f t="shared" si="222"/>
        <v>0</v>
      </c>
      <c r="QFN42">
        <f t="shared" si="222"/>
        <v>0</v>
      </c>
      <c r="QFO42">
        <f t="shared" si="222"/>
        <v>0</v>
      </c>
      <c r="QFP42">
        <f t="shared" si="222"/>
        <v>0</v>
      </c>
      <c r="QFQ42">
        <f t="shared" si="222"/>
        <v>0</v>
      </c>
      <c r="QFR42">
        <f t="shared" si="222"/>
        <v>0</v>
      </c>
      <c r="QFS42">
        <f t="shared" si="222"/>
        <v>0</v>
      </c>
      <c r="QFT42">
        <f t="shared" si="222"/>
        <v>0</v>
      </c>
      <c r="QFU42">
        <f t="shared" si="222"/>
        <v>0</v>
      </c>
      <c r="QFV42">
        <f t="shared" si="222"/>
        <v>0</v>
      </c>
      <c r="QFW42">
        <f t="shared" si="222"/>
        <v>0</v>
      </c>
      <c r="QFX42">
        <f t="shared" si="222"/>
        <v>0</v>
      </c>
      <c r="QFY42">
        <f t="shared" si="222"/>
        <v>0</v>
      </c>
      <c r="QFZ42">
        <f t="shared" si="222"/>
        <v>0</v>
      </c>
      <c r="QGA42">
        <f t="shared" si="222"/>
        <v>0</v>
      </c>
      <c r="QGB42">
        <f t="shared" si="222"/>
        <v>0</v>
      </c>
      <c r="QGC42">
        <f t="shared" si="222"/>
        <v>0</v>
      </c>
      <c r="QGD42">
        <f t="shared" si="222"/>
        <v>0</v>
      </c>
      <c r="QGE42">
        <f t="shared" si="222"/>
        <v>0</v>
      </c>
      <c r="QGF42">
        <f t="shared" si="222"/>
        <v>0</v>
      </c>
      <c r="QGG42">
        <f t="shared" si="222"/>
        <v>0</v>
      </c>
      <c r="QGH42">
        <f t="shared" si="222"/>
        <v>0</v>
      </c>
      <c r="QGI42">
        <f t="shared" si="222"/>
        <v>0</v>
      </c>
      <c r="QGJ42">
        <f t="shared" si="222"/>
        <v>0</v>
      </c>
      <c r="QGK42">
        <f t="shared" si="222"/>
        <v>0</v>
      </c>
      <c r="QGL42">
        <f t="shared" si="222"/>
        <v>0</v>
      </c>
      <c r="QGM42">
        <f t="shared" si="222"/>
        <v>0</v>
      </c>
      <c r="QGN42">
        <f t="shared" si="222"/>
        <v>0</v>
      </c>
      <c r="QGO42">
        <f t="shared" si="222"/>
        <v>0</v>
      </c>
      <c r="QGP42">
        <f t="shared" si="222"/>
        <v>0</v>
      </c>
      <c r="QGQ42">
        <f t="shared" si="222"/>
        <v>0</v>
      </c>
      <c r="QGR42">
        <f t="shared" si="222"/>
        <v>0</v>
      </c>
      <c r="QGS42">
        <f t="shared" si="222"/>
        <v>0</v>
      </c>
      <c r="QGT42">
        <f t="shared" si="222"/>
        <v>0</v>
      </c>
      <c r="QGU42">
        <f t="shared" si="222"/>
        <v>0</v>
      </c>
      <c r="QGV42">
        <f t="shared" si="222"/>
        <v>0</v>
      </c>
      <c r="QGW42">
        <f t="shared" si="222"/>
        <v>0</v>
      </c>
      <c r="QGX42">
        <f t="shared" si="222"/>
        <v>0</v>
      </c>
      <c r="QGY42">
        <f t="shared" si="222"/>
        <v>0</v>
      </c>
      <c r="QGZ42">
        <f t="shared" si="222"/>
        <v>0</v>
      </c>
      <c r="QHA42">
        <f t="shared" si="222"/>
        <v>0</v>
      </c>
      <c r="QHB42">
        <f t="shared" si="222"/>
        <v>0</v>
      </c>
      <c r="QHC42">
        <f t="shared" si="222"/>
        <v>0</v>
      </c>
      <c r="QHD42">
        <f t="shared" si="222"/>
        <v>0</v>
      </c>
      <c r="QHE42">
        <f t="shared" si="222"/>
        <v>0</v>
      </c>
      <c r="QHF42">
        <f t="shared" si="222"/>
        <v>0</v>
      </c>
      <c r="QHG42">
        <f t="shared" si="222"/>
        <v>0</v>
      </c>
      <c r="QHH42">
        <f t="shared" si="222"/>
        <v>0</v>
      </c>
      <c r="QHI42">
        <f t="shared" si="222"/>
        <v>0</v>
      </c>
      <c r="QHJ42">
        <f t="shared" ref="QHJ42:QJU43" si="223">QHJ41*1.6*1.2</f>
        <v>0</v>
      </c>
      <c r="QHK42">
        <f t="shared" si="223"/>
        <v>0</v>
      </c>
      <c r="QHL42">
        <f t="shared" si="223"/>
        <v>0</v>
      </c>
      <c r="QHM42">
        <f t="shared" si="223"/>
        <v>0</v>
      </c>
      <c r="QHN42">
        <f t="shared" si="223"/>
        <v>0</v>
      </c>
      <c r="QHO42">
        <f t="shared" si="223"/>
        <v>0</v>
      </c>
      <c r="QHP42">
        <f t="shared" si="223"/>
        <v>0</v>
      </c>
      <c r="QHQ42">
        <f t="shared" si="223"/>
        <v>0</v>
      </c>
      <c r="QHR42">
        <f t="shared" si="223"/>
        <v>0</v>
      </c>
      <c r="QHS42">
        <f t="shared" si="223"/>
        <v>0</v>
      </c>
      <c r="QHT42">
        <f t="shared" si="223"/>
        <v>0</v>
      </c>
      <c r="QHU42">
        <f t="shared" si="223"/>
        <v>0</v>
      </c>
      <c r="QHV42">
        <f t="shared" si="223"/>
        <v>0</v>
      </c>
      <c r="QHW42">
        <f t="shared" si="223"/>
        <v>0</v>
      </c>
      <c r="QHX42">
        <f t="shared" si="223"/>
        <v>0</v>
      </c>
      <c r="QHY42">
        <f t="shared" si="223"/>
        <v>0</v>
      </c>
      <c r="QHZ42">
        <f t="shared" si="223"/>
        <v>0</v>
      </c>
      <c r="QIA42">
        <f t="shared" si="223"/>
        <v>0</v>
      </c>
      <c r="QIB42">
        <f t="shared" si="223"/>
        <v>0</v>
      </c>
      <c r="QIC42">
        <f t="shared" si="223"/>
        <v>0</v>
      </c>
      <c r="QID42">
        <f t="shared" si="223"/>
        <v>0</v>
      </c>
      <c r="QIE42">
        <f t="shared" si="223"/>
        <v>0</v>
      </c>
      <c r="QIF42">
        <f t="shared" si="223"/>
        <v>0</v>
      </c>
      <c r="QIG42">
        <f t="shared" si="223"/>
        <v>0</v>
      </c>
      <c r="QIH42">
        <f t="shared" si="223"/>
        <v>0</v>
      </c>
      <c r="QII42">
        <f t="shared" si="223"/>
        <v>0</v>
      </c>
      <c r="QIJ42">
        <f t="shared" si="223"/>
        <v>0</v>
      </c>
      <c r="QIK42">
        <f t="shared" si="223"/>
        <v>0</v>
      </c>
      <c r="QIL42">
        <f t="shared" si="223"/>
        <v>0</v>
      </c>
      <c r="QIM42">
        <f t="shared" si="223"/>
        <v>0</v>
      </c>
      <c r="QIN42">
        <f t="shared" si="223"/>
        <v>0</v>
      </c>
      <c r="QIO42">
        <f t="shared" si="223"/>
        <v>0</v>
      </c>
      <c r="QIP42">
        <f t="shared" si="223"/>
        <v>0</v>
      </c>
      <c r="QIQ42">
        <f t="shared" si="223"/>
        <v>0</v>
      </c>
      <c r="QIR42">
        <f t="shared" si="223"/>
        <v>0</v>
      </c>
      <c r="QIS42">
        <f t="shared" si="223"/>
        <v>0</v>
      </c>
      <c r="QIT42">
        <f t="shared" si="223"/>
        <v>0</v>
      </c>
      <c r="QIU42">
        <f t="shared" si="223"/>
        <v>0</v>
      </c>
      <c r="QIV42">
        <f t="shared" si="223"/>
        <v>0</v>
      </c>
      <c r="QIW42">
        <f t="shared" si="223"/>
        <v>0</v>
      </c>
      <c r="QIX42">
        <f t="shared" si="223"/>
        <v>0</v>
      </c>
      <c r="QIY42">
        <f t="shared" si="223"/>
        <v>0</v>
      </c>
      <c r="QIZ42">
        <f t="shared" si="223"/>
        <v>0</v>
      </c>
      <c r="QJA42">
        <f t="shared" si="223"/>
        <v>0</v>
      </c>
      <c r="QJB42">
        <f t="shared" si="223"/>
        <v>0</v>
      </c>
      <c r="QJC42">
        <f t="shared" si="223"/>
        <v>0</v>
      </c>
      <c r="QJD42">
        <f t="shared" si="223"/>
        <v>0</v>
      </c>
      <c r="QJE42">
        <f t="shared" si="223"/>
        <v>0</v>
      </c>
      <c r="QJF42">
        <f t="shared" si="223"/>
        <v>0</v>
      </c>
      <c r="QJG42">
        <f t="shared" si="223"/>
        <v>0</v>
      </c>
      <c r="QJH42">
        <f t="shared" si="223"/>
        <v>0</v>
      </c>
      <c r="QJI42">
        <f t="shared" si="223"/>
        <v>0</v>
      </c>
      <c r="QJJ42">
        <f t="shared" si="223"/>
        <v>0</v>
      </c>
      <c r="QJK42">
        <f t="shared" si="223"/>
        <v>0</v>
      </c>
      <c r="QJL42">
        <f t="shared" si="223"/>
        <v>0</v>
      </c>
      <c r="QJM42">
        <f t="shared" si="223"/>
        <v>0</v>
      </c>
      <c r="QJN42">
        <f t="shared" si="223"/>
        <v>0</v>
      </c>
      <c r="QJO42">
        <f t="shared" si="223"/>
        <v>0</v>
      </c>
      <c r="QJP42">
        <f t="shared" si="223"/>
        <v>0</v>
      </c>
      <c r="QJQ42">
        <f t="shared" si="223"/>
        <v>0</v>
      </c>
      <c r="QJR42">
        <f t="shared" si="223"/>
        <v>0</v>
      </c>
      <c r="QJS42">
        <f t="shared" si="223"/>
        <v>0</v>
      </c>
      <c r="QJT42">
        <f t="shared" si="223"/>
        <v>0</v>
      </c>
      <c r="QJU42">
        <f t="shared" si="223"/>
        <v>0</v>
      </c>
      <c r="QJV42">
        <f t="shared" ref="QJV42:QMG43" si="224">QJV41*1.6*1.2</f>
        <v>0</v>
      </c>
      <c r="QJW42">
        <f t="shared" si="224"/>
        <v>0</v>
      </c>
      <c r="QJX42">
        <f t="shared" si="224"/>
        <v>0</v>
      </c>
      <c r="QJY42">
        <f t="shared" si="224"/>
        <v>0</v>
      </c>
      <c r="QJZ42">
        <f t="shared" si="224"/>
        <v>0</v>
      </c>
      <c r="QKA42">
        <f t="shared" si="224"/>
        <v>0</v>
      </c>
      <c r="QKB42">
        <f t="shared" si="224"/>
        <v>0</v>
      </c>
      <c r="QKC42">
        <f t="shared" si="224"/>
        <v>0</v>
      </c>
      <c r="QKD42">
        <f t="shared" si="224"/>
        <v>0</v>
      </c>
      <c r="QKE42">
        <f t="shared" si="224"/>
        <v>0</v>
      </c>
      <c r="QKF42">
        <f t="shared" si="224"/>
        <v>0</v>
      </c>
      <c r="QKG42">
        <f t="shared" si="224"/>
        <v>0</v>
      </c>
      <c r="QKH42">
        <f t="shared" si="224"/>
        <v>0</v>
      </c>
      <c r="QKI42">
        <f t="shared" si="224"/>
        <v>0</v>
      </c>
      <c r="QKJ42">
        <f t="shared" si="224"/>
        <v>0</v>
      </c>
      <c r="QKK42">
        <f t="shared" si="224"/>
        <v>0</v>
      </c>
      <c r="QKL42">
        <f t="shared" si="224"/>
        <v>0</v>
      </c>
      <c r="QKM42">
        <f t="shared" si="224"/>
        <v>0</v>
      </c>
      <c r="QKN42">
        <f t="shared" si="224"/>
        <v>0</v>
      </c>
      <c r="QKO42">
        <f t="shared" si="224"/>
        <v>0</v>
      </c>
      <c r="QKP42">
        <f t="shared" si="224"/>
        <v>0</v>
      </c>
      <c r="QKQ42">
        <f t="shared" si="224"/>
        <v>0</v>
      </c>
      <c r="QKR42">
        <f t="shared" si="224"/>
        <v>0</v>
      </c>
      <c r="QKS42">
        <f t="shared" si="224"/>
        <v>0</v>
      </c>
      <c r="QKT42">
        <f t="shared" si="224"/>
        <v>0</v>
      </c>
      <c r="QKU42">
        <f t="shared" si="224"/>
        <v>0</v>
      </c>
      <c r="QKV42">
        <f t="shared" si="224"/>
        <v>0</v>
      </c>
      <c r="QKW42">
        <f t="shared" si="224"/>
        <v>0</v>
      </c>
      <c r="QKX42">
        <f t="shared" si="224"/>
        <v>0</v>
      </c>
      <c r="QKY42">
        <f t="shared" si="224"/>
        <v>0</v>
      </c>
      <c r="QKZ42">
        <f t="shared" si="224"/>
        <v>0</v>
      </c>
      <c r="QLA42">
        <f t="shared" si="224"/>
        <v>0</v>
      </c>
      <c r="QLB42">
        <f t="shared" si="224"/>
        <v>0</v>
      </c>
      <c r="QLC42">
        <f t="shared" si="224"/>
        <v>0</v>
      </c>
      <c r="QLD42">
        <f t="shared" si="224"/>
        <v>0</v>
      </c>
      <c r="QLE42">
        <f t="shared" si="224"/>
        <v>0</v>
      </c>
      <c r="QLF42">
        <f t="shared" si="224"/>
        <v>0</v>
      </c>
      <c r="QLG42">
        <f t="shared" si="224"/>
        <v>0</v>
      </c>
      <c r="QLH42">
        <f t="shared" si="224"/>
        <v>0</v>
      </c>
      <c r="QLI42">
        <f t="shared" si="224"/>
        <v>0</v>
      </c>
      <c r="QLJ42">
        <f t="shared" si="224"/>
        <v>0</v>
      </c>
      <c r="QLK42">
        <f t="shared" si="224"/>
        <v>0</v>
      </c>
      <c r="QLL42">
        <f t="shared" si="224"/>
        <v>0</v>
      </c>
      <c r="QLM42">
        <f t="shared" si="224"/>
        <v>0</v>
      </c>
      <c r="QLN42">
        <f t="shared" si="224"/>
        <v>0</v>
      </c>
      <c r="QLO42">
        <f t="shared" si="224"/>
        <v>0</v>
      </c>
      <c r="QLP42">
        <f t="shared" si="224"/>
        <v>0</v>
      </c>
      <c r="QLQ42">
        <f t="shared" si="224"/>
        <v>0</v>
      </c>
      <c r="QLR42">
        <f t="shared" si="224"/>
        <v>0</v>
      </c>
      <c r="QLS42">
        <f t="shared" si="224"/>
        <v>0</v>
      </c>
      <c r="QLT42">
        <f t="shared" si="224"/>
        <v>0</v>
      </c>
      <c r="QLU42">
        <f t="shared" si="224"/>
        <v>0</v>
      </c>
      <c r="QLV42">
        <f t="shared" si="224"/>
        <v>0</v>
      </c>
      <c r="QLW42">
        <f t="shared" si="224"/>
        <v>0</v>
      </c>
      <c r="QLX42">
        <f t="shared" si="224"/>
        <v>0</v>
      </c>
      <c r="QLY42">
        <f t="shared" si="224"/>
        <v>0</v>
      </c>
      <c r="QLZ42">
        <f t="shared" si="224"/>
        <v>0</v>
      </c>
      <c r="QMA42">
        <f t="shared" si="224"/>
        <v>0</v>
      </c>
      <c r="QMB42">
        <f t="shared" si="224"/>
        <v>0</v>
      </c>
      <c r="QMC42">
        <f t="shared" si="224"/>
        <v>0</v>
      </c>
      <c r="QMD42">
        <f t="shared" si="224"/>
        <v>0</v>
      </c>
      <c r="QME42">
        <f t="shared" si="224"/>
        <v>0</v>
      </c>
      <c r="QMF42">
        <f t="shared" si="224"/>
        <v>0</v>
      </c>
      <c r="QMG42">
        <f t="shared" si="224"/>
        <v>0</v>
      </c>
      <c r="QMH42">
        <f t="shared" ref="QMH42:QOS43" si="225">QMH41*1.6*1.2</f>
        <v>0</v>
      </c>
      <c r="QMI42">
        <f t="shared" si="225"/>
        <v>0</v>
      </c>
      <c r="QMJ42">
        <f t="shared" si="225"/>
        <v>0</v>
      </c>
      <c r="QMK42">
        <f t="shared" si="225"/>
        <v>0</v>
      </c>
      <c r="QML42">
        <f t="shared" si="225"/>
        <v>0</v>
      </c>
      <c r="QMM42">
        <f t="shared" si="225"/>
        <v>0</v>
      </c>
      <c r="QMN42">
        <f t="shared" si="225"/>
        <v>0</v>
      </c>
      <c r="QMO42">
        <f t="shared" si="225"/>
        <v>0</v>
      </c>
      <c r="QMP42">
        <f t="shared" si="225"/>
        <v>0</v>
      </c>
      <c r="QMQ42">
        <f t="shared" si="225"/>
        <v>0</v>
      </c>
      <c r="QMR42">
        <f t="shared" si="225"/>
        <v>0</v>
      </c>
      <c r="QMS42">
        <f t="shared" si="225"/>
        <v>0</v>
      </c>
      <c r="QMT42">
        <f t="shared" si="225"/>
        <v>0</v>
      </c>
      <c r="QMU42">
        <f t="shared" si="225"/>
        <v>0</v>
      </c>
      <c r="QMV42">
        <f t="shared" si="225"/>
        <v>0</v>
      </c>
      <c r="QMW42">
        <f t="shared" si="225"/>
        <v>0</v>
      </c>
      <c r="QMX42">
        <f t="shared" si="225"/>
        <v>0</v>
      </c>
      <c r="QMY42">
        <f t="shared" si="225"/>
        <v>0</v>
      </c>
      <c r="QMZ42">
        <f t="shared" si="225"/>
        <v>0</v>
      </c>
      <c r="QNA42">
        <f t="shared" si="225"/>
        <v>0</v>
      </c>
      <c r="QNB42">
        <f t="shared" si="225"/>
        <v>0</v>
      </c>
      <c r="QNC42">
        <f t="shared" si="225"/>
        <v>0</v>
      </c>
      <c r="QND42">
        <f t="shared" si="225"/>
        <v>0</v>
      </c>
      <c r="QNE42">
        <f t="shared" si="225"/>
        <v>0</v>
      </c>
      <c r="QNF42">
        <f t="shared" si="225"/>
        <v>0</v>
      </c>
      <c r="QNG42">
        <f t="shared" si="225"/>
        <v>0</v>
      </c>
      <c r="QNH42">
        <f t="shared" si="225"/>
        <v>0</v>
      </c>
      <c r="QNI42">
        <f t="shared" si="225"/>
        <v>0</v>
      </c>
      <c r="QNJ42">
        <f t="shared" si="225"/>
        <v>0</v>
      </c>
      <c r="QNK42">
        <f t="shared" si="225"/>
        <v>0</v>
      </c>
      <c r="QNL42">
        <f t="shared" si="225"/>
        <v>0</v>
      </c>
      <c r="QNM42">
        <f t="shared" si="225"/>
        <v>0</v>
      </c>
      <c r="QNN42">
        <f t="shared" si="225"/>
        <v>0</v>
      </c>
      <c r="QNO42">
        <f t="shared" si="225"/>
        <v>0</v>
      </c>
      <c r="QNP42">
        <f t="shared" si="225"/>
        <v>0</v>
      </c>
      <c r="QNQ42">
        <f t="shared" si="225"/>
        <v>0</v>
      </c>
      <c r="QNR42">
        <f t="shared" si="225"/>
        <v>0</v>
      </c>
      <c r="QNS42">
        <f t="shared" si="225"/>
        <v>0</v>
      </c>
      <c r="QNT42">
        <f t="shared" si="225"/>
        <v>0</v>
      </c>
      <c r="QNU42">
        <f t="shared" si="225"/>
        <v>0</v>
      </c>
      <c r="QNV42">
        <f t="shared" si="225"/>
        <v>0</v>
      </c>
      <c r="QNW42">
        <f t="shared" si="225"/>
        <v>0</v>
      </c>
      <c r="QNX42">
        <f t="shared" si="225"/>
        <v>0</v>
      </c>
      <c r="QNY42">
        <f t="shared" si="225"/>
        <v>0</v>
      </c>
      <c r="QNZ42">
        <f t="shared" si="225"/>
        <v>0</v>
      </c>
      <c r="QOA42">
        <f t="shared" si="225"/>
        <v>0</v>
      </c>
      <c r="QOB42">
        <f t="shared" si="225"/>
        <v>0</v>
      </c>
      <c r="QOC42">
        <f t="shared" si="225"/>
        <v>0</v>
      </c>
      <c r="QOD42">
        <f t="shared" si="225"/>
        <v>0</v>
      </c>
      <c r="QOE42">
        <f t="shared" si="225"/>
        <v>0</v>
      </c>
      <c r="QOF42">
        <f t="shared" si="225"/>
        <v>0</v>
      </c>
      <c r="QOG42">
        <f t="shared" si="225"/>
        <v>0</v>
      </c>
      <c r="QOH42">
        <f t="shared" si="225"/>
        <v>0</v>
      </c>
      <c r="QOI42">
        <f t="shared" si="225"/>
        <v>0</v>
      </c>
      <c r="QOJ42">
        <f t="shared" si="225"/>
        <v>0</v>
      </c>
      <c r="QOK42">
        <f t="shared" si="225"/>
        <v>0</v>
      </c>
      <c r="QOL42">
        <f t="shared" si="225"/>
        <v>0</v>
      </c>
      <c r="QOM42">
        <f t="shared" si="225"/>
        <v>0</v>
      </c>
      <c r="QON42">
        <f t="shared" si="225"/>
        <v>0</v>
      </c>
      <c r="QOO42">
        <f t="shared" si="225"/>
        <v>0</v>
      </c>
      <c r="QOP42">
        <f t="shared" si="225"/>
        <v>0</v>
      </c>
      <c r="QOQ42">
        <f t="shared" si="225"/>
        <v>0</v>
      </c>
      <c r="QOR42">
        <f t="shared" si="225"/>
        <v>0</v>
      </c>
      <c r="QOS42">
        <f t="shared" si="225"/>
        <v>0</v>
      </c>
      <c r="QOT42">
        <f t="shared" ref="QOT42:QRE43" si="226">QOT41*1.6*1.2</f>
        <v>0</v>
      </c>
      <c r="QOU42">
        <f t="shared" si="226"/>
        <v>0</v>
      </c>
      <c r="QOV42">
        <f t="shared" si="226"/>
        <v>0</v>
      </c>
      <c r="QOW42">
        <f t="shared" si="226"/>
        <v>0</v>
      </c>
      <c r="QOX42">
        <f t="shared" si="226"/>
        <v>0</v>
      </c>
      <c r="QOY42">
        <f t="shared" si="226"/>
        <v>0</v>
      </c>
      <c r="QOZ42">
        <f t="shared" si="226"/>
        <v>0</v>
      </c>
      <c r="QPA42">
        <f t="shared" si="226"/>
        <v>0</v>
      </c>
      <c r="QPB42">
        <f t="shared" si="226"/>
        <v>0</v>
      </c>
      <c r="QPC42">
        <f t="shared" si="226"/>
        <v>0</v>
      </c>
      <c r="QPD42">
        <f t="shared" si="226"/>
        <v>0</v>
      </c>
      <c r="QPE42">
        <f t="shared" si="226"/>
        <v>0</v>
      </c>
      <c r="QPF42">
        <f t="shared" si="226"/>
        <v>0</v>
      </c>
      <c r="QPG42">
        <f t="shared" si="226"/>
        <v>0</v>
      </c>
      <c r="QPH42">
        <f t="shared" si="226"/>
        <v>0</v>
      </c>
      <c r="QPI42">
        <f t="shared" si="226"/>
        <v>0</v>
      </c>
      <c r="QPJ42">
        <f t="shared" si="226"/>
        <v>0</v>
      </c>
      <c r="QPK42">
        <f t="shared" si="226"/>
        <v>0</v>
      </c>
      <c r="QPL42">
        <f t="shared" si="226"/>
        <v>0</v>
      </c>
      <c r="QPM42">
        <f t="shared" si="226"/>
        <v>0</v>
      </c>
      <c r="QPN42">
        <f t="shared" si="226"/>
        <v>0</v>
      </c>
      <c r="QPO42">
        <f t="shared" si="226"/>
        <v>0</v>
      </c>
      <c r="QPP42">
        <f t="shared" si="226"/>
        <v>0</v>
      </c>
      <c r="QPQ42">
        <f t="shared" si="226"/>
        <v>0</v>
      </c>
      <c r="QPR42">
        <f t="shared" si="226"/>
        <v>0</v>
      </c>
      <c r="QPS42">
        <f t="shared" si="226"/>
        <v>0</v>
      </c>
      <c r="QPT42">
        <f t="shared" si="226"/>
        <v>0</v>
      </c>
      <c r="QPU42">
        <f t="shared" si="226"/>
        <v>0</v>
      </c>
      <c r="QPV42">
        <f t="shared" si="226"/>
        <v>0</v>
      </c>
      <c r="QPW42">
        <f t="shared" si="226"/>
        <v>0</v>
      </c>
      <c r="QPX42">
        <f t="shared" si="226"/>
        <v>0</v>
      </c>
      <c r="QPY42">
        <f t="shared" si="226"/>
        <v>0</v>
      </c>
      <c r="QPZ42">
        <f t="shared" si="226"/>
        <v>0</v>
      </c>
      <c r="QQA42">
        <f t="shared" si="226"/>
        <v>0</v>
      </c>
      <c r="QQB42">
        <f t="shared" si="226"/>
        <v>0</v>
      </c>
      <c r="QQC42">
        <f t="shared" si="226"/>
        <v>0</v>
      </c>
      <c r="QQD42">
        <f t="shared" si="226"/>
        <v>0</v>
      </c>
      <c r="QQE42">
        <f t="shared" si="226"/>
        <v>0</v>
      </c>
      <c r="QQF42">
        <f t="shared" si="226"/>
        <v>0</v>
      </c>
      <c r="QQG42">
        <f t="shared" si="226"/>
        <v>0</v>
      </c>
      <c r="QQH42">
        <f t="shared" si="226"/>
        <v>0</v>
      </c>
      <c r="QQI42">
        <f t="shared" si="226"/>
        <v>0</v>
      </c>
      <c r="QQJ42">
        <f t="shared" si="226"/>
        <v>0</v>
      </c>
      <c r="QQK42">
        <f t="shared" si="226"/>
        <v>0</v>
      </c>
      <c r="QQL42">
        <f t="shared" si="226"/>
        <v>0</v>
      </c>
      <c r="QQM42">
        <f t="shared" si="226"/>
        <v>0</v>
      </c>
      <c r="QQN42">
        <f t="shared" si="226"/>
        <v>0</v>
      </c>
      <c r="QQO42">
        <f t="shared" si="226"/>
        <v>0</v>
      </c>
      <c r="QQP42">
        <f t="shared" si="226"/>
        <v>0</v>
      </c>
      <c r="QQQ42">
        <f t="shared" si="226"/>
        <v>0</v>
      </c>
      <c r="QQR42">
        <f t="shared" si="226"/>
        <v>0</v>
      </c>
      <c r="QQS42">
        <f t="shared" si="226"/>
        <v>0</v>
      </c>
      <c r="QQT42">
        <f t="shared" si="226"/>
        <v>0</v>
      </c>
      <c r="QQU42">
        <f t="shared" si="226"/>
        <v>0</v>
      </c>
      <c r="QQV42">
        <f t="shared" si="226"/>
        <v>0</v>
      </c>
      <c r="QQW42">
        <f t="shared" si="226"/>
        <v>0</v>
      </c>
      <c r="QQX42">
        <f t="shared" si="226"/>
        <v>0</v>
      </c>
      <c r="QQY42">
        <f t="shared" si="226"/>
        <v>0</v>
      </c>
      <c r="QQZ42">
        <f t="shared" si="226"/>
        <v>0</v>
      </c>
      <c r="QRA42">
        <f t="shared" si="226"/>
        <v>0</v>
      </c>
      <c r="QRB42">
        <f t="shared" si="226"/>
        <v>0</v>
      </c>
      <c r="QRC42">
        <f t="shared" si="226"/>
        <v>0</v>
      </c>
      <c r="QRD42">
        <f t="shared" si="226"/>
        <v>0</v>
      </c>
      <c r="QRE42">
        <f t="shared" si="226"/>
        <v>0</v>
      </c>
      <c r="QRF42">
        <f t="shared" ref="QRF42:QTQ43" si="227">QRF41*1.6*1.2</f>
        <v>0</v>
      </c>
      <c r="QRG42">
        <f t="shared" si="227"/>
        <v>0</v>
      </c>
      <c r="QRH42">
        <f t="shared" si="227"/>
        <v>0</v>
      </c>
      <c r="QRI42">
        <f t="shared" si="227"/>
        <v>0</v>
      </c>
      <c r="QRJ42">
        <f t="shared" si="227"/>
        <v>0</v>
      </c>
      <c r="QRK42">
        <f t="shared" si="227"/>
        <v>0</v>
      </c>
      <c r="QRL42">
        <f t="shared" si="227"/>
        <v>0</v>
      </c>
      <c r="QRM42">
        <f t="shared" si="227"/>
        <v>0</v>
      </c>
      <c r="QRN42">
        <f t="shared" si="227"/>
        <v>0</v>
      </c>
      <c r="QRO42">
        <f t="shared" si="227"/>
        <v>0</v>
      </c>
      <c r="QRP42">
        <f t="shared" si="227"/>
        <v>0</v>
      </c>
      <c r="QRQ42">
        <f t="shared" si="227"/>
        <v>0</v>
      </c>
      <c r="QRR42">
        <f t="shared" si="227"/>
        <v>0</v>
      </c>
      <c r="QRS42">
        <f t="shared" si="227"/>
        <v>0</v>
      </c>
      <c r="QRT42">
        <f t="shared" si="227"/>
        <v>0</v>
      </c>
      <c r="QRU42">
        <f t="shared" si="227"/>
        <v>0</v>
      </c>
      <c r="QRV42">
        <f t="shared" si="227"/>
        <v>0</v>
      </c>
      <c r="QRW42">
        <f t="shared" si="227"/>
        <v>0</v>
      </c>
      <c r="QRX42">
        <f t="shared" si="227"/>
        <v>0</v>
      </c>
      <c r="QRY42">
        <f t="shared" si="227"/>
        <v>0</v>
      </c>
      <c r="QRZ42">
        <f t="shared" si="227"/>
        <v>0</v>
      </c>
      <c r="QSA42">
        <f t="shared" si="227"/>
        <v>0</v>
      </c>
      <c r="QSB42">
        <f t="shared" si="227"/>
        <v>0</v>
      </c>
      <c r="QSC42">
        <f t="shared" si="227"/>
        <v>0</v>
      </c>
      <c r="QSD42">
        <f t="shared" si="227"/>
        <v>0</v>
      </c>
      <c r="QSE42">
        <f t="shared" si="227"/>
        <v>0</v>
      </c>
      <c r="QSF42">
        <f t="shared" si="227"/>
        <v>0</v>
      </c>
      <c r="QSG42">
        <f t="shared" si="227"/>
        <v>0</v>
      </c>
      <c r="QSH42">
        <f t="shared" si="227"/>
        <v>0</v>
      </c>
      <c r="QSI42">
        <f t="shared" si="227"/>
        <v>0</v>
      </c>
      <c r="QSJ42">
        <f t="shared" si="227"/>
        <v>0</v>
      </c>
      <c r="QSK42">
        <f t="shared" si="227"/>
        <v>0</v>
      </c>
      <c r="QSL42">
        <f t="shared" si="227"/>
        <v>0</v>
      </c>
      <c r="QSM42">
        <f t="shared" si="227"/>
        <v>0</v>
      </c>
      <c r="QSN42">
        <f t="shared" si="227"/>
        <v>0</v>
      </c>
      <c r="QSO42">
        <f t="shared" si="227"/>
        <v>0</v>
      </c>
      <c r="QSP42">
        <f t="shared" si="227"/>
        <v>0</v>
      </c>
      <c r="QSQ42">
        <f t="shared" si="227"/>
        <v>0</v>
      </c>
      <c r="QSR42">
        <f t="shared" si="227"/>
        <v>0</v>
      </c>
      <c r="QSS42">
        <f t="shared" si="227"/>
        <v>0</v>
      </c>
      <c r="QST42">
        <f t="shared" si="227"/>
        <v>0</v>
      </c>
      <c r="QSU42">
        <f t="shared" si="227"/>
        <v>0</v>
      </c>
      <c r="QSV42">
        <f t="shared" si="227"/>
        <v>0</v>
      </c>
      <c r="QSW42">
        <f t="shared" si="227"/>
        <v>0</v>
      </c>
      <c r="QSX42">
        <f t="shared" si="227"/>
        <v>0</v>
      </c>
      <c r="QSY42">
        <f t="shared" si="227"/>
        <v>0</v>
      </c>
      <c r="QSZ42">
        <f t="shared" si="227"/>
        <v>0</v>
      </c>
      <c r="QTA42">
        <f t="shared" si="227"/>
        <v>0</v>
      </c>
      <c r="QTB42">
        <f t="shared" si="227"/>
        <v>0</v>
      </c>
      <c r="QTC42">
        <f t="shared" si="227"/>
        <v>0</v>
      </c>
      <c r="QTD42">
        <f t="shared" si="227"/>
        <v>0</v>
      </c>
      <c r="QTE42">
        <f t="shared" si="227"/>
        <v>0</v>
      </c>
      <c r="QTF42">
        <f t="shared" si="227"/>
        <v>0</v>
      </c>
      <c r="QTG42">
        <f t="shared" si="227"/>
        <v>0</v>
      </c>
      <c r="QTH42">
        <f t="shared" si="227"/>
        <v>0</v>
      </c>
      <c r="QTI42">
        <f t="shared" si="227"/>
        <v>0</v>
      </c>
      <c r="QTJ42">
        <f t="shared" si="227"/>
        <v>0</v>
      </c>
      <c r="QTK42">
        <f t="shared" si="227"/>
        <v>0</v>
      </c>
      <c r="QTL42">
        <f t="shared" si="227"/>
        <v>0</v>
      </c>
      <c r="QTM42">
        <f t="shared" si="227"/>
        <v>0</v>
      </c>
      <c r="QTN42">
        <f t="shared" si="227"/>
        <v>0</v>
      </c>
      <c r="QTO42">
        <f t="shared" si="227"/>
        <v>0</v>
      </c>
      <c r="QTP42">
        <f t="shared" si="227"/>
        <v>0</v>
      </c>
      <c r="QTQ42">
        <f t="shared" si="227"/>
        <v>0</v>
      </c>
      <c r="QTR42">
        <f t="shared" ref="QTR42:QWC43" si="228">QTR41*1.6*1.2</f>
        <v>0</v>
      </c>
      <c r="QTS42">
        <f t="shared" si="228"/>
        <v>0</v>
      </c>
      <c r="QTT42">
        <f t="shared" si="228"/>
        <v>0</v>
      </c>
      <c r="QTU42">
        <f t="shared" si="228"/>
        <v>0</v>
      </c>
      <c r="QTV42">
        <f t="shared" si="228"/>
        <v>0</v>
      </c>
      <c r="QTW42">
        <f t="shared" si="228"/>
        <v>0</v>
      </c>
      <c r="QTX42">
        <f t="shared" si="228"/>
        <v>0</v>
      </c>
      <c r="QTY42">
        <f t="shared" si="228"/>
        <v>0</v>
      </c>
      <c r="QTZ42">
        <f t="shared" si="228"/>
        <v>0</v>
      </c>
      <c r="QUA42">
        <f t="shared" si="228"/>
        <v>0</v>
      </c>
      <c r="QUB42">
        <f t="shared" si="228"/>
        <v>0</v>
      </c>
      <c r="QUC42">
        <f t="shared" si="228"/>
        <v>0</v>
      </c>
      <c r="QUD42">
        <f t="shared" si="228"/>
        <v>0</v>
      </c>
      <c r="QUE42">
        <f t="shared" si="228"/>
        <v>0</v>
      </c>
      <c r="QUF42">
        <f t="shared" si="228"/>
        <v>0</v>
      </c>
      <c r="QUG42">
        <f t="shared" si="228"/>
        <v>0</v>
      </c>
      <c r="QUH42">
        <f t="shared" si="228"/>
        <v>0</v>
      </c>
      <c r="QUI42">
        <f t="shared" si="228"/>
        <v>0</v>
      </c>
      <c r="QUJ42">
        <f t="shared" si="228"/>
        <v>0</v>
      </c>
      <c r="QUK42">
        <f t="shared" si="228"/>
        <v>0</v>
      </c>
      <c r="QUL42">
        <f t="shared" si="228"/>
        <v>0</v>
      </c>
      <c r="QUM42">
        <f t="shared" si="228"/>
        <v>0</v>
      </c>
      <c r="QUN42">
        <f t="shared" si="228"/>
        <v>0</v>
      </c>
      <c r="QUO42">
        <f t="shared" si="228"/>
        <v>0</v>
      </c>
      <c r="QUP42">
        <f t="shared" si="228"/>
        <v>0</v>
      </c>
      <c r="QUQ42">
        <f t="shared" si="228"/>
        <v>0</v>
      </c>
      <c r="QUR42">
        <f t="shared" si="228"/>
        <v>0</v>
      </c>
      <c r="QUS42">
        <f t="shared" si="228"/>
        <v>0</v>
      </c>
      <c r="QUT42">
        <f t="shared" si="228"/>
        <v>0</v>
      </c>
      <c r="QUU42">
        <f t="shared" si="228"/>
        <v>0</v>
      </c>
      <c r="QUV42">
        <f t="shared" si="228"/>
        <v>0</v>
      </c>
      <c r="QUW42">
        <f t="shared" si="228"/>
        <v>0</v>
      </c>
      <c r="QUX42">
        <f t="shared" si="228"/>
        <v>0</v>
      </c>
      <c r="QUY42">
        <f t="shared" si="228"/>
        <v>0</v>
      </c>
      <c r="QUZ42">
        <f t="shared" si="228"/>
        <v>0</v>
      </c>
      <c r="QVA42">
        <f t="shared" si="228"/>
        <v>0</v>
      </c>
      <c r="QVB42">
        <f t="shared" si="228"/>
        <v>0</v>
      </c>
      <c r="QVC42">
        <f t="shared" si="228"/>
        <v>0</v>
      </c>
      <c r="QVD42">
        <f t="shared" si="228"/>
        <v>0</v>
      </c>
      <c r="QVE42">
        <f t="shared" si="228"/>
        <v>0</v>
      </c>
      <c r="QVF42">
        <f t="shared" si="228"/>
        <v>0</v>
      </c>
      <c r="QVG42">
        <f t="shared" si="228"/>
        <v>0</v>
      </c>
      <c r="QVH42">
        <f t="shared" si="228"/>
        <v>0</v>
      </c>
      <c r="QVI42">
        <f t="shared" si="228"/>
        <v>0</v>
      </c>
      <c r="QVJ42">
        <f t="shared" si="228"/>
        <v>0</v>
      </c>
      <c r="QVK42">
        <f t="shared" si="228"/>
        <v>0</v>
      </c>
      <c r="QVL42">
        <f t="shared" si="228"/>
        <v>0</v>
      </c>
      <c r="QVM42">
        <f t="shared" si="228"/>
        <v>0</v>
      </c>
      <c r="QVN42">
        <f t="shared" si="228"/>
        <v>0</v>
      </c>
      <c r="QVO42">
        <f t="shared" si="228"/>
        <v>0</v>
      </c>
      <c r="QVP42">
        <f t="shared" si="228"/>
        <v>0</v>
      </c>
      <c r="QVQ42">
        <f t="shared" si="228"/>
        <v>0</v>
      </c>
      <c r="QVR42">
        <f t="shared" si="228"/>
        <v>0</v>
      </c>
      <c r="QVS42">
        <f t="shared" si="228"/>
        <v>0</v>
      </c>
      <c r="QVT42">
        <f t="shared" si="228"/>
        <v>0</v>
      </c>
      <c r="QVU42">
        <f t="shared" si="228"/>
        <v>0</v>
      </c>
      <c r="QVV42">
        <f t="shared" si="228"/>
        <v>0</v>
      </c>
      <c r="QVW42">
        <f t="shared" si="228"/>
        <v>0</v>
      </c>
      <c r="QVX42">
        <f t="shared" si="228"/>
        <v>0</v>
      </c>
      <c r="QVY42">
        <f t="shared" si="228"/>
        <v>0</v>
      </c>
      <c r="QVZ42">
        <f t="shared" si="228"/>
        <v>0</v>
      </c>
      <c r="QWA42">
        <f t="shared" si="228"/>
        <v>0</v>
      </c>
      <c r="QWB42">
        <f t="shared" si="228"/>
        <v>0</v>
      </c>
      <c r="QWC42">
        <f t="shared" si="228"/>
        <v>0</v>
      </c>
      <c r="QWD42">
        <f t="shared" ref="QWD42:QYO43" si="229">QWD41*1.6*1.2</f>
        <v>0</v>
      </c>
      <c r="QWE42">
        <f t="shared" si="229"/>
        <v>0</v>
      </c>
      <c r="QWF42">
        <f t="shared" si="229"/>
        <v>0</v>
      </c>
      <c r="QWG42">
        <f t="shared" si="229"/>
        <v>0</v>
      </c>
      <c r="QWH42">
        <f t="shared" si="229"/>
        <v>0</v>
      </c>
      <c r="QWI42">
        <f t="shared" si="229"/>
        <v>0</v>
      </c>
      <c r="QWJ42">
        <f t="shared" si="229"/>
        <v>0</v>
      </c>
      <c r="QWK42">
        <f t="shared" si="229"/>
        <v>0</v>
      </c>
      <c r="QWL42">
        <f t="shared" si="229"/>
        <v>0</v>
      </c>
      <c r="QWM42">
        <f t="shared" si="229"/>
        <v>0</v>
      </c>
      <c r="QWN42">
        <f t="shared" si="229"/>
        <v>0</v>
      </c>
      <c r="QWO42">
        <f t="shared" si="229"/>
        <v>0</v>
      </c>
      <c r="QWP42">
        <f t="shared" si="229"/>
        <v>0</v>
      </c>
      <c r="QWQ42">
        <f t="shared" si="229"/>
        <v>0</v>
      </c>
      <c r="QWR42">
        <f t="shared" si="229"/>
        <v>0</v>
      </c>
      <c r="QWS42">
        <f t="shared" si="229"/>
        <v>0</v>
      </c>
      <c r="QWT42">
        <f t="shared" si="229"/>
        <v>0</v>
      </c>
      <c r="QWU42">
        <f t="shared" si="229"/>
        <v>0</v>
      </c>
      <c r="QWV42">
        <f t="shared" si="229"/>
        <v>0</v>
      </c>
      <c r="QWW42">
        <f t="shared" si="229"/>
        <v>0</v>
      </c>
      <c r="QWX42">
        <f t="shared" si="229"/>
        <v>0</v>
      </c>
      <c r="QWY42">
        <f t="shared" si="229"/>
        <v>0</v>
      </c>
      <c r="QWZ42">
        <f t="shared" si="229"/>
        <v>0</v>
      </c>
      <c r="QXA42">
        <f t="shared" si="229"/>
        <v>0</v>
      </c>
      <c r="QXB42">
        <f t="shared" si="229"/>
        <v>0</v>
      </c>
      <c r="QXC42">
        <f t="shared" si="229"/>
        <v>0</v>
      </c>
      <c r="QXD42">
        <f t="shared" si="229"/>
        <v>0</v>
      </c>
      <c r="QXE42">
        <f t="shared" si="229"/>
        <v>0</v>
      </c>
      <c r="QXF42">
        <f t="shared" si="229"/>
        <v>0</v>
      </c>
      <c r="QXG42">
        <f t="shared" si="229"/>
        <v>0</v>
      </c>
      <c r="QXH42">
        <f t="shared" si="229"/>
        <v>0</v>
      </c>
      <c r="QXI42">
        <f t="shared" si="229"/>
        <v>0</v>
      </c>
      <c r="QXJ42">
        <f t="shared" si="229"/>
        <v>0</v>
      </c>
      <c r="QXK42">
        <f t="shared" si="229"/>
        <v>0</v>
      </c>
      <c r="QXL42">
        <f t="shared" si="229"/>
        <v>0</v>
      </c>
      <c r="QXM42">
        <f t="shared" si="229"/>
        <v>0</v>
      </c>
      <c r="QXN42">
        <f t="shared" si="229"/>
        <v>0</v>
      </c>
      <c r="QXO42">
        <f t="shared" si="229"/>
        <v>0</v>
      </c>
      <c r="QXP42">
        <f t="shared" si="229"/>
        <v>0</v>
      </c>
      <c r="QXQ42">
        <f t="shared" si="229"/>
        <v>0</v>
      </c>
      <c r="QXR42">
        <f t="shared" si="229"/>
        <v>0</v>
      </c>
      <c r="QXS42">
        <f t="shared" si="229"/>
        <v>0</v>
      </c>
      <c r="QXT42">
        <f t="shared" si="229"/>
        <v>0</v>
      </c>
      <c r="QXU42">
        <f t="shared" si="229"/>
        <v>0</v>
      </c>
      <c r="QXV42">
        <f t="shared" si="229"/>
        <v>0</v>
      </c>
      <c r="QXW42">
        <f t="shared" si="229"/>
        <v>0</v>
      </c>
      <c r="QXX42">
        <f t="shared" si="229"/>
        <v>0</v>
      </c>
      <c r="QXY42">
        <f t="shared" si="229"/>
        <v>0</v>
      </c>
      <c r="QXZ42">
        <f t="shared" si="229"/>
        <v>0</v>
      </c>
      <c r="QYA42">
        <f t="shared" si="229"/>
        <v>0</v>
      </c>
      <c r="QYB42">
        <f t="shared" si="229"/>
        <v>0</v>
      </c>
      <c r="QYC42">
        <f t="shared" si="229"/>
        <v>0</v>
      </c>
      <c r="QYD42">
        <f t="shared" si="229"/>
        <v>0</v>
      </c>
      <c r="QYE42">
        <f t="shared" si="229"/>
        <v>0</v>
      </c>
      <c r="QYF42">
        <f t="shared" si="229"/>
        <v>0</v>
      </c>
      <c r="QYG42">
        <f t="shared" si="229"/>
        <v>0</v>
      </c>
      <c r="QYH42">
        <f t="shared" si="229"/>
        <v>0</v>
      </c>
      <c r="QYI42">
        <f t="shared" si="229"/>
        <v>0</v>
      </c>
      <c r="QYJ42">
        <f t="shared" si="229"/>
        <v>0</v>
      </c>
      <c r="QYK42">
        <f t="shared" si="229"/>
        <v>0</v>
      </c>
      <c r="QYL42">
        <f t="shared" si="229"/>
        <v>0</v>
      </c>
      <c r="QYM42">
        <f t="shared" si="229"/>
        <v>0</v>
      </c>
      <c r="QYN42">
        <f t="shared" si="229"/>
        <v>0</v>
      </c>
      <c r="QYO42">
        <f t="shared" si="229"/>
        <v>0</v>
      </c>
      <c r="QYP42">
        <f t="shared" ref="QYP42:RBA43" si="230">QYP41*1.6*1.2</f>
        <v>0</v>
      </c>
      <c r="QYQ42">
        <f t="shared" si="230"/>
        <v>0</v>
      </c>
      <c r="QYR42">
        <f t="shared" si="230"/>
        <v>0</v>
      </c>
      <c r="QYS42">
        <f t="shared" si="230"/>
        <v>0</v>
      </c>
      <c r="QYT42">
        <f t="shared" si="230"/>
        <v>0</v>
      </c>
      <c r="QYU42">
        <f t="shared" si="230"/>
        <v>0</v>
      </c>
      <c r="QYV42">
        <f t="shared" si="230"/>
        <v>0</v>
      </c>
      <c r="QYW42">
        <f t="shared" si="230"/>
        <v>0</v>
      </c>
      <c r="QYX42">
        <f t="shared" si="230"/>
        <v>0</v>
      </c>
      <c r="QYY42">
        <f t="shared" si="230"/>
        <v>0</v>
      </c>
      <c r="QYZ42">
        <f t="shared" si="230"/>
        <v>0</v>
      </c>
      <c r="QZA42">
        <f t="shared" si="230"/>
        <v>0</v>
      </c>
      <c r="QZB42">
        <f t="shared" si="230"/>
        <v>0</v>
      </c>
      <c r="QZC42">
        <f t="shared" si="230"/>
        <v>0</v>
      </c>
      <c r="QZD42">
        <f t="shared" si="230"/>
        <v>0</v>
      </c>
      <c r="QZE42">
        <f t="shared" si="230"/>
        <v>0</v>
      </c>
      <c r="QZF42">
        <f t="shared" si="230"/>
        <v>0</v>
      </c>
      <c r="QZG42">
        <f t="shared" si="230"/>
        <v>0</v>
      </c>
      <c r="QZH42">
        <f t="shared" si="230"/>
        <v>0</v>
      </c>
      <c r="QZI42">
        <f t="shared" si="230"/>
        <v>0</v>
      </c>
      <c r="QZJ42">
        <f t="shared" si="230"/>
        <v>0</v>
      </c>
      <c r="QZK42">
        <f t="shared" si="230"/>
        <v>0</v>
      </c>
      <c r="QZL42">
        <f t="shared" si="230"/>
        <v>0</v>
      </c>
      <c r="QZM42">
        <f t="shared" si="230"/>
        <v>0</v>
      </c>
      <c r="QZN42">
        <f t="shared" si="230"/>
        <v>0</v>
      </c>
      <c r="QZO42">
        <f t="shared" si="230"/>
        <v>0</v>
      </c>
      <c r="QZP42">
        <f t="shared" si="230"/>
        <v>0</v>
      </c>
      <c r="QZQ42">
        <f t="shared" si="230"/>
        <v>0</v>
      </c>
      <c r="QZR42">
        <f t="shared" si="230"/>
        <v>0</v>
      </c>
      <c r="QZS42">
        <f t="shared" si="230"/>
        <v>0</v>
      </c>
      <c r="QZT42">
        <f t="shared" si="230"/>
        <v>0</v>
      </c>
      <c r="QZU42">
        <f t="shared" si="230"/>
        <v>0</v>
      </c>
      <c r="QZV42">
        <f t="shared" si="230"/>
        <v>0</v>
      </c>
      <c r="QZW42">
        <f t="shared" si="230"/>
        <v>0</v>
      </c>
      <c r="QZX42">
        <f t="shared" si="230"/>
        <v>0</v>
      </c>
      <c r="QZY42">
        <f t="shared" si="230"/>
        <v>0</v>
      </c>
      <c r="QZZ42">
        <f t="shared" si="230"/>
        <v>0</v>
      </c>
      <c r="RAA42">
        <f t="shared" si="230"/>
        <v>0</v>
      </c>
      <c r="RAB42">
        <f t="shared" si="230"/>
        <v>0</v>
      </c>
      <c r="RAC42">
        <f t="shared" si="230"/>
        <v>0</v>
      </c>
      <c r="RAD42">
        <f t="shared" si="230"/>
        <v>0</v>
      </c>
      <c r="RAE42">
        <f t="shared" si="230"/>
        <v>0</v>
      </c>
      <c r="RAF42">
        <f t="shared" si="230"/>
        <v>0</v>
      </c>
      <c r="RAG42">
        <f t="shared" si="230"/>
        <v>0</v>
      </c>
      <c r="RAH42">
        <f t="shared" si="230"/>
        <v>0</v>
      </c>
      <c r="RAI42">
        <f t="shared" si="230"/>
        <v>0</v>
      </c>
      <c r="RAJ42">
        <f t="shared" si="230"/>
        <v>0</v>
      </c>
      <c r="RAK42">
        <f t="shared" si="230"/>
        <v>0</v>
      </c>
      <c r="RAL42">
        <f t="shared" si="230"/>
        <v>0</v>
      </c>
      <c r="RAM42">
        <f t="shared" si="230"/>
        <v>0</v>
      </c>
      <c r="RAN42">
        <f t="shared" si="230"/>
        <v>0</v>
      </c>
      <c r="RAO42">
        <f t="shared" si="230"/>
        <v>0</v>
      </c>
      <c r="RAP42">
        <f t="shared" si="230"/>
        <v>0</v>
      </c>
      <c r="RAQ42">
        <f t="shared" si="230"/>
        <v>0</v>
      </c>
      <c r="RAR42">
        <f t="shared" si="230"/>
        <v>0</v>
      </c>
      <c r="RAS42">
        <f t="shared" si="230"/>
        <v>0</v>
      </c>
      <c r="RAT42">
        <f t="shared" si="230"/>
        <v>0</v>
      </c>
      <c r="RAU42">
        <f t="shared" si="230"/>
        <v>0</v>
      </c>
      <c r="RAV42">
        <f t="shared" si="230"/>
        <v>0</v>
      </c>
      <c r="RAW42">
        <f t="shared" si="230"/>
        <v>0</v>
      </c>
      <c r="RAX42">
        <f t="shared" si="230"/>
        <v>0</v>
      </c>
      <c r="RAY42">
        <f t="shared" si="230"/>
        <v>0</v>
      </c>
      <c r="RAZ42">
        <f t="shared" si="230"/>
        <v>0</v>
      </c>
      <c r="RBA42">
        <f t="shared" si="230"/>
        <v>0</v>
      </c>
      <c r="RBB42">
        <f t="shared" ref="RBB42:RDM43" si="231">RBB41*1.6*1.2</f>
        <v>0</v>
      </c>
      <c r="RBC42">
        <f t="shared" si="231"/>
        <v>0</v>
      </c>
      <c r="RBD42">
        <f t="shared" si="231"/>
        <v>0</v>
      </c>
      <c r="RBE42">
        <f t="shared" si="231"/>
        <v>0</v>
      </c>
      <c r="RBF42">
        <f t="shared" si="231"/>
        <v>0</v>
      </c>
      <c r="RBG42">
        <f t="shared" si="231"/>
        <v>0</v>
      </c>
      <c r="RBH42">
        <f t="shared" si="231"/>
        <v>0</v>
      </c>
      <c r="RBI42">
        <f t="shared" si="231"/>
        <v>0</v>
      </c>
      <c r="RBJ42">
        <f t="shared" si="231"/>
        <v>0</v>
      </c>
      <c r="RBK42">
        <f t="shared" si="231"/>
        <v>0</v>
      </c>
      <c r="RBL42">
        <f t="shared" si="231"/>
        <v>0</v>
      </c>
      <c r="RBM42">
        <f t="shared" si="231"/>
        <v>0</v>
      </c>
      <c r="RBN42">
        <f t="shared" si="231"/>
        <v>0</v>
      </c>
      <c r="RBO42">
        <f t="shared" si="231"/>
        <v>0</v>
      </c>
      <c r="RBP42">
        <f t="shared" si="231"/>
        <v>0</v>
      </c>
      <c r="RBQ42">
        <f t="shared" si="231"/>
        <v>0</v>
      </c>
      <c r="RBR42">
        <f t="shared" si="231"/>
        <v>0</v>
      </c>
      <c r="RBS42">
        <f t="shared" si="231"/>
        <v>0</v>
      </c>
      <c r="RBT42">
        <f t="shared" si="231"/>
        <v>0</v>
      </c>
      <c r="RBU42">
        <f t="shared" si="231"/>
        <v>0</v>
      </c>
      <c r="RBV42">
        <f t="shared" si="231"/>
        <v>0</v>
      </c>
      <c r="RBW42">
        <f t="shared" si="231"/>
        <v>0</v>
      </c>
      <c r="RBX42">
        <f t="shared" si="231"/>
        <v>0</v>
      </c>
      <c r="RBY42">
        <f t="shared" si="231"/>
        <v>0</v>
      </c>
      <c r="RBZ42">
        <f t="shared" si="231"/>
        <v>0</v>
      </c>
      <c r="RCA42">
        <f t="shared" si="231"/>
        <v>0</v>
      </c>
      <c r="RCB42">
        <f t="shared" si="231"/>
        <v>0</v>
      </c>
      <c r="RCC42">
        <f t="shared" si="231"/>
        <v>0</v>
      </c>
      <c r="RCD42">
        <f t="shared" si="231"/>
        <v>0</v>
      </c>
      <c r="RCE42">
        <f t="shared" si="231"/>
        <v>0</v>
      </c>
      <c r="RCF42">
        <f t="shared" si="231"/>
        <v>0</v>
      </c>
      <c r="RCG42">
        <f t="shared" si="231"/>
        <v>0</v>
      </c>
      <c r="RCH42">
        <f t="shared" si="231"/>
        <v>0</v>
      </c>
      <c r="RCI42">
        <f t="shared" si="231"/>
        <v>0</v>
      </c>
      <c r="RCJ42">
        <f t="shared" si="231"/>
        <v>0</v>
      </c>
      <c r="RCK42">
        <f t="shared" si="231"/>
        <v>0</v>
      </c>
      <c r="RCL42">
        <f t="shared" si="231"/>
        <v>0</v>
      </c>
      <c r="RCM42">
        <f t="shared" si="231"/>
        <v>0</v>
      </c>
      <c r="RCN42">
        <f t="shared" si="231"/>
        <v>0</v>
      </c>
      <c r="RCO42">
        <f t="shared" si="231"/>
        <v>0</v>
      </c>
      <c r="RCP42">
        <f t="shared" si="231"/>
        <v>0</v>
      </c>
      <c r="RCQ42">
        <f t="shared" si="231"/>
        <v>0</v>
      </c>
      <c r="RCR42">
        <f t="shared" si="231"/>
        <v>0</v>
      </c>
      <c r="RCS42">
        <f t="shared" si="231"/>
        <v>0</v>
      </c>
      <c r="RCT42">
        <f t="shared" si="231"/>
        <v>0</v>
      </c>
      <c r="RCU42">
        <f t="shared" si="231"/>
        <v>0</v>
      </c>
      <c r="RCV42">
        <f t="shared" si="231"/>
        <v>0</v>
      </c>
      <c r="RCW42">
        <f t="shared" si="231"/>
        <v>0</v>
      </c>
      <c r="RCX42">
        <f t="shared" si="231"/>
        <v>0</v>
      </c>
      <c r="RCY42">
        <f t="shared" si="231"/>
        <v>0</v>
      </c>
      <c r="RCZ42">
        <f t="shared" si="231"/>
        <v>0</v>
      </c>
      <c r="RDA42">
        <f t="shared" si="231"/>
        <v>0</v>
      </c>
      <c r="RDB42">
        <f t="shared" si="231"/>
        <v>0</v>
      </c>
      <c r="RDC42">
        <f t="shared" si="231"/>
        <v>0</v>
      </c>
      <c r="RDD42">
        <f t="shared" si="231"/>
        <v>0</v>
      </c>
      <c r="RDE42">
        <f t="shared" si="231"/>
        <v>0</v>
      </c>
      <c r="RDF42">
        <f t="shared" si="231"/>
        <v>0</v>
      </c>
      <c r="RDG42">
        <f t="shared" si="231"/>
        <v>0</v>
      </c>
      <c r="RDH42">
        <f t="shared" si="231"/>
        <v>0</v>
      </c>
      <c r="RDI42">
        <f t="shared" si="231"/>
        <v>0</v>
      </c>
      <c r="RDJ42">
        <f t="shared" si="231"/>
        <v>0</v>
      </c>
      <c r="RDK42">
        <f t="shared" si="231"/>
        <v>0</v>
      </c>
      <c r="RDL42">
        <f t="shared" si="231"/>
        <v>0</v>
      </c>
      <c r="RDM42">
        <f t="shared" si="231"/>
        <v>0</v>
      </c>
      <c r="RDN42">
        <f t="shared" ref="RDN42:RFY43" si="232">RDN41*1.6*1.2</f>
        <v>0</v>
      </c>
      <c r="RDO42">
        <f t="shared" si="232"/>
        <v>0</v>
      </c>
      <c r="RDP42">
        <f t="shared" si="232"/>
        <v>0</v>
      </c>
      <c r="RDQ42">
        <f t="shared" si="232"/>
        <v>0</v>
      </c>
      <c r="RDR42">
        <f t="shared" si="232"/>
        <v>0</v>
      </c>
      <c r="RDS42">
        <f t="shared" si="232"/>
        <v>0</v>
      </c>
      <c r="RDT42">
        <f t="shared" si="232"/>
        <v>0</v>
      </c>
      <c r="RDU42">
        <f t="shared" si="232"/>
        <v>0</v>
      </c>
      <c r="RDV42">
        <f t="shared" si="232"/>
        <v>0</v>
      </c>
      <c r="RDW42">
        <f t="shared" si="232"/>
        <v>0</v>
      </c>
      <c r="RDX42">
        <f t="shared" si="232"/>
        <v>0</v>
      </c>
      <c r="RDY42">
        <f t="shared" si="232"/>
        <v>0</v>
      </c>
      <c r="RDZ42">
        <f t="shared" si="232"/>
        <v>0</v>
      </c>
      <c r="REA42">
        <f t="shared" si="232"/>
        <v>0</v>
      </c>
      <c r="REB42">
        <f t="shared" si="232"/>
        <v>0</v>
      </c>
      <c r="REC42">
        <f t="shared" si="232"/>
        <v>0</v>
      </c>
      <c r="RED42">
        <f t="shared" si="232"/>
        <v>0</v>
      </c>
      <c r="REE42">
        <f t="shared" si="232"/>
        <v>0</v>
      </c>
      <c r="REF42">
        <f t="shared" si="232"/>
        <v>0</v>
      </c>
      <c r="REG42">
        <f t="shared" si="232"/>
        <v>0</v>
      </c>
      <c r="REH42">
        <f t="shared" si="232"/>
        <v>0</v>
      </c>
      <c r="REI42">
        <f t="shared" si="232"/>
        <v>0</v>
      </c>
      <c r="REJ42">
        <f t="shared" si="232"/>
        <v>0</v>
      </c>
      <c r="REK42">
        <f t="shared" si="232"/>
        <v>0</v>
      </c>
      <c r="REL42">
        <f t="shared" si="232"/>
        <v>0</v>
      </c>
      <c r="REM42">
        <f t="shared" si="232"/>
        <v>0</v>
      </c>
      <c r="REN42">
        <f t="shared" si="232"/>
        <v>0</v>
      </c>
      <c r="REO42">
        <f t="shared" si="232"/>
        <v>0</v>
      </c>
      <c r="REP42">
        <f t="shared" si="232"/>
        <v>0</v>
      </c>
      <c r="REQ42">
        <f t="shared" si="232"/>
        <v>0</v>
      </c>
      <c r="RER42">
        <f t="shared" si="232"/>
        <v>0</v>
      </c>
      <c r="RES42">
        <f t="shared" si="232"/>
        <v>0</v>
      </c>
      <c r="RET42">
        <f t="shared" si="232"/>
        <v>0</v>
      </c>
      <c r="REU42">
        <f t="shared" si="232"/>
        <v>0</v>
      </c>
      <c r="REV42">
        <f t="shared" si="232"/>
        <v>0</v>
      </c>
      <c r="REW42">
        <f t="shared" si="232"/>
        <v>0</v>
      </c>
      <c r="REX42">
        <f t="shared" si="232"/>
        <v>0</v>
      </c>
      <c r="REY42">
        <f t="shared" si="232"/>
        <v>0</v>
      </c>
      <c r="REZ42">
        <f t="shared" si="232"/>
        <v>0</v>
      </c>
      <c r="RFA42">
        <f t="shared" si="232"/>
        <v>0</v>
      </c>
      <c r="RFB42">
        <f t="shared" si="232"/>
        <v>0</v>
      </c>
      <c r="RFC42">
        <f t="shared" si="232"/>
        <v>0</v>
      </c>
      <c r="RFD42">
        <f t="shared" si="232"/>
        <v>0</v>
      </c>
      <c r="RFE42">
        <f t="shared" si="232"/>
        <v>0</v>
      </c>
      <c r="RFF42">
        <f t="shared" si="232"/>
        <v>0</v>
      </c>
      <c r="RFG42">
        <f t="shared" si="232"/>
        <v>0</v>
      </c>
      <c r="RFH42">
        <f t="shared" si="232"/>
        <v>0</v>
      </c>
      <c r="RFI42">
        <f t="shared" si="232"/>
        <v>0</v>
      </c>
      <c r="RFJ42">
        <f t="shared" si="232"/>
        <v>0</v>
      </c>
      <c r="RFK42">
        <f t="shared" si="232"/>
        <v>0</v>
      </c>
      <c r="RFL42">
        <f t="shared" si="232"/>
        <v>0</v>
      </c>
      <c r="RFM42">
        <f t="shared" si="232"/>
        <v>0</v>
      </c>
      <c r="RFN42">
        <f t="shared" si="232"/>
        <v>0</v>
      </c>
      <c r="RFO42">
        <f t="shared" si="232"/>
        <v>0</v>
      </c>
      <c r="RFP42">
        <f t="shared" si="232"/>
        <v>0</v>
      </c>
      <c r="RFQ42">
        <f t="shared" si="232"/>
        <v>0</v>
      </c>
      <c r="RFR42">
        <f t="shared" si="232"/>
        <v>0</v>
      </c>
      <c r="RFS42">
        <f t="shared" si="232"/>
        <v>0</v>
      </c>
      <c r="RFT42">
        <f t="shared" si="232"/>
        <v>0</v>
      </c>
      <c r="RFU42">
        <f t="shared" si="232"/>
        <v>0</v>
      </c>
      <c r="RFV42">
        <f t="shared" si="232"/>
        <v>0</v>
      </c>
      <c r="RFW42">
        <f t="shared" si="232"/>
        <v>0</v>
      </c>
      <c r="RFX42">
        <f t="shared" si="232"/>
        <v>0</v>
      </c>
      <c r="RFY42">
        <f t="shared" si="232"/>
        <v>0</v>
      </c>
      <c r="RFZ42">
        <f t="shared" ref="RFZ42:RIK43" si="233">RFZ41*1.6*1.2</f>
        <v>0</v>
      </c>
      <c r="RGA42">
        <f t="shared" si="233"/>
        <v>0</v>
      </c>
      <c r="RGB42">
        <f t="shared" si="233"/>
        <v>0</v>
      </c>
      <c r="RGC42">
        <f t="shared" si="233"/>
        <v>0</v>
      </c>
      <c r="RGD42">
        <f t="shared" si="233"/>
        <v>0</v>
      </c>
      <c r="RGE42">
        <f t="shared" si="233"/>
        <v>0</v>
      </c>
      <c r="RGF42">
        <f t="shared" si="233"/>
        <v>0</v>
      </c>
      <c r="RGG42">
        <f t="shared" si="233"/>
        <v>0</v>
      </c>
      <c r="RGH42">
        <f t="shared" si="233"/>
        <v>0</v>
      </c>
      <c r="RGI42">
        <f t="shared" si="233"/>
        <v>0</v>
      </c>
      <c r="RGJ42">
        <f t="shared" si="233"/>
        <v>0</v>
      </c>
      <c r="RGK42">
        <f t="shared" si="233"/>
        <v>0</v>
      </c>
      <c r="RGL42">
        <f t="shared" si="233"/>
        <v>0</v>
      </c>
      <c r="RGM42">
        <f t="shared" si="233"/>
        <v>0</v>
      </c>
      <c r="RGN42">
        <f t="shared" si="233"/>
        <v>0</v>
      </c>
      <c r="RGO42">
        <f t="shared" si="233"/>
        <v>0</v>
      </c>
      <c r="RGP42">
        <f t="shared" si="233"/>
        <v>0</v>
      </c>
      <c r="RGQ42">
        <f t="shared" si="233"/>
        <v>0</v>
      </c>
      <c r="RGR42">
        <f t="shared" si="233"/>
        <v>0</v>
      </c>
      <c r="RGS42">
        <f t="shared" si="233"/>
        <v>0</v>
      </c>
      <c r="RGT42">
        <f t="shared" si="233"/>
        <v>0</v>
      </c>
      <c r="RGU42">
        <f t="shared" si="233"/>
        <v>0</v>
      </c>
      <c r="RGV42">
        <f t="shared" si="233"/>
        <v>0</v>
      </c>
      <c r="RGW42">
        <f t="shared" si="233"/>
        <v>0</v>
      </c>
      <c r="RGX42">
        <f t="shared" si="233"/>
        <v>0</v>
      </c>
      <c r="RGY42">
        <f t="shared" si="233"/>
        <v>0</v>
      </c>
      <c r="RGZ42">
        <f t="shared" si="233"/>
        <v>0</v>
      </c>
      <c r="RHA42">
        <f t="shared" si="233"/>
        <v>0</v>
      </c>
      <c r="RHB42">
        <f t="shared" si="233"/>
        <v>0</v>
      </c>
      <c r="RHC42">
        <f t="shared" si="233"/>
        <v>0</v>
      </c>
      <c r="RHD42">
        <f t="shared" si="233"/>
        <v>0</v>
      </c>
      <c r="RHE42">
        <f t="shared" si="233"/>
        <v>0</v>
      </c>
      <c r="RHF42">
        <f t="shared" si="233"/>
        <v>0</v>
      </c>
      <c r="RHG42">
        <f t="shared" si="233"/>
        <v>0</v>
      </c>
      <c r="RHH42">
        <f t="shared" si="233"/>
        <v>0</v>
      </c>
      <c r="RHI42">
        <f t="shared" si="233"/>
        <v>0</v>
      </c>
      <c r="RHJ42">
        <f t="shared" si="233"/>
        <v>0</v>
      </c>
      <c r="RHK42">
        <f t="shared" si="233"/>
        <v>0</v>
      </c>
      <c r="RHL42">
        <f t="shared" si="233"/>
        <v>0</v>
      </c>
      <c r="RHM42">
        <f t="shared" si="233"/>
        <v>0</v>
      </c>
      <c r="RHN42">
        <f t="shared" si="233"/>
        <v>0</v>
      </c>
      <c r="RHO42">
        <f t="shared" si="233"/>
        <v>0</v>
      </c>
      <c r="RHP42">
        <f t="shared" si="233"/>
        <v>0</v>
      </c>
      <c r="RHQ42">
        <f t="shared" si="233"/>
        <v>0</v>
      </c>
      <c r="RHR42">
        <f t="shared" si="233"/>
        <v>0</v>
      </c>
      <c r="RHS42">
        <f t="shared" si="233"/>
        <v>0</v>
      </c>
      <c r="RHT42">
        <f t="shared" si="233"/>
        <v>0</v>
      </c>
      <c r="RHU42">
        <f t="shared" si="233"/>
        <v>0</v>
      </c>
      <c r="RHV42">
        <f t="shared" si="233"/>
        <v>0</v>
      </c>
      <c r="RHW42">
        <f t="shared" si="233"/>
        <v>0</v>
      </c>
      <c r="RHX42">
        <f t="shared" si="233"/>
        <v>0</v>
      </c>
      <c r="RHY42">
        <f t="shared" si="233"/>
        <v>0</v>
      </c>
      <c r="RHZ42">
        <f t="shared" si="233"/>
        <v>0</v>
      </c>
      <c r="RIA42">
        <f t="shared" si="233"/>
        <v>0</v>
      </c>
      <c r="RIB42">
        <f t="shared" si="233"/>
        <v>0</v>
      </c>
      <c r="RIC42">
        <f t="shared" si="233"/>
        <v>0</v>
      </c>
      <c r="RID42">
        <f t="shared" si="233"/>
        <v>0</v>
      </c>
      <c r="RIE42">
        <f t="shared" si="233"/>
        <v>0</v>
      </c>
      <c r="RIF42">
        <f t="shared" si="233"/>
        <v>0</v>
      </c>
      <c r="RIG42">
        <f t="shared" si="233"/>
        <v>0</v>
      </c>
      <c r="RIH42">
        <f t="shared" si="233"/>
        <v>0</v>
      </c>
      <c r="RII42">
        <f t="shared" si="233"/>
        <v>0</v>
      </c>
      <c r="RIJ42">
        <f t="shared" si="233"/>
        <v>0</v>
      </c>
      <c r="RIK42">
        <f t="shared" si="233"/>
        <v>0</v>
      </c>
      <c r="RIL42">
        <f t="shared" ref="RIL42:RKW43" si="234">RIL41*1.6*1.2</f>
        <v>0</v>
      </c>
      <c r="RIM42">
        <f t="shared" si="234"/>
        <v>0</v>
      </c>
      <c r="RIN42">
        <f t="shared" si="234"/>
        <v>0</v>
      </c>
      <c r="RIO42">
        <f t="shared" si="234"/>
        <v>0</v>
      </c>
      <c r="RIP42">
        <f t="shared" si="234"/>
        <v>0</v>
      </c>
      <c r="RIQ42">
        <f t="shared" si="234"/>
        <v>0</v>
      </c>
      <c r="RIR42">
        <f t="shared" si="234"/>
        <v>0</v>
      </c>
      <c r="RIS42">
        <f t="shared" si="234"/>
        <v>0</v>
      </c>
      <c r="RIT42">
        <f t="shared" si="234"/>
        <v>0</v>
      </c>
      <c r="RIU42">
        <f t="shared" si="234"/>
        <v>0</v>
      </c>
      <c r="RIV42">
        <f t="shared" si="234"/>
        <v>0</v>
      </c>
      <c r="RIW42">
        <f t="shared" si="234"/>
        <v>0</v>
      </c>
      <c r="RIX42">
        <f t="shared" si="234"/>
        <v>0</v>
      </c>
      <c r="RIY42">
        <f t="shared" si="234"/>
        <v>0</v>
      </c>
      <c r="RIZ42">
        <f t="shared" si="234"/>
        <v>0</v>
      </c>
      <c r="RJA42">
        <f t="shared" si="234"/>
        <v>0</v>
      </c>
      <c r="RJB42">
        <f t="shared" si="234"/>
        <v>0</v>
      </c>
      <c r="RJC42">
        <f t="shared" si="234"/>
        <v>0</v>
      </c>
      <c r="RJD42">
        <f t="shared" si="234"/>
        <v>0</v>
      </c>
      <c r="RJE42">
        <f t="shared" si="234"/>
        <v>0</v>
      </c>
      <c r="RJF42">
        <f t="shared" si="234"/>
        <v>0</v>
      </c>
      <c r="RJG42">
        <f t="shared" si="234"/>
        <v>0</v>
      </c>
      <c r="RJH42">
        <f t="shared" si="234"/>
        <v>0</v>
      </c>
      <c r="RJI42">
        <f t="shared" si="234"/>
        <v>0</v>
      </c>
      <c r="RJJ42">
        <f t="shared" si="234"/>
        <v>0</v>
      </c>
      <c r="RJK42">
        <f t="shared" si="234"/>
        <v>0</v>
      </c>
      <c r="RJL42">
        <f t="shared" si="234"/>
        <v>0</v>
      </c>
      <c r="RJM42">
        <f t="shared" si="234"/>
        <v>0</v>
      </c>
      <c r="RJN42">
        <f t="shared" si="234"/>
        <v>0</v>
      </c>
      <c r="RJO42">
        <f t="shared" si="234"/>
        <v>0</v>
      </c>
      <c r="RJP42">
        <f t="shared" si="234"/>
        <v>0</v>
      </c>
      <c r="RJQ42">
        <f t="shared" si="234"/>
        <v>0</v>
      </c>
      <c r="RJR42">
        <f t="shared" si="234"/>
        <v>0</v>
      </c>
      <c r="RJS42">
        <f t="shared" si="234"/>
        <v>0</v>
      </c>
      <c r="RJT42">
        <f t="shared" si="234"/>
        <v>0</v>
      </c>
      <c r="RJU42">
        <f t="shared" si="234"/>
        <v>0</v>
      </c>
      <c r="RJV42">
        <f t="shared" si="234"/>
        <v>0</v>
      </c>
      <c r="RJW42">
        <f t="shared" si="234"/>
        <v>0</v>
      </c>
      <c r="RJX42">
        <f t="shared" si="234"/>
        <v>0</v>
      </c>
      <c r="RJY42">
        <f t="shared" si="234"/>
        <v>0</v>
      </c>
      <c r="RJZ42">
        <f t="shared" si="234"/>
        <v>0</v>
      </c>
      <c r="RKA42">
        <f t="shared" si="234"/>
        <v>0</v>
      </c>
      <c r="RKB42">
        <f t="shared" si="234"/>
        <v>0</v>
      </c>
      <c r="RKC42">
        <f t="shared" si="234"/>
        <v>0</v>
      </c>
      <c r="RKD42">
        <f t="shared" si="234"/>
        <v>0</v>
      </c>
      <c r="RKE42">
        <f t="shared" si="234"/>
        <v>0</v>
      </c>
      <c r="RKF42">
        <f t="shared" si="234"/>
        <v>0</v>
      </c>
      <c r="RKG42">
        <f t="shared" si="234"/>
        <v>0</v>
      </c>
      <c r="RKH42">
        <f t="shared" si="234"/>
        <v>0</v>
      </c>
      <c r="RKI42">
        <f t="shared" si="234"/>
        <v>0</v>
      </c>
      <c r="RKJ42">
        <f t="shared" si="234"/>
        <v>0</v>
      </c>
      <c r="RKK42">
        <f t="shared" si="234"/>
        <v>0</v>
      </c>
      <c r="RKL42">
        <f t="shared" si="234"/>
        <v>0</v>
      </c>
      <c r="RKM42">
        <f t="shared" si="234"/>
        <v>0</v>
      </c>
      <c r="RKN42">
        <f t="shared" si="234"/>
        <v>0</v>
      </c>
      <c r="RKO42">
        <f t="shared" si="234"/>
        <v>0</v>
      </c>
      <c r="RKP42">
        <f t="shared" si="234"/>
        <v>0</v>
      </c>
      <c r="RKQ42">
        <f t="shared" si="234"/>
        <v>0</v>
      </c>
      <c r="RKR42">
        <f t="shared" si="234"/>
        <v>0</v>
      </c>
      <c r="RKS42">
        <f t="shared" si="234"/>
        <v>0</v>
      </c>
      <c r="RKT42">
        <f t="shared" si="234"/>
        <v>0</v>
      </c>
      <c r="RKU42">
        <f t="shared" si="234"/>
        <v>0</v>
      </c>
      <c r="RKV42">
        <f t="shared" si="234"/>
        <v>0</v>
      </c>
      <c r="RKW42">
        <f t="shared" si="234"/>
        <v>0</v>
      </c>
      <c r="RKX42">
        <f t="shared" ref="RKX42:RNI43" si="235">RKX41*1.6*1.2</f>
        <v>0</v>
      </c>
      <c r="RKY42">
        <f t="shared" si="235"/>
        <v>0</v>
      </c>
      <c r="RKZ42">
        <f t="shared" si="235"/>
        <v>0</v>
      </c>
      <c r="RLA42">
        <f t="shared" si="235"/>
        <v>0</v>
      </c>
      <c r="RLB42">
        <f t="shared" si="235"/>
        <v>0</v>
      </c>
      <c r="RLC42">
        <f t="shared" si="235"/>
        <v>0</v>
      </c>
      <c r="RLD42">
        <f t="shared" si="235"/>
        <v>0</v>
      </c>
      <c r="RLE42">
        <f t="shared" si="235"/>
        <v>0</v>
      </c>
      <c r="RLF42">
        <f t="shared" si="235"/>
        <v>0</v>
      </c>
      <c r="RLG42">
        <f t="shared" si="235"/>
        <v>0</v>
      </c>
      <c r="RLH42">
        <f t="shared" si="235"/>
        <v>0</v>
      </c>
      <c r="RLI42">
        <f t="shared" si="235"/>
        <v>0</v>
      </c>
      <c r="RLJ42">
        <f t="shared" si="235"/>
        <v>0</v>
      </c>
      <c r="RLK42">
        <f t="shared" si="235"/>
        <v>0</v>
      </c>
      <c r="RLL42">
        <f t="shared" si="235"/>
        <v>0</v>
      </c>
      <c r="RLM42">
        <f t="shared" si="235"/>
        <v>0</v>
      </c>
      <c r="RLN42">
        <f t="shared" si="235"/>
        <v>0</v>
      </c>
      <c r="RLO42">
        <f t="shared" si="235"/>
        <v>0</v>
      </c>
      <c r="RLP42">
        <f t="shared" si="235"/>
        <v>0</v>
      </c>
      <c r="RLQ42">
        <f t="shared" si="235"/>
        <v>0</v>
      </c>
      <c r="RLR42">
        <f t="shared" si="235"/>
        <v>0</v>
      </c>
      <c r="RLS42">
        <f t="shared" si="235"/>
        <v>0</v>
      </c>
      <c r="RLT42">
        <f t="shared" si="235"/>
        <v>0</v>
      </c>
      <c r="RLU42">
        <f t="shared" si="235"/>
        <v>0</v>
      </c>
      <c r="RLV42">
        <f t="shared" si="235"/>
        <v>0</v>
      </c>
      <c r="RLW42">
        <f t="shared" si="235"/>
        <v>0</v>
      </c>
      <c r="RLX42">
        <f t="shared" si="235"/>
        <v>0</v>
      </c>
      <c r="RLY42">
        <f t="shared" si="235"/>
        <v>0</v>
      </c>
      <c r="RLZ42">
        <f t="shared" si="235"/>
        <v>0</v>
      </c>
      <c r="RMA42">
        <f t="shared" si="235"/>
        <v>0</v>
      </c>
      <c r="RMB42">
        <f t="shared" si="235"/>
        <v>0</v>
      </c>
      <c r="RMC42">
        <f t="shared" si="235"/>
        <v>0</v>
      </c>
      <c r="RMD42">
        <f t="shared" si="235"/>
        <v>0</v>
      </c>
      <c r="RME42">
        <f t="shared" si="235"/>
        <v>0</v>
      </c>
      <c r="RMF42">
        <f t="shared" si="235"/>
        <v>0</v>
      </c>
      <c r="RMG42">
        <f t="shared" si="235"/>
        <v>0</v>
      </c>
      <c r="RMH42">
        <f t="shared" si="235"/>
        <v>0</v>
      </c>
      <c r="RMI42">
        <f t="shared" si="235"/>
        <v>0</v>
      </c>
      <c r="RMJ42">
        <f t="shared" si="235"/>
        <v>0</v>
      </c>
      <c r="RMK42">
        <f t="shared" si="235"/>
        <v>0</v>
      </c>
      <c r="RML42">
        <f t="shared" si="235"/>
        <v>0</v>
      </c>
      <c r="RMM42">
        <f t="shared" si="235"/>
        <v>0</v>
      </c>
      <c r="RMN42">
        <f t="shared" si="235"/>
        <v>0</v>
      </c>
      <c r="RMO42">
        <f t="shared" si="235"/>
        <v>0</v>
      </c>
      <c r="RMP42">
        <f t="shared" si="235"/>
        <v>0</v>
      </c>
      <c r="RMQ42">
        <f t="shared" si="235"/>
        <v>0</v>
      </c>
      <c r="RMR42">
        <f t="shared" si="235"/>
        <v>0</v>
      </c>
      <c r="RMS42">
        <f t="shared" si="235"/>
        <v>0</v>
      </c>
      <c r="RMT42">
        <f t="shared" si="235"/>
        <v>0</v>
      </c>
      <c r="RMU42">
        <f t="shared" si="235"/>
        <v>0</v>
      </c>
      <c r="RMV42">
        <f t="shared" si="235"/>
        <v>0</v>
      </c>
      <c r="RMW42">
        <f t="shared" si="235"/>
        <v>0</v>
      </c>
      <c r="RMX42">
        <f t="shared" si="235"/>
        <v>0</v>
      </c>
      <c r="RMY42">
        <f t="shared" si="235"/>
        <v>0</v>
      </c>
      <c r="RMZ42">
        <f t="shared" si="235"/>
        <v>0</v>
      </c>
      <c r="RNA42">
        <f t="shared" si="235"/>
        <v>0</v>
      </c>
      <c r="RNB42">
        <f t="shared" si="235"/>
        <v>0</v>
      </c>
      <c r="RNC42">
        <f t="shared" si="235"/>
        <v>0</v>
      </c>
      <c r="RND42">
        <f t="shared" si="235"/>
        <v>0</v>
      </c>
      <c r="RNE42">
        <f t="shared" si="235"/>
        <v>0</v>
      </c>
      <c r="RNF42">
        <f t="shared" si="235"/>
        <v>0</v>
      </c>
      <c r="RNG42">
        <f t="shared" si="235"/>
        <v>0</v>
      </c>
      <c r="RNH42">
        <f t="shared" si="235"/>
        <v>0</v>
      </c>
      <c r="RNI42">
        <f t="shared" si="235"/>
        <v>0</v>
      </c>
      <c r="RNJ42">
        <f t="shared" ref="RNJ42:RPU43" si="236">RNJ41*1.6*1.2</f>
        <v>0</v>
      </c>
      <c r="RNK42">
        <f t="shared" si="236"/>
        <v>0</v>
      </c>
      <c r="RNL42">
        <f t="shared" si="236"/>
        <v>0</v>
      </c>
      <c r="RNM42">
        <f t="shared" si="236"/>
        <v>0</v>
      </c>
      <c r="RNN42">
        <f t="shared" si="236"/>
        <v>0</v>
      </c>
      <c r="RNO42">
        <f t="shared" si="236"/>
        <v>0</v>
      </c>
      <c r="RNP42">
        <f t="shared" si="236"/>
        <v>0</v>
      </c>
      <c r="RNQ42">
        <f t="shared" si="236"/>
        <v>0</v>
      </c>
      <c r="RNR42">
        <f t="shared" si="236"/>
        <v>0</v>
      </c>
      <c r="RNS42">
        <f t="shared" si="236"/>
        <v>0</v>
      </c>
      <c r="RNT42">
        <f t="shared" si="236"/>
        <v>0</v>
      </c>
      <c r="RNU42">
        <f t="shared" si="236"/>
        <v>0</v>
      </c>
      <c r="RNV42">
        <f t="shared" si="236"/>
        <v>0</v>
      </c>
      <c r="RNW42">
        <f t="shared" si="236"/>
        <v>0</v>
      </c>
      <c r="RNX42">
        <f t="shared" si="236"/>
        <v>0</v>
      </c>
      <c r="RNY42">
        <f t="shared" si="236"/>
        <v>0</v>
      </c>
      <c r="RNZ42">
        <f t="shared" si="236"/>
        <v>0</v>
      </c>
      <c r="ROA42">
        <f t="shared" si="236"/>
        <v>0</v>
      </c>
      <c r="ROB42">
        <f t="shared" si="236"/>
        <v>0</v>
      </c>
      <c r="ROC42">
        <f t="shared" si="236"/>
        <v>0</v>
      </c>
      <c r="ROD42">
        <f t="shared" si="236"/>
        <v>0</v>
      </c>
      <c r="ROE42">
        <f t="shared" si="236"/>
        <v>0</v>
      </c>
      <c r="ROF42">
        <f t="shared" si="236"/>
        <v>0</v>
      </c>
      <c r="ROG42">
        <f t="shared" si="236"/>
        <v>0</v>
      </c>
      <c r="ROH42">
        <f t="shared" si="236"/>
        <v>0</v>
      </c>
      <c r="ROI42">
        <f t="shared" si="236"/>
        <v>0</v>
      </c>
      <c r="ROJ42">
        <f t="shared" si="236"/>
        <v>0</v>
      </c>
      <c r="ROK42">
        <f t="shared" si="236"/>
        <v>0</v>
      </c>
      <c r="ROL42">
        <f t="shared" si="236"/>
        <v>0</v>
      </c>
      <c r="ROM42">
        <f t="shared" si="236"/>
        <v>0</v>
      </c>
      <c r="RON42">
        <f t="shared" si="236"/>
        <v>0</v>
      </c>
      <c r="ROO42">
        <f t="shared" si="236"/>
        <v>0</v>
      </c>
      <c r="ROP42">
        <f t="shared" si="236"/>
        <v>0</v>
      </c>
      <c r="ROQ42">
        <f t="shared" si="236"/>
        <v>0</v>
      </c>
      <c r="ROR42">
        <f t="shared" si="236"/>
        <v>0</v>
      </c>
      <c r="ROS42">
        <f t="shared" si="236"/>
        <v>0</v>
      </c>
      <c r="ROT42">
        <f t="shared" si="236"/>
        <v>0</v>
      </c>
      <c r="ROU42">
        <f t="shared" si="236"/>
        <v>0</v>
      </c>
      <c r="ROV42">
        <f t="shared" si="236"/>
        <v>0</v>
      </c>
      <c r="ROW42">
        <f t="shared" si="236"/>
        <v>0</v>
      </c>
      <c r="ROX42">
        <f t="shared" si="236"/>
        <v>0</v>
      </c>
      <c r="ROY42">
        <f t="shared" si="236"/>
        <v>0</v>
      </c>
      <c r="ROZ42">
        <f t="shared" si="236"/>
        <v>0</v>
      </c>
      <c r="RPA42">
        <f t="shared" si="236"/>
        <v>0</v>
      </c>
      <c r="RPB42">
        <f t="shared" si="236"/>
        <v>0</v>
      </c>
      <c r="RPC42">
        <f t="shared" si="236"/>
        <v>0</v>
      </c>
      <c r="RPD42">
        <f t="shared" si="236"/>
        <v>0</v>
      </c>
      <c r="RPE42">
        <f t="shared" si="236"/>
        <v>0</v>
      </c>
      <c r="RPF42">
        <f t="shared" si="236"/>
        <v>0</v>
      </c>
      <c r="RPG42">
        <f t="shared" si="236"/>
        <v>0</v>
      </c>
      <c r="RPH42">
        <f t="shared" si="236"/>
        <v>0</v>
      </c>
      <c r="RPI42">
        <f t="shared" si="236"/>
        <v>0</v>
      </c>
      <c r="RPJ42">
        <f t="shared" si="236"/>
        <v>0</v>
      </c>
      <c r="RPK42">
        <f t="shared" si="236"/>
        <v>0</v>
      </c>
      <c r="RPL42">
        <f t="shared" si="236"/>
        <v>0</v>
      </c>
      <c r="RPM42">
        <f t="shared" si="236"/>
        <v>0</v>
      </c>
      <c r="RPN42">
        <f t="shared" si="236"/>
        <v>0</v>
      </c>
      <c r="RPO42">
        <f t="shared" si="236"/>
        <v>0</v>
      </c>
      <c r="RPP42">
        <f t="shared" si="236"/>
        <v>0</v>
      </c>
      <c r="RPQ42">
        <f t="shared" si="236"/>
        <v>0</v>
      </c>
      <c r="RPR42">
        <f t="shared" si="236"/>
        <v>0</v>
      </c>
      <c r="RPS42">
        <f t="shared" si="236"/>
        <v>0</v>
      </c>
      <c r="RPT42">
        <f t="shared" si="236"/>
        <v>0</v>
      </c>
      <c r="RPU42">
        <f t="shared" si="236"/>
        <v>0</v>
      </c>
      <c r="RPV42">
        <f t="shared" ref="RPV42:RSG43" si="237">RPV41*1.6*1.2</f>
        <v>0</v>
      </c>
      <c r="RPW42">
        <f t="shared" si="237"/>
        <v>0</v>
      </c>
      <c r="RPX42">
        <f t="shared" si="237"/>
        <v>0</v>
      </c>
      <c r="RPY42">
        <f t="shared" si="237"/>
        <v>0</v>
      </c>
      <c r="RPZ42">
        <f t="shared" si="237"/>
        <v>0</v>
      </c>
      <c r="RQA42">
        <f t="shared" si="237"/>
        <v>0</v>
      </c>
      <c r="RQB42">
        <f t="shared" si="237"/>
        <v>0</v>
      </c>
      <c r="RQC42">
        <f t="shared" si="237"/>
        <v>0</v>
      </c>
      <c r="RQD42">
        <f t="shared" si="237"/>
        <v>0</v>
      </c>
      <c r="RQE42">
        <f t="shared" si="237"/>
        <v>0</v>
      </c>
      <c r="RQF42">
        <f t="shared" si="237"/>
        <v>0</v>
      </c>
      <c r="RQG42">
        <f t="shared" si="237"/>
        <v>0</v>
      </c>
      <c r="RQH42">
        <f t="shared" si="237"/>
        <v>0</v>
      </c>
      <c r="RQI42">
        <f t="shared" si="237"/>
        <v>0</v>
      </c>
      <c r="RQJ42">
        <f t="shared" si="237"/>
        <v>0</v>
      </c>
      <c r="RQK42">
        <f t="shared" si="237"/>
        <v>0</v>
      </c>
      <c r="RQL42">
        <f t="shared" si="237"/>
        <v>0</v>
      </c>
      <c r="RQM42">
        <f t="shared" si="237"/>
        <v>0</v>
      </c>
      <c r="RQN42">
        <f t="shared" si="237"/>
        <v>0</v>
      </c>
      <c r="RQO42">
        <f t="shared" si="237"/>
        <v>0</v>
      </c>
      <c r="RQP42">
        <f t="shared" si="237"/>
        <v>0</v>
      </c>
      <c r="RQQ42">
        <f t="shared" si="237"/>
        <v>0</v>
      </c>
      <c r="RQR42">
        <f t="shared" si="237"/>
        <v>0</v>
      </c>
      <c r="RQS42">
        <f t="shared" si="237"/>
        <v>0</v>
      </c>
      <c r="RQT42">
        <f t="shared" si="237"/>
        <v>0</v>
      </c>
      <c r="RQU42">
        <f t="shared" si="237"/>
        <v>0</v>
      </c>
      <c r="RQV42">
        <f t="shared" si="237"/>
        <v>0</v>
      </c>
      <c r="RQW42">
        <f t="shared" si="237"/>
        <v>0</v>
      </c>
      <c r="RQX42">
        <f t="shared" si="237"/>
        <v>0</v>
      </c>
      <c r="RQY42">
        <f t="shared" si="237"/>
        <v>0</v>
      </c>
      <c r="RQZ42">
        <f t="shared" si="237"/>
        <v>0</v>
      </c>
      <c r="RRA42">
        <f t="shared" si="237"/>
        <v>0</v>
      </c>
      <c r="RRB42">
        <f t="shared" si="237"/>
        <v>0</v>
      </c>
      <c r="RRC42">
        <f t="shared" si="237"/>
        <v>0</v>
      </c>
      <c r="RRD42">
        <f t="shared" si="237"/>
        <v>0</v>
      </c>
      <c r="RRE42">
        <f t="shared" si="237"/>
        <v>0</v>
      </c>
      <c r="RRF42">
        <f t="shared" si="237"/>
        <v>0</v>
      </c>
      <c r="RRG42">
        <f t="shared" si="237"/>
        <v>0</v>
      </c>
      <c r="RRH42">
        <f t="shared" si="237"/>
        <v>0</v>
      </c>
      <c r="RRI42">
        <f t="shared" si="237"/>
        <v>0</v>
      </c>
      <c r="RRJ42">
        <f t="shared" si="237"/>
        <v>0</v>
      </c>
      <c r="RRK42">
        <f t="shared" si="237"/>
        <v>0</v>
      </c>
      <c r="RRL42">
        <f t="shared" si="237"/>
        <v>0</v>
      </c>
      <c r="RRM42">
        <f t="shared" si="237"/>
        <v>0</v>
      </c>
      <c r="RRN42">
        <f t="shared" si="237"/>
        <v>0</v>
      </c>
      <c r="RRO42">
        <f t="shared" si="237"/>
        <v>0</v>
      </c>
      <c r="RRP42">
        <f t="shared" si="237"/>
        <v>0</v>
      </c>
      <c r="RRQ42">
        <f t="shared" si="237"/>
        <v>0</v>
      </c>
      <c r="RRR42">
        <f t="shared" si="237"/>
        <v>0</v>
      </c>
      <c r="RRS42">
        <f t="shared" si="237"/>
        <v>0</v>
      </c>
      <c r="RRT42">
        <f t="shared" si="237"/>
        <v>0</v>
      </c>
      <c r="RRU42">
        <f t="shared" si="237"/>
        <v>0</v>
      </c>
      <c r="RRV42">
        <f t="shared" si="237"/>
        <v>0</v>
      </c>
      <c r="RRW42">
        <f t="shared" si="237"/>
        <v>0</v>
      </c>
      <c r="RRX42">
        <f t="shared" si="237"/>
        <v>0</v>
      </c>
      <c r="RRY42">
        <f t="shared" si="237"/>
        <v>0</v>
      </c>
      <c r="RRZ42">
        <f t="shared" si="237"/>
        <v>0</v>
      </c>
      <c r="RSA42">
        <f t="shared" si="237"/>
        <v>0</v>
      </c>
      <c r="RSB42">
        <f t="shared" si="237"/>
        <v>0</v>
      </c>
      <c r="RSC42">
        <f t="shared" si="237"/>
        <v>0</v>
      </c>
      <c r="RSD42">
        <f t="shared" si="237"/>
        <v>0</v>
      </c>
      <c r="RSE42">
        <f t="shared" si="237"/>
        <v>0</v>
      </c>
      <c r="RSF42">
        <f t="shared" si="237"/>
        <v>0</v>
      </c>
      <c r="RSG42">
        <f t="shared" si="237"/>
        <v>0</v>
      </c>
      <c r="RSH42">
        <f t="shared" ref="RSH42:RUS43" si="238">RSH41*1.6*1.2</f>
        <v>0</v>
      </c>
      <c r="RSI42">
        <f t="shared" si="238"/>
        <v>0</v>
      </c>
      <c r="RSJ42">
        <f t="shared" si="238"/>
        <v>0</v>
      </c>
      <c r="RSK42">
        <f t="shared" si="238"/>
        <v>0</v>
      </c>
      <c r="RSL42">
        <f t="shared" si="238"/>
        <v>0</v>
      </c>
      <c r="RSM42">
        <f t="shared" si="238"/>
        <v>0</v>
      </c>
      <c r="RSN42">
        <f t="shared" si="238"/>
        <v>0</v>
      </c>
      <c r="RSO42">
        <f t="shared" si="238"/>
        <v>0</v>
      </c>
      <c r="RSP42">
        <f t="shared" si="238"/>
        <v>0</v>
      </c>
      <c r="RSQ42">
        <f t="shared" si="238"/>
        <v>0</v>
      </c>
      <c r="RSR42">
        <f t="shared" si="238"/>
        <v>0</v>
      </c>
      <c r="RSS42">
        <f t="shared" si="238"/>
        <v>0</v>
      </c>
      <c r="RST42">
        <f t="shared" si="238"/>
        <v>0</v>
      </c>
      <c r="RSU42">
        <f t="shared" si="238"/>
        <v>0</v>
      </c>
      <c r="RSV42">
        <f t="shared" si="238"/>
        <v>0</v>
      </c>
      <c r="RSW42">
        <f t="shared" si="238"/>
        <v>0</v>
      </c>
      <c r="RSX42">
        <f t="shared" si="238"/>
        <v>0</v>
      </c>
      <c r="RSY42">
        <f t="shared" si="238"/>
        <v>0</v>
      </c>
      <c r="RSZ42">
        <f t="shared" si="238"/>
        <v>0</v>
      </c>
      <c r="RTA42">
        <f t="shared" si="238"/>
        <v>0</v>
      </c>
      <c r="RTB42">
        <f t="shared" si="238"/>
        <v>0</v>
      </c>
      <c r="RTC42">
        <f t="shared" si="238"/>
        <v>0</v>
      </c>
      <c r="RTD42">
        <f t="shared" si="238"/>
        <v>0</v>
      </c>
      <c r="RTE42">
        <f t="shared" si="238"/>
        <v>0</v>
      </c>
      <c r="RTF42">
        <f t="shared" si="238"/>
        <v>0</v>
      </c>
      <c r="RTG42">
        <f t="shared" si="238"/>
        <v>0</v>
      </c>
      <c r="RTH42">
        <f t="shared" si="238"/>
        <v>0</v>
      </c>
      <c r="RTI42">
        <f t="shared" si="238"/>
        <v>0</v>
      </c>
      <c r="RTJ42">
        <f t="shared" si="238"/>
        <v>0</v>
      </c>
      <c r="RTK42">
        <f t="shared" si="238"/>
        <v>0</v>
      </c>
      <c r="RTL42">
        <f t="shared" si="238"/>
        <v>0</v>
      </c>
      <c r="RTM42">
        <f t="shared" si="238"/>
        <v>0</v>
      </c>
      <c r="RTN42">
        <f t="shared" si="238"/>
        <v>0</v>
      </c>
      <c r="RTO42">
        <f t="shared" si="238"/>
        <v>0</v>
      </c>
      <c r="RTP42">
        <f t="shared" si="238"/>
        <v>0</v>
      </c>
      <c r="RTQ42">
        <f t="shared" si="238"/>
        <v>0</v>
      </c>
      <c r="RTR42">
        <f t="shared" si="238"/>
        <v>0</v>
      </c>
      <c r="RTS42">
        <f t="shared" si="238"/>
        <v>0</v>
      </c>
      <c r="RTT42">
        <f t="shared" si="238"/>
        <v>0</v>
      </c>
      <c r="RTU42">
        <f t="shared" si="238"/>
        <v>0</v>
      </c>
      <c r="RTV42">
        <f t="shared" si="238"/>
        <v>0</v>
      </c>
      <c r="RTW42">
        <f t="shared" si="238"/>
        <v>0</v>
      </c>
      <c r="RTX42">
        <f t="shared" si="238"/>
        <v>0</v>
      </c>
      <c r="RTY42">
        <f t="shared" si="238"/>
        <v>0</v>
      </c>
      <c r="RTZ42">
        <f t="shared" si="238"/>
        <v>0</v>
      </c>
      <c r="RUA42">
        <f t="shared" si="238"/>
        <v>0</v>
      </c>
      <c r="RUB42">
        <f t="shared" si="238"/>
        <v>0</v>
      </c>
      <c r="RUC42">
        <f t="shared" si="238"/>
        <v>0</v>
      </c>
      <c r="RUD42">
        <f t="shared" si="238"/>
        <v>0</v>
      </c>
      <c r="RUE42">
        <f t="shared" si="238"/>
        <v>0</v>
      </c>
      <c r="RUF42">
        <f t="shared" si="238"/>
        <v>0</v>
      </c>
      <c r="RUG42">
        <f t="shared" si="238"/>
        <v>0</v>
      </c>
      <c r="RUH42">
        <f t="shared" si="238"/>
        <v>0</v>
      </c>
      <c r="RUI42">
        <f t="shared" si="238"/>
        <v>0</v>
      </c>
      <c r="RUJ42">
        <f t="shared" si="238"/>
        <v>0</v>
      </c>
      <c r="RUK42">
        <f t="shared" si="238"/>
        <v>0</v>
      </c>
      <c r="RUL42">
        <f t="shared" si="238"/>
        <v>0</v>
      </c>
      <c r="RUM42">
        <f t="shared" si="238"/>
        <v>0</v>
      </c>
      <c r="RUN42">
        <f t="shared" si="238"/>
        <v>0</v>
      </c>
      <c r="RUO42">
        <f t="shared" si="238"/>
        <v>0</v>
      </c>
      <c r="RUP42">
        <f t="shared" si="238"/>
        <v>0</v>
      </c>
      <c r="RUQ42">
        <f t="shared" si="238"/>
        <v>0</v>
      </c>
      <c r="RUR42">
        <f t="shared" si="238"/>
        <v>0</v>
      </c>
      <c r="RUS42">
        <f t="shared" si="238"/>
        <v>0</v>
      </c>
      <c r="RUT42">
        <f t="shared" ref="RUT42:RXE43" si="239">RUT41*1.6*1.2</f>
        <v>0</v>
      </c>
      <c r="RUU42">
        <f t="shared" si="239"/>
        <v>0</v>
      </c>
      <c r="RUV42">
        <f t="shared" si="239"/>
        <v>0</v>
      </c>
      <c r="RUW42">
        <f t="shared" si="239"/>
        <v>0</v>
      </c>
      <c r="RUX42">
        <f t="shared" si="239"/>
        <v>0</v>
      </c>
      <c r="RUY42">
        <f t="shared" si="239"/>
        <v>0</v>
      </c>
      <c r="RUZ42">
        <f t="shared" si="239"/>
        <v>0</v>
      </c>
      <c r="RVA42">
        <f t="shared" si="239"/>
        <v>0</v>
      </c>
      <c r="RVB42">
        <f t="shared" si="239"/>
        <v>0</v>
      </c>
      <c r="RVC42">
        <f t="shared" si="239"/>
        <v>0</v>
      </c>
      <c r="RVD42">
        <f t="shared" si="239"/>
        <v>0</v>
      </c>
      <c r="RVE42">
        <f t="shared" si="239"/>
        <v>0</v>
      </c>
      <c r="RVF42">
        <f t="shared" si="239"/>
        <v>0</v>
      </c>
      <c r="RVG42">
        <f t="shared" si="239"/>
        <v>0</v>
      </c>
      <c r="RVH42">
        <f t="shared" si="239"/>
        <v>0</v>
      </c>
      <c r="RVI42">
        <f t="shared" si="239"/>
        <v>0</v>
      </c>
      <c r="RVJ42">
        <f t="shared" si="239"/>
        <v>0</v>
      </c>
      <c r="RVK42">
        <f t="shared" si="239"/>
        <v>0</v>
      </c>
      <c r="RVL42">
        <f t="shared" si="239"/>
        <v>0</v>
      </c>
      <c r="RVM42">
        <f t="shared" si="239"/>
        <v>0</v>
      </c>
      <c r="RVN42">
        <f t="shared" si="239"/>
        <v>0</v>
      </c>
      <c r="RVO42">
        <f t="shared" si="239"/>
        <v>0</v>
      </c>
      <c r="RVP42">
        <f t="shared" si="239"/>
        <v>0</v>
      </c>
      <c r="RVQ42">
        <f t="shared" si="239"/>
        <v>0</v>
      </c>
      <c r="RVR42">
        <f t="shared" si="239"/>
        <v>0</v>
      </c>
      <c r="RVS42">
        <f t="shared" si="239"/>
        <v>0</v>
      </c>
      <c r="RVT42">
        <f t="shared" si="239"/>
        <v>0</v>
      </c>
      <c r="RVU42">
        <f t="shared" si="239"/>
        <v>0</v>
      </c>
      <c r="RVV42">
        <f t="shared" si="239"/>
        <v>0</v>
      </c>
      <c r="RVW42">
        <f t="shared" si="239"/>
        <v>0</v>
      </c>
      <c r="RVX42">
        <f t="shared" si="239"/>
        <v>0</v>
      </c>
      <c r="RVY42">
        <f t="shared" si="239"/>
        <v>0</v>
      </c>
      <c r="RVZ42">
        <f t="shared" si="239"/>
        <v>0</v>
      </c>
      <c r="RWA42">
        <f t="shared" si="239"/>
        <v>0</v>
      </c>
      <c r="RWB42">
        <f t="shared" si="239"/>
        <v>0</v>
      </c>
      <c r="RWC42">
        <f t="shared" si="239"/>
        <v>0</v>
      </c>
      <c r="RWD42">
        <f t="shared" si="239"/>
        <v>0</v>
      </c>
      <c r="RWE42">
        <f t="shared" si="239"/>
        <v>0</v>
      </c>
      <c r="RWF42">
        <f t="shared" si="239"/>
        <v>0</v>
      </c>
      <c r="RWG42">
        <f t="shared" si="239"/>
        <v>0</v>
      </c>
      <c r="RWH42">
        <f t="shared" si="239"/>
        <v>0</v>
      </c>
      <c r="RWI42">
        <f t="shared" si="239"/>
        <v>0</v>
      </c>
      <c r="RWJ42">
        <f t="shared" si="239"/>
        <v>0</v>
      </c>
      <c r="RWK42">
        <f t="shared" si="239"/>
        <v>0</v>
      </c>
      <c r="RWL42">
        <f t="shared" si="239"/>
        <v>0</v>
      </c>
      <c r="RWM42">
        <f t="shared" si="239"/>
        <v>0</v>
      </c>
      <c r="RWN42">
        <f t="shared" si="239"/>
        <v>0</v>
      </c>
      <c r="RWO42">
        <f t="shared" si="239"/>
        <v>0</v>
      </c>
      <c r="RWP42">
        <f t="shared" si="239"/>
        <v>0</v>
      </c>
      <c r="RWQ42">
        <f t="shared" si="239"/>
        <v>0</v>
      </c>
      <c r="RWR42">
        <f t="shared" si="239"/>
        <v>0</v>
      </c>
      <c r="RWS42">
        <f t="shared" si="239"/>
        <v>0</v>
      </c>
      <c r="RWT42">
        <f t="shared" si="239"/>
        <v>0</v>
      </c>
      <c r="RWU42">
        <f t="shared" si="239"/>
        <v>0</v>
      </c>
      <c r="RWV42">
        <f t="shared" si="239"/>
        <v>0</v>
      </c>
      <c r="RWW42">
        <f t="shared" si="239"/>
        <v>0</v>
      </c>
      <c r="RWX42">
        <f t="shared" si="239"/>
        <v>0</v>
      </c>
      <c r="RWY42">
        <f t="shared" si="239"/>
        <v>0</v>
      </c>
      <c r="RWZ42">
        <f t="shared" si="239"/>
        <v>0</v>
      </c>
      <c r="RXA42">
        <f t="shared" si="239"/>
        <v>0</v>
      </c>
      <c r="RXB42">
        <f t="shared" si="239"/>
        <v>0</v>
      </c>
      <c r="RXC42">
        <f t="shared" si="239"/>
        <v>0</v>
      </c>
      <c r="RXD42">
        <f t="shared" si="239"/>
        <v>0</v>
      </c>
      <c r="RXE42">
        <f t="shared" si="239"/>
        <v>0</v>
      </c>
      <c r="RXF42">
        <f t="shared" ref="RXF42:RZQ43" si="240">RXF41*1.6*1.2</f>
        <v>0</v>
      </c>
      <c r="RXG42">
        <f t="shared" si="240"/>
        <v>0</v>
      </c>
      <c r="RXH42">
        <f t="shared" si="240"/>
        <v>0</v>
      </c>
      <c r="RXI42">
        <f t="shared" si="240"/>
        <v>0</v>
      </c>
      <c r="RXJ42">
        <f t="shared" si="240"/>
        <v>0</v>
      </c>
      <c r="RXK42">
        <f t="shared" si="240"/>
        <v>0</v>
      </c>
      <c r="RXL42">
        <f t="shared" si="240"/>
        <v>0</v>
      </c>
      <c r="RXM42">
        <f t="shared" si="240"/>
        <v>0</v>
      </c>
      <c r="RXN42">
        <f t="shared" si="240"/>
        <v>0</v>
      </c>
      <c r="RXO42">
        <f t="shared" si="240"/>
        <v>0</v>
      </c>
      <c r="RXP42">
        <f t="shared" si="240"/>
        <v>0</v>
      </c>
      <c r="RXQ42">
        <f t="shared" si="240"/>
        <v>0</v>
      </c>
      <c r="RXR42">
        <f t="shared" si="240"/>
        <v>0</v>
      </c>
      <c r="RXS42">
        <f t="shared" si="240"/>
        <v>0</v>
      </c>
      <c r="RXT42">
        <f t="shared" si="240"/>
        <v>0</v>
      </c>
      <c r="RXU42">
        <f t="shared" si="240"/>
        <v>0</v>
      </c>
      <c r="RXV42">
        <f t="shared" si="240"/>
        <v>0</v>
      </c>
      <c r="RXW42">
        <f t="shared" si="240"/>
        <v>0</v>
      </c>
      <c r="RXX42">
        <f t="shared" si="240"/>
        <v>0</v>
      </c>
      <c r="RXY42">
        <f t="shared" si="240"/>
        <v>0</v>
      </c>
      <c r="RXZ42">
        <f t="shared" si="240"/>
        <v>0</v>
      </c>
      <c r="RYA42">
        <f t="shared" si="240"/>
        <v>0</v>
      </c>
      <c r="RYB42">
        <f t="shared" si="240"/>
        <v>0</v>
      </c>
      <c r="RYC42">
        <f t="shared" si="240"/>
        <v>0</v>
      </c>
      <c r="RYD42">
        <f t="shared" si="240"/>
        <v>0</v>
      </c>
      <c r="RYE42">
        <f t="shared" si="240"/>
        <v>0</v>
      </c>
      <c r="RYF42">
        <f t="shared" si="240"/>
        <v>0</v>
      </c>
      <c r="RYG42">
        <f t="shared" si="240"/>
        <v>0</v>
      </c>
      <c r="RYH42">
        <f t="shared" si="240"/>
        <v>0</v>
      </c>
      <c r="RYI42">
        <f t="shared" si="240"/>
        <v>0</v>
      </c>
      <c r="RYJ42">
        <f t="shared" si="240"/>
        <v>0</v>
      </c>
      <c r="RYK42">
        <f t="shared" si="240"/>
        <v>0</v>
      </c>
      <c r="RYL42">
        <f t="shared" si="240"/>
        <v>0</v>
      </c>
      <c r="RYM42">
        <f t="shared" si="240"/>
        <v>0</v>
      </c>
      <c r="RYN42">
        <f t="shared" si="240"/>
        <v>0</v>
      </c>
      <c r="RYO42">
        <f t="shared" si="240"/>
        <v>0</v>
      </c>
      <c r="RYP42">
        <f t="shared" si="240"/>
        <v>0</v>
      </c>
      <c r="RYQ42">
        <f t="shared" si="240"/>
        <v>0</v>
      </c>
      <c r="RYR42">
        <f t="shared" si="240"/>
        <v>0</v>
      </c>
      <c r="RYS42">
        <f t="shared" si="240"/>
        <v>0</v>
      </c>
      <c r="RYT42">
        <f t="shared" si="240"/>
        <v>0</v>
      </c>
      <c r="RYU42">
        <f t="shared" si="240"/>
        <v>0</v>
      </c>
      <c r="RYV42">
        <f t="shared" si="240"/>
        <v>0</v>
      </c>
      <c r="RYW42">
        <f t="shared" si="240"/>
        <v>0</v>
      </c>
      <c r="RYX42">
        <f t="shared" si="240"/>
        <v>0</v>
      </c>
      <c r="RYY42">
        <f t="shared" si="240"/>
        <v>0</v>
      </c>
      <c r="RYZ42">
        <f t="shared" si="240"/>
        <v>0</v>
      </c>
      <c r="RZA42">
        <f t="shared" si="240"/>
        <v>0</v>
      </c>
      <c r="RZB42">
        <f t="shared" si="240"/>
        <v>0</v>
      </c>
      <c r="RZC42">
        <f t="shared" si="240"/>
        <v>0</v>
      </c>
      <c r="RZD42">
        <f t="shared" si="240"/>
        <v>0</v>
      </c>
      <c r="RZE42">
        <f t="shared" si="240"/>
        <v>0</v>
      </c>
      <c r="RZF42">
        <f t="shared" si="240"/>
        <v>0</v>
      </c>
      <c r="RZG42">
        <f t="shared" si="240"/>
        <v>0</v>
      </c>
      <c r="RZH42">
        <f t="shared" si="240"/>
        <v>0</v>
      </c>
      <c r="RZI42">
        <f t="shared" si="240"/>
        <v>0</v>
      </c>
      <c r="RZJ42">
        <f t="shared" si="240"/>
        <v>0</v>
      </c>
      <c r="RZK42">
        <f t="shared" si="240"/>
        <v>0</v>
      </c>
      <c r="RZL42">
        <f t="shared" si="240"/>
        <v>0</v>
      </c>
      <c r="RZM42">
        <f t="shared" si="240"/>
        <v>0</v>
      </c>
      <c r="RZN42">
        <f t="shared" si="240"/>
        <v>0</v>
      </c>
      <c r="RZO42">
        <f t="shared" si="240"/>
        <v>0</v>
      </c>
      <c r="RZP42">
        <f t="shared" si="240"/>
        <v>0</v>
      </c>
      <c r="RZQ42">
        <f t="shared" si="240"/>
        <v>0</v>
      </c>
      <c r="RZR42">
        <f t="shared" ref="RZR42:SCC43" si="241">RZR41*1.6*1.2</f>
        <v>0</v>
      </c>
      <c r="RZS42">
        <f t="shared" si="241"/>
        <v>0</v>
      </c>
      <c r="RZT42">
        <f t="shared" si="241"/>
        <v>0</v>
      </c>
      <c r="RZU42">
        <f t="shared" si="241"/>
        <v>0</v>
      </c>
      <c r="RZV42">
        <f t="shared" si="241"/>
        <v>0</v>
      </c>
      <c r="RZW42">
        <f t="shared" si="241"/>
        <v>0</v>
      </c>
      <c r="RZX42">
        <f t="shared" si="241"/>
        <v>0</v>
      </c>
      <c r="RZY42">
        <f t="shared" si="241"/>
        <v>0</v>
      </c>
      <c r="RZZ42">
        <f t="shared" si="241"/>
        <v>0</v>
      </c>
      <c r="SAA42">
        <f t="shared" si="241"/>
        <v>0</v>
      </c>
      <c r="SAB42">
        <f t="shared" si="241"/>
        <v>0</v>
      </c>
      <c r="SAC42">
        <f t="shared" si="241"/>
        <v>0</v>
      </c>
      <c r="SAD42">
        <f t="shared" si="241"/>
        <v>0</v>
      </c>
      <c r="SAE42">
        <f t="shared" si="241"/>
        <v>0</v>
      </c>
      <c r="SAF42">
        <f t="shared" si="241"/>
        <v>0</v>
      </c>
      <c r="SAG42">
        <f t="shared" si="241"/>
        <v>0</v>
      </c>
      <c r="SAH42">
        <f t="shared" si="241"/>
        <v>0</v>
      </c>
      <c r="SAI42">
        <f t="shared" si="241"/>
        <v>0</v>
      </c>
      <c r="SAJ42">
        <f t="shared" si="241"/>
        <v>0</v>
      </c>
      <c r="SAK42">
        <f t="shared" si="241"/>
        <v>0</v>
      </c>
      <c r="SAL42">
        <f t="shared" si="241"/>
        <v>0</v>
      </c>
      <c r="SAM42">
        <f t="shared" si="241"/>
        <v>0</v>
      </c>
      <c r="SAN42">
        <f t="shared" si="241"/>
        <v>0</v>
      </c>
      <c r="SAO42">
        <f t="shared" si="241"/>
        <v>0</v>
      </c>
      <c r="SAP42">
        <f t="shared" si="241"/>
        <v>0</v>
      </c>
      <c r="SAQ42">
        <f t="shared" si="241"/>
        <v>0</v>
      </c>
      <c r="SAR42">
        <f t="shared" si="241"/>
        <v>0</v>
      </c>
      <c r="SAS42">
        <f t="shared" si="241"/>
        <v>0</v>
      </c>
      <c r="SAT42">
        <f t="shared" si="241"/>
        <v>0</v>
      </c>
      <c r="SAU42">
        <f t="shared" si="241"/>
        <v>0</v>
      </c>
      <c r="SAV42">
        <f t="shared" si="241"/>
        <v>0</v>
      </c>
      <c r="SAW42">
        <f t="shared" si="241"/>
        <v>0</v>
      </c>
      <c r="SAX42">
        <f t="shared" si="241"/>
        <v>0</v>
      </c>
      <c r="SAY42">
        <f t="shared" si="241"/>
        <v>0</v>
      </c>
      <c r="SAZ42">
        <f t="shared" si="241"/>
        <v>0</v>
      </c>
      <c r="SBA42">
        <f t="shared" si="241"/>
        <v>0</v>
      </c>
      <c r="SBB42">
        <f t="shared" si="241"/>
        <v>0</v>
      </c>
      <c r="SBC42">
        <f t="shared" si="241"/>
        <v>0</v>
      </c>
      <c r="SBD42">
        <f t="shared" si="241"/>
        <v>0</v>
      </c>
      <c r="SBE42">
        <f t="shared" si="241"/>
        <v>0</v>
      </c>
      <c r="SBF42">
        <f t="shared" si="241"/>
        <v>0</v>
      </c>
      <c r="SBG42">
        <f t="shared" si="241"/>
        <v>0</v>
      </c>
      <c r="SBH42">
        <f t="shared" si="241"/>
        <v>0</v>
      </c>
      <c r="SBI42">
        <f t="shared" si="241"/>
        <v>0</v>
      </c>
      <c r="SBJ42">
        <f t="shared" si="241"/>
        <v>0</v>
      </c>
      <c r="SBK42">
        <f t="shared" si="241"/>
        <v>0</v>
      </c>
      <c r="SBL42">
        <f t="shared" si="241"/>
        <v>0</v>
      </c>
      <c r="SBM42">
        <f t="shared" si="241"/>
        <v>0</v>
      </c>
      <c r="SBN42">
        <f t="shared" si="241"/>
        <v>0</v>
      </c>
      <c r="SBO42">
        <f t="shared" si="241"/>
        <v>0</v>
      </c>
      <c r="SBP42">
        <f t="shared" si="241"/>
        <v>0</v>
      </c>
      <c r="SBQ42">
        <f t="shared" si="241"/>
        <v>0</v>
      </c>
      <c r="SBR42">
        <f t="shared" si="241"/>
        <v>0</v>
      </c>
      <c r="SBS42">
        <f t="shared" si="241"/>
        <v>0</v>
      </c>
      <c r="SBT42">
        <f t="shared" si="241"/>
        <v>0</v>
      </c>
      <c r="SBU42">
        <f t="shared" si="241"/>
        <v>0</v>
      </c>
      <c r="SBV42">
        <f t="shared" si="241"/>
        <v>0</v>
      </c>
      <c r="SBW42">
        <f t="shared" si="241"/>
        <v>0</v>
      </c>
      <c r="SBX42">
        <f t="shared" si="241"/>
        <v>0</v>
      </c>
      <c r="SBY42">
        <f t="shared" si="241"/>
        <v>0</v>
      </c>
      <c r="SBZ42">
        <f t="shared" si="241"/>
        <v>0</v>
      </c>
      <c r="SCA42">
        <f t="shared" si="241"/>
        <v>0</v>
      </c>
      <c r="SCB42">
        <f t="shared" si="241"/>
        <v>0</v>
      </c>
      <c r="SCC42">
        <f t="shared" si="241"/>
        <v>0</v>
      </c>
      <c r="SCD42">
        <f t="shared" ref="SCD42:SEO43" si="242">SCD41*1.6*1.2</f>
        <v>0</v>
      </c>
      <c r="SCE42">
        <f t="shared" si="242"/>
        <v>0</v>
      </c>
      <c r="SCF42">
        <f t="shared" si="242"/>
        <v>0</v>
      </c>
      <c r="SCG42">
        <f t="shared" si="242"/>
        <v>0</v>
      </c>
      <c r="SCH42">
        <f t="shared" si="242"/>
        <v>0</v>
      </c>
      <c r="SCI42">
        <f t="shared" si="242"/>
        <v>0</v>
      </c>
      <c r="SCJ42">
        <f t="shared" si="242"/>
        <v>0</v>
      </c>
      <c r="SCK42">
        <f t="shared" si="242"/>
        <v>0</v>
      </c>
      <c r="SCL42">
        <f t="shared" si="242"/>
        <v>0</v>
      </c>
      <c r="SCM42">
        <f t="shared" si="242"/>
        <v>0</v>
      </c>
      <c r="SCN42">
        <f t="shared" si="242"/>
        <v>0</v>
      </c>
      <c r="SCO42">
        <f t="shared" si="242"/>
        <v>0</v>
      </c>
      <c r="SCP42">
        <f t="shared" si="242"/>
        <v>0</v>
      </c>
      <c r="SCQ42">
        <f t="shared" si="242"/>
        <v>0</v>
      </c>
      <c r="SCR42">
        <f t="shared" si="242"/>
        <v>0</v>
      </c>
      <c r="SCS42">
        <f t="shared" si="242"/>
        <v>0</v>
      </c>
      <c r="SCT42">
        <f t="shared" si="242"/>
        <v>0</v>
      </c>
      <c r="SCU42">
        <f t="shared" si="242"/>
        <v>0</v>
      </c>
      <c r="SCV42">
        <f t="shared" si="242"/>
        <v>0</v>
      </c>
      <c r="SCW42">
        <f t="shared" si="242"/>
        <v>0</v>
      </c>
      <c r="SCX42">
        <f t="shared" si="242"/>
        <v>0</v>
      </c>
      <c r="SCY42">
        <f t="shared" si="242"/>
        <v>0</v>
      </c>
      <c r="SCZ42">
        <f t="shared" si="242"/>
        <v>0</v>
      </c>
      <c r="SDA42">
        <f t="shared" si="242"/>
        <v>0</v>
      </c>
      <c r="SDB42">
        <f t="shared" si="242"/>
        <v>0</v>
      </c>
      <c r="SDC42">
        <f t="shared" si="242"/>
        <v>0</v>
      </c>
      <c r="SDD42">
        <f t="shared" si="242"/>
        <v>0</v>
      </c>
      <c r="SDE42">
        <f t="shared" si="242"/>
        <v>0</v>
      </c>
      <c r="SDF42">
        <f t="shared" si="242"/>
        <v>0</v>
      </c>
      <c r="SDG42">
        <f t="shared" si="242"/>
        <v>0</v>
      </c>
      <c r="SDH42">
        <f t="shared" si="242"/>
        <v>0</v>
      </c>
      <c r="SDI42">
        <f t="shared" si="242"/>
        <v>0</v>
      </c>
      <c r="SDJ42">
        <f t="shared" si="242"/>
        <v>0</v>
      </c>
      <c r="SDK42">
        <f t="shared" si="242"/>
        <v>0</v>
      </c>
      <c r="SDL42">
        <f t="shared" si="242"/>
        <v>0</v>
      </c>
      <c r="SDM42">
        <f t="shared" si="242"/>
        <v>0</v>
      </c>
      <c r="SDN42">
        <f t="shared" si="242"/>
        <v>0</v>
      </c>
      <c r="SDO42">
        <f t="shared" si="242"/>
        <v>0</v>
      </c>
      <c r="SDP42">
        <f t="shared" si="242"/>
        <v>0</v>
      </c>
      <c r="SDQ42">
        <f t="shared" si="242"/>
        <v>0</v>
      </c>
      <c r="SDR42">
        <f t="shared" si="242"/>
        <v>0</v>
      </c>
      <c r="SDS42">
        <f t="shared" si="242"/>
        <v>0</v>
      </c>
      <c r="SDT42">
        <f t="shared" si="242"/>
        <v>0</v>
      </c>
      <c r="SDU42">
        <f t="shared" si="242"/>
        <v>0</v>
      </c>
      <c r="SDV42">
        <f t="shared" si="242"/>
        <v>0</v>
      </c>
      <c r="SDW42">
        <f t="shared" si="242"/>
        <v>0</v>
      </c>
      <c r="SDX42">
        <f t="shared" si="242"/>
        <v>0</v>
      </c>
      <c r="SDY42">
        <f t="shared" si="242"/>
        <v>0</v>
      </c>
      <c r="SDZ42">
        <f t="shared" si="242"/>
        <v>0</v>
      </c>
      <c r="SEA42">
        <f t="shared" si="242"/>
        <v>0</v>
      </c>
      <c r="SEB42">
        <f t="shared" si="242"/>
        <v>0</v>
      </c>
      <c r="SEC42">
        <f t="shared" si="242"/>
        <v>0</v>
      </c>
      <c r="SED42">
        <f t="shared" si="242"/>
        <v>0</v>
      </c>
      <c r="SEE42">
        <f t="shared" si="242"/>
        <v>0</v>
      </c>
      <c r="SEF42">
        <f t="shared" si="242"/>
        <v>0</v>
      </c>
      <c r="SEG42">
        <f t="shared" si="242"/>
        <v>0</v>
      </c>
      <c r="SEH42">
        <f t="shared" si="242"/>
        <v>0</v>
      </c>
      <c r="SEI42">
        <f t="shared" si="242"/>
        <v>0</v>
      </c>
      <c r="SEJ42">
        <f t="shared" si="242"/>
        <v>0</v>
      </c>
      <c r="SEK42">
        <f t="shared" si="242"/>
        <v>0</v>
      </c>
      <c r="SEL42">
        <f t="shared" si="242"/>
        <v>0</v>
      </c>
      <c r="SEM42">
        <f t="shared" si="242"/>
        <v>0</v>
      </c>
      <c r="SEN42">
        <f t="shared" si="242"/>
        <v>0</v>
      </c>
      <c r="SEO42">
        <f t="shared" si="242"/>
        <v>0</v>
      </c>
      <c r="SEP42">
        <f t="shared" ref="SEP42:SHA43" si="243">SEP41*1.6*1.2</f>
        <v>0</v>
      </c>
      <c r="SEQ42">
        <f t="shared" si="243"/>
        <v>0</v>
      </c>
      <c r="SER42">
        <f t="shared" si="243"/>
        <v>0</v>
      </c>
      <c r="SES42">
        <f t="shared" si="243"/>
        <v>0</v>
      </c>
      <c r="SET42">
        <f t="shared" si="243"/>
        <v>0</v>
      </c>
      <c r="SEU42">
        <f t="shared" si="243"/>
        <v>0</v>
      </c>
      <c r="SEV42">
        <f t="shared" si="243"/>
        <v>0</v>
      </c>
      <c r="SEW42">
        <f t="shared" si="243"/>
        <v>0</v>
      </c>
      <c r="SEX42">
        <f t="shared" si="243"/>
        <v>0</v>
      </c>
      <c r="SEY42">
        <f t="shared" si="243"/>
        <v>0</v>
      </c>
      <c r="SEZ42">
        <f t="shared" si="243"/>
        <v>0</v>
      </c>
      <c r="SFA42">
        <f t="shared" si="243"/>
        <v>0</v>
      </c>
      <c r="SFB42">
        <f t="shared" si="243"/>
        <v>0</v>
      </c>
      <c r="SFC42">
        <f t="shared" si="243"/>
        <v>0</v>
      </c>
      <c r="SFD42">
        <f t="shared" si="243"/>
        <v>0</v>
      </c>
      <c r="SFE42">
        <f t="shared" si="243"/>
        <v>0</v>
      </c>
      <c r="SFF42">
        <f t="shared" si="243"/>
        <v>0</v>
      </c>
      <c r="SFG42">
        <f t="shared" si="243"/>
        <v>0</v>
      </c>
      <c r="SFH42">
        <f t="shared" si="243"/>
        <v>0</v>
      </c>
      <c r="SFI42">
        <f t="shared" si="243"/>
        <v>0</v>
      </c>
      <c r="SFJ42">
        <f t="shared" si="243"/>
        <v>0</v>
      </c>
      <c r="SFK42">
        <f t="shared" si="243"/>
        <v>0</v>
      </c>
      <c r="SFL42">
        <f t="shared" si="243"/>
        <v>0</v>
      </c>
      <c r="SFM42">
        <f t="shared" si="243"/>
        <v>0</v>
      </c>
      <c r="SFN42">
        <f t="shared" si="243"/>
        <v>0</v>
      </c>
      <c r="SFO42">
        <f t="shared" si="243"/>
        <v>0</v>
      </c>
      <c r="SFP42">
        <f t="shared" si="243"/>
        <v>0</v>
      </c>
      <c r="SFQ42">
        <f t="shared" si="243"/>
        <v>0</v>
      </c>
      <c r="SFR42">
        <f t="shared" si="243"/>
        <v>0</v>
      </c>
      <c r="SFS42">
        <f t="shared" si="243"/>
        <v>0</v>
      </c>
      <c r="SFT42">
        <f t="shared" si="243"/>
        <v>0</v>
      </c>
      <c r="SFU42">
        <f t="shared" si="243"/>
        <v>0</v>
      </c>
      <c r="SFV42">
        <f t="shared" si="243"/>
        <v>0</v>
      </c>
      <c r="SFW42">
        <f t="shared" si="243"/>
        <v>0</v>
      </c>
      <c r="SFX42">
        <f t="shared" si="243"/>
        <v>0</v>
      </c>
      <c r="SFY42">
        <f t="shared" si="243"/>
        <v>0</v>
      </c>
      <c r="SFZ42">
        <f t="shared" si="243"/>
        <v>0</v>
      </c>
      <c r="SGA42">
        <f t="shared" si="243"/>
        <v>0</v>
      </c>
      <c r="SGB42">
        <f t="shared" si="243"/>
        <v>0</v>
      </c>
      <c r="SGC42">
        <f t="shared" si="243"/>
        <v>0</v>
      </c>
      <c r="SGD42">
        <f t="shared" si="243"/>
        <v>0</v>
      </c>
      <c r="SGE42">
        <f t="shared" si="243"/>
        <v>0</v>
      </c>
      <c r="SGF42">
        <f t="shared" si="243"/>
        <v>0</v>
      </c>
      <c r="SGG42">
        <f t="shared" si="243"/>
        <v>0</v>
      </c>
      <c r="SGH42">
        <f t="shared" si="243"/>
        <v>0</v>
      </c>
      <c r="SGI42">
        <f t="shared" si="243"/>
        <v>0</v>
      </c>
      <c r="SGJ42">
        <f t="shared" si="243"/>
        <v>0</v>
      </c>
      <c r="SGK42">
        <f t="shared" si="243"/>
        <v>0</v>
      </c>
      <c r="SGL42">
        <f t="shared" si="243"/>
        <v>0</v>
      </c>
      <c r="SGM42">
        <f t="shared" si="243"/>
        <v>0</v>
      </c>
      <c r="SGN42">
        <f t="shared" si="243"/>
        <v>0</v>
      </c>
      <c r="SGO42">
        <f t="shared" si="243"/>
        <v>0</v>
      </c>
      <c r="SGP42">
        <f t="shared" si="243"/>
        <v>0</v>
      </c>
      <c r="SGQ42">
        <f t="shared" si="243"/>
        <v>0</v>
      </c>
      <c r="SGR42">
        <f t="shared" si="243"/>
        <v>0</v>
      </c>
      <c r="SGS42">
        <f t="shared" si="243"/>
        <v>0</v>
      </c>
      <c r="SGT42">
        <f t="shared" si="243"/>
        <v>0</v>
      </c>
      <c r="SGU42">
        <f t="shared" si="243"/>
        <v>0</v>
      </c>
      <c r="SGV42">
        <f t="shared" si="243"/>
        <v>0</v>
      </c>
      <c r="SGW42">
        <f t="shared" si="243"/>
        <v>0</v>
      </c>
      <c r="SGX42">
        <f t="shared" si="243"/>
        <v>0</v>
      </c>
      <c r="SGY42">
        <f t="shared" si="243"/>
        <v>0</v>
      </c>
      <c r="SGZ42">
        <f t="shared" si="243"/>
        <v>0</v>
      </c>
      <c r="SHA42">
        <f t="shared" si="243"/>
        <v>0</v>
      </c>
      <c r="SHB42">
        <f t="shared" ref="SHB42:SJM43" si="244">SHB41*1.6*1.2</f>
        <v>0</v>
      </c>
      <c r="SHC42">
        <f t="shared" si="244"/>
        <v>0</v>
      </c>
      <c r="SHD42">
        <f t="shared" si="244"/>
        <v>0</v>
      </c>
      <c r="SHE42">
        <f t="shared" si="244"/>
        <v>0</v>
      </c>
      <c r="SHF42">
        <f t="shared" si="244"/>
        <v>0</v>
      </c>
      <c r="SHG42">
        <f t="shared" si="244"/>
        <v>0</v>
      </c>
      <c r="SHH42">
        <f t="shared" si="244"/>
        <v>0</v>
      </c>
      <c r="SHI42">
        <f t="shared" si="244"/>
        <v>0</v>
      </c>
      <c r="SHJ42">
        <f t="shared" si="244"/>
        <v>0</v>
      </c>
      <c r="SHK42">
        <f t="shared" si="244"/>
        <v>0</v>
      </c>
      <c r="SHL42">
        <f t="shared" si="244"/>
        <v>0</v>
      </c>
      <c r="SHM42">
        <f t="shared" si="244"/>
        <v>0</v>
      </c>
      <c r="SHN42">
        <f t="shared" si="244"/>
        <v>0</v>
      </c>
      <c r="SHO42">
        <f t="shared" si="244"/>
        <v>0</v>
      </c>
      <c r="SHP42">
        <f t="shared" si="244"/>
        <v>0</v>
      </c>
      <c r="SHQ42">
        <f t="shared" si="244"/>
        <v>0</v>
      </c>
      <c r="SHR42">
        <f t="shared" si="244"/>
        <v>0</v>
      </c>
      <c r="SHS42">
        <f t="shared" si="244"/>
        <v>0</v>
      </c>
      <c r="SHT42">
        <f t="shared" si="244"/>
        <v>0</v>
      </c>
      <c r="SHU42">
        <f t="shared" si="244"/>
        <v>0</v>
      </c>
      <c r="SHV42">
        <f t="shared" si="244"/>
        <v>0</v>
      </c>
      <c r="SHW42">
        <f t="shared" si="244"/>
        <v>0</v>
      </c>
      <c r="SHX42">
        <f t="shared" si="244"/>
        <v>0</v>
      </c>
      <c r="SHY42">
        <f t="shared" si="244"/>
        <v>0</v>
      </c>
      <c r="SHZ42">
        <f t="shared" si="244"/>
        <v>0</v>
      </c>
      <c r="SIA42">
        <f t="shared" si="244"/>
        <v>0</v>
      </c>
      <c r="SIB42">
        <f t="shared" si="244"/>
        <v>0</v>
      </c>
      <c r="SIC42">
        <f t="shared" si="244"/>
        <v>0</v>
      </c>
      <c r="SID42">
        <f t="shared" si="244"/>
        <v>0</v>
      </c>
      <c r="SIE42">
        <f t="shared" si="244"/>
        <v>0</v>
      </c>
      <c r="SIF42">
        <f t="shared" si="244"/>
        <v>0</v>
      </c>
      <c r="SIG42">
        <f t="shared" si="244"/>
        <v>0</v>
      </c>
      <c r="SIH42">
        <f t="shared" si="244"/>
        <v>0</v>
      </c>
      <c r="SII42">
        <f t="shared" si="244"/>
        <v>0</v>
      </c>
      <c r="SIJ42">
        <f t="shared" si="244"/>
        <v>0</v>
      </c>
      <c r="SIK42">
        <f t="shared" si="244"/>
        <v>0</v>
      </c>
      <c r="SIL42">
        <f t="shared" si="244"/>
        <v>0</v>
      </c>
      <c r="SIM42">
        <f t="shared" si="244"/>
        <v>0</v>
      </c>
      <c r="SIN42">
        <f t="shared" si="244"/>
        <v>0</v>
      </c>
      <c r="SIO42">
        <f t="shared" si="244"/>
        <v>0</v>
      </c>
      <c r="SIP42">
        <f t="shared" si="244"/>
        <v>0</v>
      </c>
      <c r="SIQ42">
        <f t="shared" si="244"/>
        <v>0</v>
      </c>
      <c r="SIR42">
        <f t="shared" si="244"/>
        <v>0</v>
      </c>
      <c r="SIS42">
        <f t="shared" si="244"/>
        <v>0</v>
      </c>
      <c r="SIT42">
        <f t="shared" si="244"/>
        <v>0</v>
      </c>
      <c r="SIU42">
        <f t="shared" si="244"/>
        <v>0</v>
      </c>
      <c r="SIV42">
        <f t="shared" si="244"/>
        <v>0</v>
      </c>
      <c r="SIW42">
        <f t="shared" si="244"/>
        <v>0</v>
      </c>
      <c r="SIX42">
        <f t="shared" si="244"/>
        <v>0</v>
      </c>
      <c r="SIY42">
        <f t="shared" si="244"/>
        <v>0</v>
      </c>
      <c r="SIZ42">
        <f t="shared" si="244"/>
        <v>0</v>
      </c>
      <c r="SJA42">
        <f t="shared" si="244"/>
        <v>0</v>
      </c>
      <c r="SJB42">
        <f t="shared" si="244"/>
        <v>0</v>
      </c>
      <c r="SJC42">
        <f t="shared" si="244"/>
        <v>0</v>
      </c>
      <c r="SJD42">
        <f t="shared" si="244"/>
        <v>0</v>
      </c>
      <c r="SJE42">
        <f t="shared" si="244"/>
        <v>0</v>
      </c>
      <c r="SJF42">
        <f t="shared" si="244"/>
        <v>0</v>
      </c>
      <c r="SJG42">
        <f t="shared" si="244"/>
        <v>0</v>
      </c>
      <c r="SJH42">
        <f t="shared" si="244"/>
        <v>0</v>
      </c>
      <c r="SJI42">
        <f t="shared" si="244"/>
        <v>0</v>
      </c>
      <c r="SJJ42">
        <f t="shared" si="244"/>
        <v>0</v>
      </c>
      <c r="SJK42">
        <f t="shared" si="244"/>
        <v>0</v>
      </c>
      <c r="SJL42">
        <f t="shared" si="244"/>
        <v>0</v>
      </c>
      <c r="SJM42">
        <f t="shared" si="244"/>
        <v>0</v>
      </c>
      <c r="SJN42">
        <f t="shared" ref="SJN42:SLY43" si="245">SJN41*1.6*1.2</f>
        <v>0</v>
      </c>
      <c r="SJO42">
        <f t="shared" si="245"/>
        <v>0</v>
      </c>
      <c r="SJP42">
        <f t="shared" si="245"/>
        <v>0</v>
      </c>
      <c r="SJQ42">
        <f t="shared" si="245"/>
        <v>0</v>
      </c>
      <c r="SJR42">
        <f t="shared" si="245"/>
        <v>0</v>
      </c>
      <c r="SJS42">
        <f t="shared" si="245"/>
        <v>0</v>
      </c>
      <c r="SJT42">
        <f t="shared" si="245"/>
        <v>0</v>
      </c>
      <c r="SJU42">
        <f t="shared" si="245"/>
        <v>0</v>
      </c>
      <c r="SJV42">
        <f t="shared" si="245"/>
        <v>0</v>
      </c>
      <c r="SJW42">
        <f t="shared" si="245"/>
        <v>0</v>
      </c>
      <c r="SJX42">
        <f t="shared" si="245"/>
        <v>0</v>
      </c>
      <c r="SJY42">
        <f t="shared" si="245"/>
        <v>0</v>
      </c>
      <c r="SJZ42">
        <f t="shared" si="245"/>
        <v>0</v>
      </c>
      <c r="SKA42">
        <f t="shared" si="245"/>
        <v>0</v>
      </c>
      <c r="SKB42">
        <f t="shared" si="245"/>
        <v>0</v>
      </c>
      <c r="SKC42">
        <f t="shared" si="245"/>
        <v>0</v>
      </c>
      <c r="SKD42">
        <f t="shared" si="245"/>
        <v>0</v>
      </c>
      <c r="SKE42">
        <f t="shared" si="245"/>
        <v>0</v>
      </c>
      <c r="SKF42">
        <f t="shared" si="245"/>
        <v>0</v>
      </c>
      <c r="SKG42">
        <f t="shared" si="245"/>
        <v>0</v>
      </c>
      <c r="SKH42">
        <f t="shared" si="245"/>
        <v>0</v>
      </c>
      <c r="SKI42">
        <f t="shared" si="245"/>
        <v>0</v>
      </c>
      <c r="SKJ42">
        <f t="shared" si="245"/>
        <v>0</v>
      </c>
      <c r="SKK42">
        <f t="shared" si="245"/>
        <v>0</v>
      </c>
      <c r="SKL42">
        <f t="shared" si="245"/>
        <v>0</v>
      </c>
      <c r="SKM42">
        <f t="shared" si="245"/>
        <v>0</v>
      </c>
      <c r="SKN42">
        <f t="shared" si="245"/>
        <v>0</v>
      </c>
      <c r="SKO42">
        <f t="shared" si="245"/>
        <v>0</v>
      </c>
      <c r="SKP42">
        <f t="shared" si="245"/>
        <v>0</v>
      </c>
      <c r="SKQ42">
        <f t="shared" si="245"/>
        <v>0</v>
      </c>
      <c r="SKR42">
        <f t="shared" si="245"/>
        <v>0</v>
      </c>
      <c r="SKS42">
        <f t="shared" si="245"/>
        <v>0</v>
      </c>
      <c r="SKT42">
        <f t="shared" si="245"/>
        <v>0</v>
      </c>
      <c r="SKU42">
        <f t="shared" si="245"/>
        <v>0</v>
      </c>
      <c r="SKV42">
        <f t="shared" si="245"/>
        <v>0</v>
      </c>
      <c r="SKW42">
        <f t="shared" si="245"/>
        <v>0</v>
      </c>
      <c r="SKX42">
        <f t="shared" si="245"/>
        <v>0</v>
      </c>
      <c r="SKY42">
        <f t="shared" si="245"/>
        <v>0</v>
      </c>
      <c r="SKZ42">
        <f t="shared" si="245"/>
        <v>0</v>
      </c>
      <c r="SLA42">
        <f t="shared" si="245"/>
        <v>0</v>
      </c>
      <c r="SLB42">
        <f t="shared" si="245"/>
        <v>0</v>
      </c>
      <c r="SLC42">
        <f t="shared" si="245"/>
        <v>0</v>
      </c>
      <c r="SLD42">
        <f t="shared" si="245"/>
        <v>0</v>
      </c>
      <c r="SLE42">
        <f t="shared" si="245"/>
        <v>0</v>
      </c>
      <c r="SLF42">
        <f t="shared" si="245"/>
        <v>0</v>
      </c>
      <c r="SLG42">
        <f t="shared" si="245"/>
        <v>0</v>
      </c>
      <c r="SLH42">
        <f t="shared" si="245"/>
        <v>0</v>
      </c>
      <c r="SLI42">
        <f t="shared" si="245"/>
        <v>0</v>
      </c>
      <c r="SLJ42">
        <f t="shared" si="245"/>
        <v>0</v>
      </c>
      <c r="SLK42">
        <f t="shared" si="245"/>
        <v>0</v>
      </c>
      <c r="SLL42">
        <f t="shared" si="245"/>
        <v>0</v>
      </c>
      <c r="SLM42">
        <f t="shared" si="245"/>
        <v>0</v>
      </c>
      <c r="SLN42">
        <f t="shared" si="245"/>
        <v>0</v>
      </c>
      <c r="SLO42">
        <f t="shared" si="245"/>
        <v>0</v>
      </c>
      <c r="SLP42">
        <f t="shared" si="245"/>
        <v>0</v>
      </c>
      <c r="SLQ42">
        <f t="shared" si="245"/>
        <v>0</v>
      </c>
      <c r="SLR42">
        <f t="shared" si="245"/>
        <v>0</v>
      </c>
      <c r="SLS42">
        <f t="shared" si="245"/>
        <v>0</v>
      </c>
      <c r="SLT42">
        <f t="shared" si="245"/>
        <v>0</v>
      </c>
      <c r="SLU42">
        <f t="shared" si="245"/>
        <v>0</v>
      </c>
      <c r="SLV42">
        <f t="shared" si="245"/>
        <v>0</v>
      </c>
      <c r="SLW42">
        <f t="shared" si="245"/>
        <v>0</v>
      </c>
      <c r="SLX42">
        <f t="shared" si="245"/>
        <v>0</v>
      </c>
      <c r="SLY42">
        <f t="shared" si="245"/>
        <v>0</v>
      </c>
      <c r="SLZ42">
        <f t="shared" ref="SLZ42:SOK43" si="246">SLZ41*1.6*1.2</f>
        <v>0</v>
      </c>
      <c r="SMA42">
        <f t="shared" si="246"/>
        <v>0</v>
      </c>
      <c r="SMB42">
        <f t="shared" si="246"/>
        <v>0</v>
      </c>
      <c r="SMC42">
        <f t="shared" si="246"/>
        <v>0</v>
      </c>
      <c r="SMD42">
        <f t="shared" si="246"/>
        <v>0</v>
      </c>
      <c r="SME42">
        <f t="shared" si="246"/>
        <v>0</v>
      </c>
      <c r="SMF42">
        <f t="shared" si="246"/>
        <v>0</v>
      </c>
      <c r="SMG42">
        <f t="shared" si="246"/>
        <v>0</v>
      </c>
      <c r="SMH42">
        <f t="shared" si="246"/>
        <v>0</v>
      </c>
      <c r="SMI42">
        <f t="shared" si="246"/>
        <v>0</v>
      </c>
      <c r="SMJ42">
        <f t="shared" si="246"/>
        <v>0</v>
      </c>
      <c r="SMK42">
        <f t="shared" si="246"/>
        <v>0</v>
      </c>
      <c r="SML42">
        <f t="shared" si="246"/>
        <v>0</v>
      </c>
      <c r="SMM42">
        <f t="shared" si="246"/>
        <v>0</v>
      </c>
      <c r="SMN42">
        <f t="shared" si="246"/>
        <v>0</v>
      </c>
      <c r="SMO42">
        <f t="shared" si="246"/>
        <v>0</v>
      </c>
      <c r="SMP42">
        <f t="shared" si="246"/>
        <v>0</v>
      </c>
      <c r="SMQ42">
        <f t="shared" si="246"/>
        <v>0</v>
      </c>
      <c r="SMR42">
        <f t="shared" si="246"/>
        <v>0</v>
      </c>
      <c r="SMS42">
        <f t="shared" si="246"/>
        <v>0</v>
      </c>
      <c r="SMT42">
        <f t="shared" si="246"/>
        <v>0</v>
      </c>
      <c r="SMU42">
        <f t="shared" si="246"/>
        <v>0</v>
      </c>
      <c r="SMV42">
        <f t="shared" si="246"/>
        <v>0</v>
      </c>
      <c r="SMW42">
        <f t="shared" si="246"/>
        <v>0</v>
      </c>
      <c r="SMX42">
        <f t="shared" si="246"/>
        <v>0</v>
      </c>
      <c r="SMY42">
        <f t="shared" si="246"/>
        <v>0</v>
      </c>
      <c r="SMZ42">
        <f t="shared" si="246"/>
        <v>0</v>
      </c>
      <c r="SNA42">
        <f t="shared" si="246"/>
        <v>0</v>
      </c>
      <c r="SNB42">
        <f t="shared" si="246"/>
        <v>0</v>
      </c>
      <c r="SNC42">
        <f t="shared" si="246"/>
        <v>0</v>
      </c>
      <c r="SND42">
        <f t="shared" si="246"/>
        <v>0</v>
      </c>
      <c r="SNE42">
        <f t="shared" si="246"/>
        <v>0</v>
      </c>
      <c r="SNF42">
        <f t="shared" si="246"/>
        <v>0</v>
      </c>
      <c r="SNG42">
        <f t="shared" si="246"/>
        <v>0</v>
      </c>
      <c r="SNH42">
        <f t="shared" si="246"/>
        <v>0</v>
      </c>
      <c r="SNI42">
        <f t="shared" si="246"/>
        <v>0</v>
      </c>
      <c r="SNJ42">
        <f t="shared" si="246"/>
        <v>0</v>
      </c>
      <c r="SNK42">
        <f t="shared" si="246"/>
        <v>0</v>
      </c>
      <c r="SNL42">
        <f t="shared" si="246"/>
        <v>0</v>
      </c>
      <c r="SNM42">
        <f t="shared" si="246"/>
        <v>0</v>
      </c>
      <c r="SNN42">
        <f t="shared" si="246"/>
        <v>0</v>
      </c>
      <c r="SNO42">
        <f t="shared" si="246"/>
        <v>0</v>
      </c>
      <c r="SNP42">
        <f t="shared" si="246"/>
        <v>0</v>
      </c>
      <c r="SNQ42">
        <f t="shared" si="246"/>
        <v>0</v>
      </c>
      <c r="SNR42">
        <f t="shared" si="246"/>
        <v>0</v>
      </c>
      <c r="SNS42">
        <f t="shared" si="246"/>
        <v>0</v>
      </c>
      <c r="SNT42">
        <f t="shared" si="246"/>
        <v>0</v>
      </c>
      <c r="SNU42">
        <f t="shared" si="246"/>
        <v>0</v>
      </c>
      <c r="SNV42">
        <f t="shared" si="246"/>
        <v>0</v>
      </c>
      <c r="SNW42">
        <f t="shared" si="246"/>
        <v>0</v>
      </c>
      <c r="SNX42">
        <f t="shared" si="246"/>
        <v>0</v>
      </c>
      <c r="SNY42">
        <f t="shared" si="246"/>
        <v>0</v>
      </c>
      <c r="SNZ42">
        <f t="shared" si="246"/>
        <v>0</v>
      </c>
      <c r="SOA42">
        <f t="shared" si="246"/>
        <v>0</v>
      </c>
      <c r="SOB42">
        <f t="shared" si="246"/>
        <v>0</v>
      </c>
      <c r="SOC42">
        <f t="shared" si="246"/>
        <v>0</v>
      </c>
      <c r="SOD42">
        <f t="shared" si="246"/>
        <v>0</v>
      </c>
      <c r="SOE42">
        <f t="shared" si="246"/>
        <v>0</v>
      </c>
      <c r="SOF42">
        <f t="shared" si="246"/>
        <v>0</v>
      </c>
      <c r="SOG42">
        <f t="shared" si="246"/>
        <v>0</v>
      </c>
      <c r="SOH42">
        <f t="shared" si="246"/>
        <v>0</v>
      </c>
      <c r="SOI42">
        <f t="shared" si="246"/>
        <v>0</v>
      </c>
      <c r="SOJ42">
        <f t="shared" si="246"/>
        <v>0</v>
      </c>
      <c r="SOK42">
        <f t="shared" si="246"/>
        <v>0</v>
      </c>
      <c r="SOL42">
        <f t="shared" ref="SOL42:SQW43" si="247">SOL41*1.6*1.2</f>
        <v>0</v>
      </c>
      <c r="SOM42">
        <f t="shared" si="247"/>
        <v>0</v>
      </c>
      <c r="SON42">
        <f t="shared" si="247"/>
        <v>0</v>
      </c>
      <c r="SOO42">
        <f t="shared" si="247"/>
        <v>0</v>
      </c>
      <c r="SOP42">
        <f t="shared" si="247"/>
        <v>0</v>
      </c>
      <c r="SOQ42">
        <f t="shared" si="247"/>
        <v>0</v>
      </c>
      <c r="SOR42">
        <f t="shared" si="247"/>
        <v>0</v>
      </c>
      <c r="SOS42">
        <f t="shared" si="247"/>
        <v>0</v>
      </c>
      <c r="SOT42">
        <f t="shared" si="247"/>
        <v>0</v>
      </c>
      <c r="SOU42">
        <f t="shared" si="247"/>
        <v>0</v>
      </c>
      <c r="SOV42">
        <f t="shared" si="247"/>
        <v>0</v>
      </c>
      <c r="SOW42">
        <f t="shared" si="247"/>
        <v>0</v>
      </c>
      <c r="SOX42">
        <f t="shared" si="247"/>
        <v>0</v>
      </c>
      <c r="SOY42">
        <f t="shared" si="247"/>
        <v>0</v>
      </c>
      <c r="SOZ42">
        <f t="shared" si="247"/>
        <v>0</v>
      </c>
      <c r="SPA42">
        <f t="shared" si="247"/>
        <v>0</v>
      </c>
      <c r="SPB42">
        <f t="shared" si="247"/>
        <v>0</v>
      </c>
      <c r="SPC42">
        <f t="shared" si="247"/>
        <v>0</v>
      </c>
      <c r="SPD42">
        <f t="shared" si="247"/>
        <v>0</v>
      </c>
      <c r="SPE42">
        <f t="shared" si="247"/>
        <v>0</v>
      </c>
      <c r="SPF42">
        <f t="shared" si="247"/>
        <v>0</v>
      </c>
      <c r="SPG42">
        <f t="shared" si="247"/>
        <v>0</v>
      </c>
      <c r="SPH42">
        <f t="shared" si="247"/>
        <v>0</v>
      </c>
      <c r="SPI42">
        <f t="shared" si="247"/>
        <v>0</v>
      </c>
      <c r="SPJ42">
        <f t="shared" si="247"/>
        <v>0</v>
      </c>
      <c r="SPK42">
        <f t="shared" si="247"/>
        <v>0</v>
      </c>
      <c r="SPL42">
        <f t="shared" si="247"/>
        <v>0</v>
      </c>
      <c r="SPM42">
        <f t="shared" si="247"/>
        <v>0</v>
      </c>
      <c r="SPN42">
        <f t="shared" si="247"/>
        <v>0</v>
      </c>
      <c r="SPO42">
        <f t="shared" si="247"/>
        <v>0</v>
      </c>
      <c r="SPP42">
        <f t="shared" si="247"/>
        <v>0</v>
      </c>
      <c r="SPQ42">
        <f t="shared" si="247"/>
        <v>0</v>
      </c>
      <c r="SPR42">
        <f t="shared" si="247"/>
        <v>0</v>
      </c>
      <c r="SPS42">
        <f t="shared" si="247"/>
        <v>0</v>
      </c>
      <c r="SPT42">
        <f t="shared" si="247"/>
        <v>0</v>
      </c>
      <c r="SPU42">
        <f t="shared" si="247"/>
        <v>0</v>
      </c>
      <c r="SPV42">
        <f t="shared" si="247"/>
        <v>0</v>
      </c>
      <c r="SPW42">
        <f t="shared" si="247"/>
        <v>0</v>
      </c>
      <c r="SPX42">
        <f t="shared" si="247"/>
        <v>0</v>
      </c>
      <c r="SPY42">
        <f t="shared" si="247"/>
        <v>0</v>
      </c>
      <c r="SPZ42">
        <f t="shared" si="247"/>
        <v>0</v>
      </c>
      <c r="SQA42">
        <f t="shared" si="247"/>
        <v>0</v>
      </c>
      <c r="SQB42">
        <f t="shared" si="247"/>
        <v>0</v>
      </c>
      <c r="SQC42">
        <f t="shared" si="247"/>
        <v>0</v>
      </c>
      <c r="SQD42">
        <f t="shared" si="247"/>
        <v>0</v>
      </c>
      <c r="SQE42">
        <f t="shared" si="247"/>
        <v>0</v>
      </c>
      <c r="SQF42">
        <f t="shared" si="247"/>
        <v>0</v>
      </c>
      <c r="SQG42">
        <f t="shared" si="247"/>
        <v>0</v>
      </c>
      <c r="SQH42">
        <f t="shared" si="247"/>
        <v>0</v>
      </c>
      <c r="SQI42">
        <f t="shared" si="247"/>
        <v>0</v>
      </c>
      <c r="SQJ42">
        <f t="shared" si="247"/>
        <v>0</v>
      </c>
      <c r="SQK42">
        <f t="shared" si="247"/>
        <v>0</v>
      </c>
      <c r="SQL42">
        <f t="shared" si="247"/>
        <v>0</v>
      </c>
      <c r="SQM42">
        <f t="shared" si="247"/>
        <v>0</v>
      </c>
      <c r="SQN42">
        <f t="shared" si="247"/>
        <v>0</v>
      </c>
      <c r="SQO42">
        <f t="shared" si="247"/>
        <v>0</v>
      </c>
      <c r="SQP42">
        <f t="shared" si="247"/>
        <v>0</v>
      </c>
      <c r="SQQ42">
        <f t="shared" si="247"/>
        <v>0</v>
      </c>
      <c r="SQR42">
        <f t="shared" si="247"/>
        <v>0</v>
      </c>
      <c r="SQS42">
        <f t="shared" si="247"/>
        <v>0</v>
      </c>
      <c r="SQT42">
        <f t="shared" si="247"/>
        <v>0</v>
      </c>
      <c r="SQU42">
        <f t="shared" si="247"/>
        <v>0</v>
      </c>
      <c r="SQV42">
        <f t="shared" si="247"/>
        <v>0</v>
      </c>
      <c r="SQW42">
        <f t="shared" si="247"/>
        <v>0</v>
      </c>
      <c r="SQX42">
        <f t="shared" ref="SQX42:STI43" si="248">SQX41*1.6*1.2</f>
        <v>0</v>
      </c>
      <c r="SQY42">
        <f t="shared" si="248"/>
        <v>0</v>
      </c>
      <c r="SQZ42">
        <f t="shared" si="248"/>
        <v>0</v>
      </c>
      <c r="SRA42">
        <f t="shared" si="248"/>
        <v>0</v>
      </c>
      <c r="SRB42">
        <f t="shared" si="248"/>
        <v>0</v>
      </c>
      <c r="SRC42">
        <f t="shared" si="248"/>
        <v>0</v>
      </c>
      <c r="SRD42">
        <f t="shared" si="248"/>
        <v>0</v>
      </c>
      <c r="SRE42">
        <f t="shared" si="248"/>
        <v>0</v>
      </c>
      <c r="SRF42">
        <f t="shared" si="248"/>
        <v>0</v>
      </c>
      <c r="SRG42">
        <f t="shared" si="248"/>
        <v>0</v>
      </c>
      <c r="SRH42">
        <f t="shared" si="248"/>
        <v>0</v>
      </c>
      <c r="SRI42">
        <f t="shared" si="248"/>
        <v>0</v>
      </c>
      <c r="SRJ42">
        <f t="shared" si="248"/>
        <v>0</v>
      </c>
      <c r="SRK42">
        <f t="shared" si="248"/>
        <v>0</v>
      </c>
      <c r="SRL42">
        <f t="shared" si="248"/>
        <v>0</v>
      </c>
      <c r="SRM42">
        <f t="shared" si="248"/>
        <v>0</v>
      </c>
      <c r="SRN42">
        <f t="shared" si="248"/>
        <v>0</v>
      </c>
      <c r="SRO42">
        <f t="shared" si="248"/>
        <v>0</v>
      </c>
      <c r="SRP42">
        <f t="shared" si="248"/>
        <v>0</v>
      </c>
      <c r="SRQ42">
        <f t="shared" si="248"/>
        <v>0</v>
      </c>
      <c r="SRR42">
        <f t="shared" si="248"/>
        <v>0</v>
      </c>
      <c r="SRS42">
        <f t="shared" si="248"/>
        <v>0</v>
      </c>
      <c r="SRT42">
        <f t="shared" si="248"/>
        <v>0</v>
      </c>
      <c r="SRU42">
        <f t="shared" si="248"/>
        <v>0</v>
      </c>
      <c r="SRV42">
        <f t="shared" si="248"/>
        <v>0</v>
      </c>
      <c r="SRW42">
        <f t="shared" si="248"/>
        <v>0</v>
      </c>
      <c r="SRX42">
        <f t="shared" si="248"/>
        <v>0</v>
      </c>
      <c r="SRY42">
        <f t="shared" si="248"/>
        <v>0</v>
      </c>
      <c r="SRZ42">
        <f t="shared" si="248"/>
        <v>0</v>
      </c>
      <c r="SSA42">
        <f t="shared" si="248"/>
        <v>0</v>
      </c>
      <c r="SSB42">
        <f t="shared" si="248"/>
        <v>0</v>
      </c>
      <c r="SSC42">
        <f t="shared" si="248"/>
        <v>0</v>
      </c>
      <c r="SSD42">
        <f t="shared" si="248"/>
        <v>0</v>
      </c>
      <c r="SSE42">
        <f t="shared" si="248"/>
        <v>0</v>
      </c>
      <c r="SSF42">
        <f t="shared" si="248"/>
        <v>0</v>
      </c>
      <c r="SSG42">
        <f t="shared" si="248"/>
        <v>0</v>
      </c>
      <c r="SSH42">
        <f t="shared" si="248"/>
        <v>0</v>
      </c>
      <c r="SSI42">
        <f t="shared" si="248"/>
        <v>0</v>
      </c>
      <c r="SSJ42">
        <f t="shared" si="248"/>
        <v>0</v>
      </c>
      <c r="SSK42">
        <f t="shared" si="248"/>
        <v>0</v>
      </c>
      <c r="SSL42">
        <f t="shared" si="248"/>
        <v>0</v>
      </c>
      <c r="SSM42">
        <f t="shared" si="248"/>
        <v>0</v>
      </c>
      <c r="SSN42">
        <f t="shared" si="248"/>
        <v>0</v>
      </c>
      <c r="SSO42">
        <f t="shared" si="248"/>
        <v>0</v>
      </c>
      <c r="SSP42">
        <f t="shared" si="248"/>
        <v>0</v>
      </c>
      <c r="SSQ42">
        <f t="shared" si="248"/>
        <v>0</v>
      </c>
      <c r="SSR42">
        <f t="shared" si="248"/>
        <v>0</v>
      </c>
      <c r="SSS42">
        <f t="shared" si="248"/>
        <v>0</v>
      </c>
      <c r="SST42">
        <f t="shared" si="248"/>
        <v>0</v>
      </c>
      <c r="SSU42">
        <f t="shared" si="248"/>
        <v>0</v>
      </c>
      <c r="SSV42">
        <f t="shared" si="248"/>
        <v>0</v>
      </c>
      <c r="SSW42">
        <f t="shared" si="248"/>
        <v>0</v>
      </c>
      <c r="SSX42">
        <f t="shared" si="248"/>
        <v>0</v>
      </c>
      <c r="SSY42">
        <f t="shared" si="248"/>
        <v>0</v>
      </c>
      <c r="SSZ42">
        <f t="shared" si="248"/>
        <v>0</v>
      </c>
      <c r="STA42">
        <f t="shared" si="248"/>
        <v>0</v>
      </c>
      <c r="STB42">
        <f t="shared" si="248"/>
        <v>0</v>
      </c>
      <c r="STC42">
        <f t="shared" si="248"/>
        <v>0</v>
      </c>
      <c r="STD42">
        <f t="shared" si="248"/>
        <v>0</v>
      </c>
      <c r="STE42">
        <f t="shared" si="248"/>
        <v>0</v>
      </c>
      <c r="STF42">
        <f t="shared" si="248"/>
        <v>0</v>
      </c>
      <c r="STG42">
        <f t="shared" si="248"/>
        <v>0</v>
      </c>
      <c r="STH42">
        <f t="shared" si="248"/>
        <v>0</v>
      </c>
      <c r="STI42">
        <f t="shared" si="248"/>
        <v>0</v>
      </c>
      <c r="STJ42">
        <f t="shared" ref="STJ42:SVU43" si="249">STJ41*1.6*1.2</f>
        <v>0</v>
      </c>
      <c r="STK42">
        <f t="shared" si="249"/>
        <v>0</v>
      </c>
      <c r="STL42">
        <f t="shared" si="249"/>
        <v>0</v>
      </c>
      <c r="STM42">
        <f t="shared" si="249"/>
        <v>0</v>
      </c>
      <c r="STN42">
        <f t="shared" si="249"/>
        <v>0</v>
      </c>
      <c r="STO42">
        <f t="shared" si="249"/>
        <v>0</v>
      </c>
      <c r="STP42">
        <f t="shared" si="249"/>
        <v>0</v>
      </c>
      <c r="STQ42">
        <f t="shared" si="249"/>
        <v>0</v>
      </c>
      <c r="STR42">
        <f t="shared" si="249"/>
        <v>0</v>
      </c>
      <c r="STS42">
        <f t="shared" si="249"/>
        <v>0</v>
      </c>
      <c r="STT42">
        <f t="shared" si="249"/>
        <v>0</v>
      </c>
      <c r="STU42">
        <f t="shared" si="249"/>
        <v>0</v>
      </c>
      <c r="STV42">
        <f t="shared" si="249"/>
        <v>0</v>
      </c>
      <c r="STW42">
        <f t="shared" si="249"/>
        <v>0</v>
      </c>
      <c r="STX42">
        <f t="shared" si="249"/>
        <v>0</v>
      </c>
      <c r="STY42">
        <f t="shared" si="249"/>
        <v>0</v>
      </c>
      <c r="STZ42">
        <f t="shared" si="249"/>
        <v>0</v>
      </c>
      <c r="SUA42">
        <f t="shared" si="249"/>
        <v>0</v>
      </c>
      <c r="SUB42">
        <f t="shared" si="249"/>
        <v>0</v>
      </c>
      <c r="SUC42">
        <f t="shared" si="249"/>
        <v>0</v>
      </c>
      <c r="SUD42">
        <f t="shared" si="249"/>
        <v>0</v>
      </c>
      <c r="SUE42">
        <f t="shared" si="249"/>
        <v>0</v>
      </c>
      <c r="SUF42">
        <f t="shared" si="249"/>
        <v>0</v>
      </c>
      <c r="SUG42">
        <f t="shared" si="249"/>
        <v>0</v>
      </c>
      <c r="SUH42">
        <f t="shared" si="249"/>
        <v>0</v>
      </c>
      <c r="SUI42">
        <f t="shared" si="249"/>
        <v>0</v>
      </c>
      <c r="SUJ42">
        <f t="shared" si="249"/>
        <v>0</v>
      </c>
      <c r="SUK42">
        <f t="shared" si="249"/>
        <v>0</v>
      </c>
      <c r="SUL42">
        <f t="shared" si="249"/>
        <v>0</v>
      </c>
      <c r="SUM42">
        <f t="shared" si="249"/>
        <v>0</v>
      </c>
      <c r="SUN42">
        <f t="shared" si="249"/>
        <v>0</v>
      </c>
      <c r="SUO42">
        <f t="shared" si="249"/>
        <v>0</v>
      </c>
      <c r="SUP42">
        <f t="shared" si="249"/>
        <v>0</v>
      </c>
      <c r="SUQ42">
        <f t="shared" si="249"/>
        <v>0</v>
      </c>
      <c r="SUR42">
        <f t="shared" si="249"/>
        <v>0</v>
      </c>
      <c r="SUS42">
        <f t="shared" si="249"/>
        <v>0</v>
      </c>
      <c r="SUT42">
        <f t="shared" si="249"/>
        <v>0</v>
      </c>
      <c r="SUU42">
        <f t="shared" si="249"/>
        <v>0</v>
      </c>
      <c r="SUV42">
        <f t="shared" si="249"/>
        <v>0</v>
      </c>
      <c r="SUW42">
        <f t="shared" si="249"/>
        <v>0</v>
      </c>
      <c r="SUX42">
        <f t="shared" si="249"/>
        <v>0</v>
      </c>
      <c r="SUY42">
        <f t="shared" si="249"/>
        <v>0</v>
      </c>
      <c r="SUZ42">
        <f t="shared" si="249"/>
        <v>0</v>
      </c>
      <c r="SVA42">
        <f t="shared" si="249"/>
        <v>0</v>
      </c>
      <c r="SVB42">
        <f t="shared" si="249"/>
        <v>0</v>
      </c>
      <c r="SVC42">
        <f t="shared" si="249"/>
        <v>0</v>
      </c>
      <c r="SVD42">
        <f t="shared" si="249"/>
        <v>0</v>
      </c>
      <c r="SVE42">
        <f t="shared" si="249"/>
        <v>0</v>
      </c>
      <c r="SVF42">
        <f t="shared" si="249"/>
        <v>0</v>
      </c>
      <c r="SVG42">
        <f t="shared" si="249"/>
        <v>0</v>
      </c>
      <c r="SVH42">
        <f t="shared" si="249"/>
        <v>0</v>
      </c>
      <c r="SVI42">
        <f t="shared" si="249"/>
        <v>0</v>
      </c>
      <c r="SVJ42">
        <f t="shared" si="249"/>
        <v>0</v>
      </c>
      <c r="SVK42">
        <f t="shared" si="249"/>
        <v>0</v>
      </c>
      <c r="SVL42">
        <f t="shared" si="249"/>
        <v>0</v>
      </c>
      <c r="SVM42">
        <f t="shared" si="249"/>
        <v>0</v>
      </c>
      <c r="SVN42">
        <f t="shared" si="249"/>
        <v>0</v>
      </c>
      <c r="SVO42">
        <f t="shared" si="249"/>
        <v>0</v>
      </c>
      <c r="SVP42">
        <f t="shared" si="249"/>
        <v>0</v>
      </c>
      <c r="SVQ42">
        <f t="shared" si="249"/>
        <v>0</v>
      </c>
      <c r="SVR42">
        <f t="shared" si="249"/>
        <v>0</v>
      </c>
      <c r="SVS42">
        <f t="shared" si="249"/>
        <v>0</v>
      </c>
      <c r="SVT42">
        <f t="shared" si="249"/>
        <v>0</v>
      </c>
      <c r="SVU42">
        <f t="shared" si="249"/>
        <v>0</v>
      </c>
      <c r="SVV42">
        <f t="shared" ref="SVV42:SYG43" si="250">SVV41*1.6*1.2</f>
        <v>0</v>
      </c>
      <c r="SVW42">
        <f t="shared" si="250"/>
        <v>0</v>
      </c>
      <c r="SVX42">
        <f t="shared" si="250"/>
        <v>0</v>
      </c>
      <c r="SVY42">
        <f t="shared" si="250"/>
        <v>0</v>
      </c>
      <c r="SVZ42">
        <f t="shared" si="250"/>
        <v>0</v>
      </c>
      <c r="SWA42">
        <f t="shared" si="250"/>
        <v>0</v>
      </c>
      <c r="SWB42">
        <f t="shared" si="250"/>
        <v>0</v>
      </c>
      <c r="SWC42">
        <f t="shared" si="250"/>
        <v>0</v>
      </c>
      <c r="SWD42">
        <f t="shared" si="250"/>
        <v>0</v>
      </c>
      <c r="SWE42">
        <f t="shared" si="250"/>
        <v>0</v>
      </c>
      <c r="SWF42">
        <f t="shared" si="250"/>
        <v>0</v>
      </c>
      <c r="SWG42">
        <f t="shared" si="250"/>
        <v>0</v>
      </c>
      <c r="SWH42">
        <f t="shared" si="250"/>
        <v>0</v>
      </c>
      <c r="SWI42">
        <f t="shared" si="250"/>
        <v>0</v>
      </c>
      <c r="SWJ42">
        <f t="shared" si="250"/>
        <v>0</v>
      </c>
      <c r="SWK42">
        <f t="shared" si="250"/>
        <v>0</v>
      </c>
      <c r="SWL42">
        <f t="shared" si="250"/>
        <v>0</v>
      </c>
      <c r="SWM42">
        <f t="shared" si="250"/>
        <v>0</v>
      </c>
      <c r="SWN42">
        <f t="shared" si="250"/>
        <v>0</v>
      </c>
      <c r="SWO42">
        <f t="shared" si="250"/>
        <v>0</v>
      </c>
      <c r="SWP42">
        <f t="shared" si="250"/>
        <v>0</v>
      </c>
      <c r="SWQ42">
        <f t="shared" si="250"/>
        <v>0</v>
      </c>
      <c r="SWR42">
        <f t="shared" si="250"/>
        <v>0</v>
      </c>
      <c r="SWS42">
        <f t="shared" si="250"/>
        <v>0</v>
      </c>
      <c r="SWT42">
        <f t="shared" si="250"/>
        <v>0</v>
      </c>
      <c r="SWU42">
        <f t="shared" si="250"/>
        <v>0</v>
      </c>
      <c r="SWV42">
        <f t="shared" si="250"/>
        <v>0</v>
      </c>
      <c r="SWW42">
        <f t="shared" si="250"/>
        <v>0</v>
      </c>
      <c r="SWX42">
        <f t="shared" si="250"/>
        <v>0</v>
      </c>
      <c r="SWY42">
        <f t="shared" si="250"/>
        <v>0</v>
      </c>
      <c r="SWZ42">
        <f t="shared" si="250"/>
        <v>0</v>
      </c>
      <c r="SXA42">
        <f t="shared" si="250"/>
        <v>0</v>
      </c>
      <c r="SXB42">
        <f t="shared" si="250"/>
        <v>0</v>
      </c>
      <c r="SXC42">
        <f t="shared" si="250"/>
        <v>0</v>
      </c>
      <c r="SXD42">
        <f t="shared" si="250"/>
        <v>0</v>
      </c>
      <c r="SXE42">
        <f t="shared" si="250"/>
        <v>0</v>
      </c>
      <c r="SXF42">
        <f t="shared" si="250"/>
        <v>0</v>
      </c>
      <c r="SXG42">
        <f t="shared" si="250"/>
        <v>0</v>
      </c>
      <c r="SXH42">
        <f t="shared" si="250"/>
        <v>0</v>
      </c>
      <c r="SXI42">
        <f t="shared" si="250"/>
        <v>0</v>
      </c>
      <c r="SXJ42">
        <f t="shared" si="250"/>
        <v>0</v>
      </c>
      <c r="SXK42">
        <f t="shared" si="250"/>
        <v>0</v>
      </c>
      <c r="SXL42">
        <f t="shared" si="250"/>
        <v>0</v>
      </c>
      <c r="SXM42">
        <f t="shared" si="250"/>
        <v>0</v>
      </c>
      <c r="SXN42">
        <f t="shared" si="250"/>
        <v>0</v>
      </c>
      <c r="SXO42">
        <f t="shared" si="250"/>
        <v>0</v>
      </c>
      <c r="SXP42">
        <f t="shared" si="250"/>
        <v>0</v>
      </c>
      <c r="SXQ42">
        <f t="shared" si="250"/>
        <v>0</v>
      </c>
      <c r="SXR42">
        <f t="shared" si="250"/>
        <v>0</v>
      </c>
      <c r="SXS42">
        <f t="shared" si="250"/>
        <v>0</v>
      </c>
      <c r="SXT42">
        <f t="shared" si="250"/>
        <v>0</v>
      </c>
      <c r="SXU42">
        <f t="shared" si="250"/>
        <v>0</v>
      </c>
      <c r="SXV42">
        <f t="shared" si="250"/>
        <v>0</v>
      </c>
      <c r="SXW42">
        <f t="shared" si="250"/>
        <v>0</v>
      </c>
      <c r="SXX42">
        <f t="shared" si="250"/>
        <v>0</v>
      </c>
      <c r="SXY42">
        <f t="shared" si="250"/>
        <v>0</v>
      </c>
      <c r="SXZ42">
        <f t="shared" si="250"/>
        <v>0</v>
      </c>
      <c r="SYA42">
        <f t="shared" si="250"/>
        <v>0</v>
      </c>
      <c r="SYB42">
        <f t="shared" si="250"/>
        <v>0</v>
      </c>
      <c r="SYC42">
        <f t="shared" si="250"/>
        <v>0</v>
      </c>
      <c r="SYD42">
        <f t="shared" si="250"/>
        <v>0</v>
      </c>
      <c r="SYE42">
        <f t="shared" si="250"/>
        <v>0</v>
      </c>
      <c r="SYF42">
        <f t="shared" si="250"/>
        <v>0</v>
      </c>
      <c r="SYG42">
        <f t="shared" si="250"/>
        <v>0</v>
      </c>
      <c r="SYH42">
        <f t="shared" ref="SYH42:TAS43" si="251">SYH41*1.6*1.2</f>
        <v>0</v>
      </c>
      <c r="SYI42">
        <f t="shared" si="251"/>
        <v>0</v>
      </c>
      <c r="SYJ42">
        <f t="shared" si="251"/>
        <v>0</v>
      </c>
      <c r="SYK42">
        <f t="shared" si="251"/>
        <v>0</v>
      </c>
      <c r="SYL42">
        <f t="shared" si="251"/>
        <v>0</v>
      </c>
      <c r="SYM42">
        <f t="shared" si="251"/>
        <v>0</v>
      </c>
      <c r="SYN42">
        <f t="shared" si="251"/>
        <v>0</v>
      </c>
      <c r="SYO42">
        <f t="shared" si="251"/>
        <v>0</v>
      </c>
      <c r="SYP42">
        <f t="shared" si="251"/>
        <v>0</v>
      </c>
      <c r="SYQ42">
        <f t="shared" si="251"/>
        <v>0</v>
      </c>
      <c r="SYR42">
        <f t="shared" si="251"/>
        <v>0</v>
      </c>
      <c r="SYS42">
        <f t="shared" si="251"/>
        <v>0</v>
      </c>
      <c r="SYT42">
        <f t="shared" si="251"/>
        <v>0</v>
      </c>
      <c r="SYU42">
        <f t="shared" si="251"/>
        <v>0</v>
      </c>
      <c r="SYV42">
        <f t="shared" si="251"/>
        <v>0</v>
      </c>
      <c r="SYW42">
        <f t="shared" si="251"/>
        <v>0</v>
      </c>
      <c r="SYX42">
        <f t="shared" si="251"/>
        <v>0</v>
      </c>
      <c r="SYY42">
        <f t="shared" si="251"/>
        <v>0</v>
      </c>
      <c r="SYZ42">
        <f t="shared" si="251"/>
        <v>0</v>
      </c>
      <c r="SZA42">
        <f t="shared" si="251"/>
        <v>0</v>
      </c>
      <c r="SZB42">
        <f t="shared" si="251"/>
        <v>0</v>
      </c>
      <c r="SZC42">
        <f t="shared" si="251"/>
        <v>0</v>
      </c>
      <c r="SZD42">
        <f t="shared" si="251"/>
        <v>0</v>
      </c>
      <c r="SZE42">
        <f t="shared" si="251"/>
        <v>0</v>
      </c>
      <c r="SZF42">
        <f t="shared" si="251"/>
        <v>0</v>
      </c>
      <c r="SZG42">
        <f t="shared" si="251"/>
        <v>0</v>
      </c>
      <c r="SZH42">
        <f t="shared" si="251"/>
        <v>0</v>
      </c>
      <c r="SZI42">
        <f t="shared" si="251"/>
        <v>0</v>
      </c>
      <c r="SZJ42">
        <f t="shared" si="251"/>
        <v>0</v>
      </c>
      <c r="SZK42">
        <f t="shared" si="251"/>
        <v>0</v>
      </c>
      <c r="SZL42">
        <f t="shared" si="251"/>
        <v>0</v>
      </c>
      <c r="SZM42">
        <f t="shared" si="251"/>
        <v>0</v>
      </c>
      <c r="SZN42">
        <f t="shared" si="251"/>
        <v>0</v>
      </c>
      <c r="SZO42">
        <f t="shared" si="251"/>
        <v>0</v>
      </c>
      <c r="SZP42">
        <f t="shared" si="251"/>
        <v>0</v>
      </c>
      <c r="SZQ42">
        <f t="shared" si="251"/>
        <v>0</v>
      </c>
      <c r="SZR42">
        <f t="shared" si="251"/>
        <v>0</v>
      </c>
      <c r="SZS42">
        <f t="shared" si="251"/>
        <v>0</v>
      </c>
      <c r="SZT42">
        <f t="shared" si="251"/>
        <v>0</v>
      </c>
      <c r="SZU42">
        <f t="shared" si="251"/>
        <v>0</v>
      </c>
      <c r="SZV42">
        <f t="shared" si="251"/>
        <v>0</v>
      </c>
      <c r="SZW42">
        <f t="shared" si="251"/>
        <v>0</v>
      </c>
      <c r="SZX42">
        <f t="shared" si="251"/>
        <v>0</v>
      </c>
      <c r="SZY42">
        <f t="shared" si="251"/>
        <v>0</v>
      </c>
      <c r="SZZ42">
        <f t="shared" si="251"/>
        <v>0</v>
      </c>
      <c r="TAA42">
        <f t="shared" si="251"/>
        <v>0</v>
      </c>
      <c r="TAB42">
        <f t="shared" si="251"/>
        <v>0</v>
      </c>
      <c r="TAC42">
        <f t="shared" si="251"/>
        <v>0</v>
      </c>
      <c r="TAD42">
        <f t="shared" si="251"/>
        <v>0</v>
      </c>
      <c r="TAE42">
        <f t="shared" si="251"/>
        <v>0</v>
      </c>
      <c r="TAF42">
        <f t="shared" si="251"/>
        <v>0</v>
      </c>
      <c r="TAG42">
        <f t="shared" si="251"/>
        <v>0</v>
      </c>
      <c r="TAH42">
        <f t="shared" si="251"/>
        <v>0</v>
      </c>
      <c r="TAI42">
        <f t="shared" si="251"/>
        <v>0</v>
      </c>
      <c r="TAJ42">
        <f t="shared" si="251"/>
        <v>0</v>
      </c>
      <c r="TAK42">
        <f t="shared" si="251"/>
        <v>0</v>
      </c>
      <c r="TAL42">
        <f t="shared" si="251"/>
        <v>0</v>
      </c>
      <c r="TAM42">
        <f t="shared" si="251"/>
        <v>0</v>
      </c>
      <c r="TAN42">
        <f t="shared" si="251"/>
        <v>0</v>
      </c>
      <c r="TAO42">
        <f t="shared" si="251"/>
        <v>0</v>
      </c>
      <c r="TAP42">
        <f t="shared" si="251"/>
        <v>0</v>
      </c>
      <c r="TAQ42">
        <f t="shared" si="251"/>
        <v>0</v>
      </c>
      <c r="TAR42">
        <f t="shared" si="251"/>
        <v>0</v>
      </c>
      <c r="TAS42">
        <f t="shared" si="251"/>
        <v>0</v>
      </c>
      <c r="TAT42">
        <f t="shared" ref="TAT42:TDE43" si="252">TAT41*1.6*1.2</f>
        <v>0</v>
      </c>
      <c r="TAU42">
        <f t="shared" si="252"/>
        <v>0</v>
      </c>
      <c r="TAV42">
        <f t="shared" si="252"/>
        <v>0</v>
      </c>
      <c r="TAW42">
        <f t="shared" si="252"/>
        <v>0</v>
      </c>
      <c r="TAX42">
        <f t="shared" si="252"/>
        <v>0</v>
      </c>
      <c r="TAY42">
        <f t="shared" si="252"/>
        <v>0</v>
      </c>
      <c r="TAZ42">
        <f t="shared" si="252"/>
        <v>0</v>
      </c>
      <c r="TBA42">
        <f t="shared" si="252"/>
        <v>0</v>
      </c>
      <c r="TBB42">
        <f t="shared" si="252"/>
        <v>0</v>
      </c>
      <c r="TBC42">
        <f t="shared" si="252"/>
        <v>0</v>
      </c>
      <c r="TBD42">
        <f t="shared" si="252"/>
        <v>0</v>
      </c>
      <c r="TBE42">
        <f t="shared" si="252"/>
        <v>0</v>
      </c>
      <c r="TBF42">
        <f t="shared" si="252"/>
        <v>0</v>
      </c>
      <c r="TBG42">
        <f t="shared" si="252"/>
        <v>0</v>
      </c>
      <c r="TBH42">
        <f t="shared" si="252"/>
        <v>0</v>
      </c>
      <c r="TBI42">
        <f t="shared" si="252"/>
        <v>0</v>
      </c>
      <c r="TBJ42">
        <f t="shared" si="252"/>
        <v>0</v>
      </c>
      <c r="TBK42">
        <f t="shared" si="252"/>
        <v>0</v>
      </c>
      <c r="TBL42">
        <f t="shared" si="252"/>
        <v>0</v>
      </c>
      <c r="TBM42">
        <f t="shared" si="252"/>
        <v>0</v>
      </c>
      <c r="TBN42">
        <f t="shared" si="252"/>
        <v>0</v>
      </c>
      <c r="TBO42">
        <f t="shared" si="252"/>
        <v>0</v>
      </c>
      <c r="TBP42">
        <f t="shared" si="252"/>
        <v>0</v>
      </c>
      <c r="TBQ42">
        <f t="shared" si="252"/>
        <v>0</v>
      </c>
      <c r="TBR42">
        <f t="shared" si="252"/>
        <v>0</v>
      </c>
      <c r="TBS42">
        <f t="shared" si="252"/>
        <v>0</v>
      </c>
      <c r="TBT42">
        <f t="shared" si="252"/>
        <v>0</v>
      </c>
      <c r="TBU42">
        <f t="shared" si="252"/>
        <v>0</v>
      </c>
      <c r="TBV42">
        <f t="shared" si="252"/>
        <v>0</v>
      </c>
      <c r="TBW42">
        <f t="shared" si="252"/>
        <v>0</v>
      </c>
      <c r="TBX42">
        <f t="shared" si="252"/>
        <v>0</v>
      </c>
      <c r="TBY42">
        <f t="shared" si="252"/>
        <v>0</v>
      </c>
      <c r="TBZ42">
        <f t="shared" si="252"/>
        <v>0</v>
      </c>
      <c r="TCA42">
        <f t="shared" si="252"/>
        <v>0</v>
      </c>
      <c r="TCB42">
        <f t="shared" si="252"/>
        <v>0</v>
      </c>
      <c r="TCC42">
        <f t="shared" si="252"/>
        <v>0</v>
      </c>
      <c r="TCD42">
        <f t="shared" si="252"/>
        <v>0</v>
      </c>
      <c r="TCE42">
        <f t="shared" si="252"/>
        <v>0</v>
      </c>
      <c r="TCF42">
        <f t="shared" si="252"/>
        <v>0</v>
      </c>
      <c r="TCG42">
        <f t="shared" si="252"/>
        <v>0</v>
      </c>
      <c r="TCH42">
        <f t="shared" si="252"/>
        <v>0</v>
      </c>
      <c r="TCI42">
        <f t="shared" si="252"/>
        <v>0</v>
      </c>
      <c r="TCJ42">
        <f t="shared" si="252"/>
        <v>0</v>
      </c>
      <c r="TCK42">
        <f t="shared" si="252"/>
        <v>0</v>
      </c>
      <c r="TCL42">
        <f t="shared" si="252"/>
        <v>0</v>
      </c>
      <c r="TCM42">
        <f t="shared" si="252"/>
        <v>0</v>
      </c>
      <c r="TCN42">
        <f t="shared" si="252"/>
        <v>0</v>
      </c>
      <c r="TCO42">
        <f t="shared" si="252"/>
        <v>0</v>
      </c>
      <c r="TCP42">
        <f t="shared" si="252"/>
        <v>0</v>
      </c>
      <c r="TCQ42">
        <f t="shared" si="252"/>
        <v>0</v>
      </c>
      <c r="TCR42">
        <f t="shared" si="252"/>
        <v>0</v>
      </c>
      <c r="TCS42">
        <f t="shared" si="252"/>
        <v>0</v>
      </c>
      <c r="TCT42">
        <f t="shared" si="252"/>
        <v>0</v>
      </c>
      <c r="TCU42">
        <f t="shared" si="252"/>
        <v>0</v>
      </c>
      <c r="TCV42">
        <f t="shared" si="252"/>
        <v>0</v>
      </c>
      <c r="TCW42">
        <f t="shared" si="252"/>
        <v>0</v>
      </c>
      <c r="TCX42">
        <f t="shared" si="252"/>
        <v>0</v>
      </c>
      <c r="TCY42">
        <f t="shared" si="252"/>
        <v>0</v>
      </c>
      <c r="TCZ42">
        <f t="shared" si="252"/>
        <v>0</v>
      </c>
      <c r="TDA42">
        <f t="shared" si="252"/>
        <v>0</v>
      </c>
      <c r="TDB42">
        <f t="shared" si="252"/>
        <v>0</v>
      </c>
      <c r="TDC42">
        <f t="shared" si="252"/>
        <v>0</v>
      </c>
      <c r="TDD42">
        <f t="shared" si="252"/>
        <v>0</v>
      </c>
      <c r="TDE42">
        <f t="shared" si="252"/>
        <v>0</v>
      </c>
      <c r="TDF42">
        <f t="shared" ref="TDF42:TFQ43" si="253">TDF41*1.6*1.2</f>
        <v>0</v>
      </c>
      <c r="TDG42">
        <f t="shared" si="253"/>
        <v>0</v>
      </c>
      <c r="TDH42">
        <f t="shared" si="253"/>
        <v>0</v>
      </c>
      <c r="TDI42">
        <f t="shared" si="253"/>
        <v>0</v>
      </c>
      <c r="TDJ42">
        <f t="shared" si="253"/>
        <v>0</v>
      </c>
      <c r="TDK42">
        <f t="shared" si="253"/>
        <v>0</v>
      </c>
      <c r="TDL42">
        <f t="shared" si="253"/>
        <v>0</v>
      </c>
      <c r="TDM42">
        <f t="shared" si="253"/>
        <v>0</v>
      </c>
      <c r="TDN42">
        <f t="shared" si="253"/>
        <v>0</v>
      </c>
      <c r="TDO42">
        <f t="shared" si="253"/>
        <v>0</v>
      </c>
      <c r="TDP42">
        <f t="shared" si="253"/>
        <v>0</v>
      </c>
      <c r="TDQ42">
        <f t="shared" si="253"/>
        <v>0</v>
      </c>
      <c r="TDR42">
        <f t="shared" si="253"/>
        <v>0</v>
      </c>
      <c r="TDS42">
        <f t="shared" si="253"/>
        <v>0</v>
      </c>
      <c r="TDT42">
        <f t="shared" si="253"/>
        <v>0</v>
      </c>
      <c r="TDU42">
        <f t="shared" si="253"/>
        <v>0</v>
      </c>
      <c r="TDV42">
        <f t="shared" si="253"/>
        <v>0</v>
      </c>
      <c r="TDW42">
        <f t="shared" si="253"/>
        <v>0</v>
      </c>
      <c r="TDX42">
        <f t="shared" si="253"/>
        <v>0</v>
      </c>
      <c r="TDY42">
        <f t="shared" si="253"/>
        <v>0</v>
      </c>
      <c r="TDZ42">
        <f t="shared" si="253"/>
        <v>0</v>
      </c>
      <c r="TEA42">
        <f t="shared" si="253"/>
        <v>0</v>
      </c>
      <c r="TEB42">
        <f t="shared" si="253"/>
        <v>0</v>
      </c>
      <c r="TEC42">
        <f t="shared" si="253"/>
        <v>0</v>
      </c>
      <c r="TED42">
        <f t="shared" si="253"/>
        <v>0</v>
      </c>
      <c r="TEE42">
        <f t="shared" si="253"/>
        <v>0</v>
      </c>
      <c r="TEF42">
        <f t="shared" si="253"/>
        <v>0</v>
      </c>
      <c r="TEG42">
        <f t="shared" si="253"/>
        <v>0</v>
      </c>
      <c r="TEH42">
        <f t="shared" si="253"/>
        <v>0</v>
      </c>
      <c r="TEI42">
        <f t="shared" si="253"/>
        <v>0</v>
      </c>
      <c r="TEJ42">
        <f t="shared" si="253"/>
        <v>0</v>
      </c>
      <c r="TEK42">
        <f t="shared" si="253"/>
        <v>0</v>
      </c>
      <c r="TEL42">
        <f t="shared" si="253"/>
        <v>0</v>
      </c>
      <c r="TEM42">
        <f t="shared" si="253"/>
        <v>0</v>
      </c>
      <c r="TEN42">
        <f t="shared" si="253"/>
        <v>0</v>
      </c>
      <c r="TEO42">
        <f t="shared" si="253"/>
        <v>0</v>
      </c>
      <c r="TEP42">
        <f t="shared" si="253"/>
        <v>0</v>
      </c>
      <c r="TEQ42">
        <f t="shared" si="253"/>
        <v>0</v>
      </c>
      <c r="TER42">
        <f t="shared" si="253"/>
        <v>0</v>
      </c>
      <c r="TES42">
        <f t="shared" si="253"/>
        <v>0</v>
      </c>
      <c r="TET42">
        <f t="shared" si="253"/>
        <v>0</v>
      </c>
      <c r="TEU42">
        <f t="shared" si="253"/>
        <v>0</v>
      </c>
      <c r="TEV42">
        <f t="shared" si="253"/>
        <v>0</v>
      </c>
      <c r="TEW42">
        <f t="shared" si="253"/>
        <v>0</v>
      </c>
      <c r="TEX42">
        <f t="shared" si="253"/>
        <v>0</v>
      </c>
      <c r="TEY42">
        <f t="shared" si="253"/>
        <v>0</v>
      </c>
      <c r="TEZ42">
        <f t="shared" si="253"/>
        <v>0</v>
      </c>
      <c r="TFA42">
        <f t="shared" si="253"/>
        <v>0</v>
      </c>
      <c r="TFB42">
        <f t="shared" si="253"/>
        <v>0</v>
      </c>
      <c r="TFC42">
        <f t="shared" si="253"/>
        <v>0</v>
      </c>
      <c r="TFD42">
        <f t="shared" si="253"/>
        <v>0</v>
      </c>
      <c r="TFE42">
        <f t="shared" si="253"/>
        <v>0</v>
      </c>
      <c r="TFF42">
        <f t="shared" si="253"/>
        <v>0</v>
      </c>
      <c r="TFG42">
        <f t="shared" si="253"/>
        <v>0</v>
      </c>
      <c r="TFH42">
        <f t="shared" si="253"/>
        <v>0</v>
      </c>
      <c r="TFI42">
        <f t="shared" si="253"/>
        <v>0</v>
      </c>
      <c r="TFJ42">
        <f t="shared" si="253"/>
        <v>0</v>
      </c>
      <c r="TFK42">
        <f t="shared" si="253"/>
        <v>0</v>
      </c>
      <c r="TFL42">
        <f t="shared" si="253"/>
        <v>0</v>
      </c>
      <c r="TFM42">
        <f t="shared" si="253"/>
        <v>0</v>
      </c>
      <c r="TFN42">
        <f t="shared" si="253"/>
        <v>0</v>
      </c>
      <c r="TFO42">
        <f t="shared" si="253"/>
        <v>0</v>
      </c>
      <c r="TFP42">
        <f t="shared" si="253"/>
        <v>0</v>
      </c>
      <c r="TFQ42">
        <f t="shared" si="253"/>
        <v>0</v>
      </c>
      <c r="TFR42">
        <f t="shared" ref="TFR42:TIC43" si="254">TFR41*1.6*1.2</f>
        <v>0</v>
      </c>
      <c r="TFS42">
        <f t="shared" si="254"/>
        <v>0</v>
      </c>
      <c r="TFT42">
        <f t="shared" si="254"/>
        <v>0</v>
      </c>
      <c r="TFU42">
        <f t="shared" si="254"/>
        <v>0</v>
      </c>
      <c r="TFV42">
        <f t="shared" si="254"/>
        <v>0</v>
      </c>
      <c r="TFW42">
        <f t="shared" si="254"/>
        <v>0</v>
      </c>
      <c r="TFX42">
        <f t="shared" si="254"/>
        <v>0</v>
      </c>
      <c r="TFY42">
        <f t="shared" si="254"/>
        <v>0</v>
      </c>
      <c r="TFZ42">
        <f t="shared" si="254"/>
        <v>0</v>
      </c>
      <c r="TGA42">
        <f t="shared" si="254"/>
        <v>0</v>
      </c>
      <c r="TGB42">
        <f t="shared" si="254"/>
        <v>0</v>
      </c>
      <c r="TGC42">
        <f t="shared" si="254"/>
        <v>0</v>
      </c>
      <c r="TGD42">
        <f t="shared" si="254"/>
        <v>0</v>
      </c>
      <c r="TGE42">
        <f t="shared" si="254"/>
        <v>0</v>
      </c>
      <c r="TGF42">
        <f t="shared" si="254"/>
        <v>0</v>
      </c>
      <c r="TGG42">
        <f t="shared" si="254"/>
        <v>0</v>
      </c>
      <c r="TGH42">
        <f t="shared" si="254"/>
        <v>0</v>
      </c>
      <c r="TGI42">
        <f t="shared" si="254"/>
        <v>0</v>
      </c>
      <c r="TGJ42">
        <f t="shared" si="254"/>
        <v>0</v>
      </c>
      <c r="TGK42">
        <f t="shared" si="254"/>
        <v>0</v>
      </c>
      <c r="TGL42">
        <f t="shared" si="254"/>
        <v>0</v>
      </c>
      <c r="TGM42">
        <f t="shared" si="254"/>
        <v>0</v>
      </c>
      <c r="TGN42">
        <f t="shared" si="254"/>
        <v>0</v>
      </c>
      <c r="TGO42">
        <f t="shared" si="254"/>
        <v>0</v>
      </c>
      <c r="TGP42">
        <f t="shared" si="254"/>
        <v>0</v>
      </c>
      <c r="TGQ42">
        <f t="shared" si="254"/>
        <v>0</v>
      </c>
      <c r="TGR42">
        <f t="shared" si="254"/>
        <v>0</v>
      </c>
      <c r="TGS42">
        <f t="shared" si="254"/>
        <v>0</v>
      </c>
      <c r="TGT42">
        <f t="shared" si="254"/>
        <v>0</v>
      </c>
      <c r="TGU42">
        <f t="shared" si="254"/>
        <v>0</v>
      </c>
      <c r="TGV42">
        <f t="shared" si="254"/>
        <v>0</v>
      </c>
      <c r="TGW42">
        <f t="shared" si="254"/>
        <v>0</v>
      </c>
      <c r="TGX42">
        <f t="shared" si="254"/>
        <v>0</v>
      </c>
      <c r="TGY42">
        <f t="shared" si="254"/>
        <v>0</v>
      </c>
      <c r="TGZ42">
        <f t="shared" si="254"/>
        <v>0</v>
      </c>
      <c r="THA42">
        <f t="shared" si="254"/>
        <v>0</v>
      </c>
      <c r="THB42">
        <f t="shared" si="254"/>
        <v>0</v>
      </c>
      <c r="THC42">
        <f t="shared" si="254"/>
        <v>0</v>
      </c>
      <c r="THD42">
        <f t="shared" si="254"/>
        <v>0</v>
      </c>
      <c r="THE42">
        <f t="shared" si="254"/>
        <v>0</v>
      </c>
      <c r="THF42">
        <f t="shared" si="254"/>
        <v>0</v>
      </c>
      <c r="THG42">
        <f t="shared" si="254"/>
        <v>0</v>
      </c>
      <c r="THH42">
        <f t="shared" si="254"/>
        <v>0</v>
      </c>
      <c r="THI42">
        <f t="shared" si="254"/>
        <v>0</v>
      </c>
      <c r="THJ42">
        <f t="shared" si="254"/>
        <v>0</v>
      </c>
      <c r="THK42">
        <f t="shared" si="254"/>
        <v>0</v>
      </c>
      <c r="THL42">
        <f t="shared" si="254"/>
        <v>0</v>
      </c>
      <c r="THM42">
        <f t="shared" si="254"/>
        <v>0</v>
      </c>
      <c r="THN42">
        <f t="shared" si="254"/>
        <v>0</v>
      </c>
      <c r="THO42">
        <f t="shared" si="254"/>
        <v>0</v>
      </c>
      <c r="THP42">
        <f t="shared" si="254"/>
        <v>0</v>
      </c>
      <c r="THQ42">
        <f t="shared" si="254"/>
        <v>0</v>
      </c>
      <c r="THR42">
        <f t="shared" si="254"/>
        <v>0</v>
      </c>
      <c r="THS42">
        <f t="shared" si="254"/>
        <v>0</v>
      </c>
      <c r="THT42">
        <f t="shared" si="254"/>
        <v>0</v>
      </c>
      <c r="THU42">
        <f t="shared" si="254"/>
        <v>0</v>
      </c>
      <c r="THV42">
        <f t="shared" si="254"/>
        <v>0</v>
      </c>
      <c r="THW42">
        <f t="shared" si="254"/>
        <v>0</v>
      </c>
      <c r="THX42">
        <f t="shared" si="254"/>
        <v>0</v>
      </c>
      <c r="THY42">
        <f t="shared" si="254"/>
        <v>0</v>
      </c>
      <c r="THZ42">
        <f t="shared" si="254"/>
        <v>0</v>
      </c>
      <c r="TIA42">
        <f t="shared" si="254"/>
        <v>0</v>
      </c>
      <c r="TIB42">
        <f t="shared" si="254"/>
        <v>0</v>
      </c>
      <c r="TIC42">
        <f t="shared" si="254"/>
        <v>0</v>
      </c>
      <c r="TID42">
        <f t="shared" ref="TID42:TKO43" si="255">TID41*1.6*1.2</f>
        <v>0</v>
      </c>
      <c r="TIE42">
        <f t="shared" si="255"/>
        <v>0</v>
      </c>
      <c r="TIF42">
        <f t="shared" si="255"/>
        <v>0</v>
      </c>
      <c r="TIG42">
        <f t="shared" si="255"/>
        <v>0</v>
      </c>
      <c r="TIH42">
        <f t="shared" si="255"/>
        <v>0</v>
      </c>
      <c r="TII42">
        <f t="shared" si="255"/>
        <v>0</v>
      </c>
      <c r="TIJ42">
        <f t="shared" si="255"/>
        <v>0</v>
      </c>
      <c r="TIK42">
        <f t="shared" si="255"/>
        <v>0</v>
      </c>
      <c r="TIL42">
        <f t="shared" si="255"/>
        <v>0</v>
      </c>
      <c r="TIM42">
        <f t="shared" si="255"/>
        <v>0</v>
      </c>
      <c r="TIN42">
        <f t="shared" si="255"/>
        <v>0</v>
      </c>
      <c r="TIO42">
        <f t="shared" si="255"/>
        <v>0</v>
      </c>
      <c r="TIP42">
        <f t="shared" si="255"/>
        <v>0</v>
      </c>
      <c r="TIQ42">
        <f t="shared" si="255"/>
        <v>0</v>
      </c>
      <c r="TIR42">
        <f t="shared" si="255"/>
        <v>0</v>
      </c>
      <c r="TIS42">
        <f t="shared" si="255"/>
        <v>0</v>
      </c>
      <c r="TIT42">
        <f t="shared" si="255"/>
        <v>0</v>
      </c>
      <c r="TIU42">
        <f t="shared" si="255"/>
        <v>0</v>
      </c>
      <c r="TIV42">
        <f t="shared" si="255"/>
        <v>0</v>
      </c>
      <c r="TIW42">
        <f t="shared" si="255"/>
        <v>0</v>
      </c>
      <c r="TIX42">
        <f t="shared" si="255"/>
        <v>0</v>
      </c>
      <c r="TIY42">
        <f t="shared" si="255"/>
        <v>0</v>
      </c>
      <c r="TIZ42">
        <f t="shared" si="255"/>
        <v>0</v>
      </c>
      <c r="TJA42">
        <f t="shared" si="255"/>
        <v>0</v>
      </c>
      <c r="TJB42">
        <f t="shared" si="255"/>
        <v>0</v>
      </c>
      <c r="TJC42">
        <f t="shared" si="255"/>
        <v>0</v>
      </c>
      <c r="TJD42">
        <f t="shared" si="255"/>
        <v>0</v>
      </c>
      <c r="TJE42">
        <f t="shared" si="255"/>
        <v>0</v>
      </c>
      <c r="TJF42">
        <f t="shared" si="255"/>
        <v>0</v>
      </c>
      <c r="TJG42">
        <f t="shared" si="255"/>
        <v>0</v>
      </c>
      <c r="TJH42">
        <f t="shared" si="255"/>
        <v>0</v>
      </c>
      <c r="TJI42">
        <f t="shared" si="255"/>
        <v>0</v>
      </c>
      <c r="TJJ42">
        <f t="shared" si="255"/>
        <v>0</v>
      </c>
      <c r="TJK42">
        <f t="shared" si="255"/>
        <v>0</v>
      </c>
      <c r="TJL42">
        <f t="shared" si="255"/>
        <v>0</v>
      </c>
      <c r="TJM42">
        <f t="shared" si="255"/>
        <v>0</v>
      </c>
      <c r="TJN42">
        <f t="shared" si="255"/>
        <v>0</v>
      </c>
      <c r="TJO42">
        <f t="shared" si="255"/>
        <v>0</v>
      </c>
      <c r="TJP42">
        <f t="shared" si="255"/>
        <v>0</v>
      </c>
      <c r="TJQ42">
        <f t="shared" si="255"/>
        <v>0</v>
      </c>
      <c r="TJR42">
        <f t="shared" si="255"/>
        <v>0</v>
      </c>
      <c r="TJS42">
        <f t="shared" si="255"/>
        <v>0</v>
      </c>
      <c r="TJT42">
        <f t="shared" si="255"/>
        <v>0</v>
      </c>
      <c r="TJU42">
        <f t="shared" si="255"/>
        <v>0</v>
      </c>
      <c r="TJV42">
        <f t="shared" si="255"/>
        <v>0</v>
      </c>
      <c r="TJW42">
        <f t="shared" si="255"/>
        <v>0</v>
      </c>
      <c r="TJX42">
        <f t="shared" si="255"/>
        <v>0</v>
      </c>
      <c r="TJY42">
        <f t="shared" si="255"/>
        <v>0</v>
      </c>
      <c r="TJZ42">
        <f t="shared" si="255"/>
        <v>0</v>
      </c>
      <c r="TKA42">
        <f t="shared" si="255"/>
        <v>0</v>
      </c>
      <c r="TKB42">
        <f t="shared" si="255"/>
        <v>0</v>
      </c>
      <c r="TKC42">
        <f t="shared" si="255"/>
        <v>0</v>
      </c>
      <c r="TKD42">
        <f t="shared" si="255"/>
        <v>0</v>
      </c>
      <c r="TKE42">
        <f t="shared" si="255"/>
        <v>0</v>
      </c>
      <c r="TKF42">
        <f t="shared" si="255"/>
        <v>0</v>
      </c>
      <c r="TKG42">
        <f t="shared" si="255"/>
        <v>0</v>
      </c>
      <c r="TKH42">
        <f t="shared" si="255"/>
        <v>0</v>
      </c>
      <c r="TKI42">
        <f t="shared" si="255"/>
        <v>0</v>
      </c>
      <c r="TKJ42">
        <f t="shared" si="255"/>
        <v>0</v>
      </c>
      <c r="TKK42">
        <f t="shared" si="255"/>
        <v>0</v>
      </c>
      <c r="TKL42">
        <f t="shared" si="255"/>
        <v>0</v>
      </c>
      <c r="TKM42">
        <f t="shared" si="255"/>
        <v>0</v>
      </c>
      <c r="TKN42">
        <f t="shared" si="255"/>
        <v>0</v>
      </c>
      <c r="TKO42">
        <f t="shared" si="255"/>
        <v>0</v>
      </c>
      <c r="TKP42">
        <f t="shared" ref="TKP42:TNA43" si="256">TKP41*1.6*1.2</f>
        <v>0</v>
      </c>
      <c r="TKQ42">
        <f t="shared" si="256"/>
        <v>0</v>
      </c>
      <c r="TKR42">
        <f t="shared" si="256"/>
        <v>0</v>
      </c>
      <c r="TKS42">
        <f t="shared" si="256"/>
        <v>0</v>
      </c>
      <c r="TKT42">
        <f t="shared" si="256"/>
        <v>0</v>
      </c>
      <c r="TKU42">
        <f t="shared" si="256"/>
        <v>0</v>
      </c>
      <c r="TKV42">
        <f t="shared" si="256"/>
        <v>0</v>
      </c>
      <c r="TKW42">
        <f t="shared" si="256"/>
        <v>0</v>
      </c>
      <c r="TKX42">
        <f t="shared" si="256"/>
        <v>0</v>
      </c>
      <c r="TKY42">
        <f t="shared" si="256"/>
        <v>0</v>
      </c>
      <c r="TKZ42">
        <f t="shared" si="256"/>
        <v>0</v>
      </c>
      <c r="TLA42">
        <f t="shared" si="256"/>
        <v>0</v>
      </c>
      <c r="TLB42">
        <f t="shared" si="256"/>
        <v>0</v>
      </c>
      <c r="TLC42">
        <f t="shared" si="256"/>
        <v>0</v>
      </c>
      <c r="TLD42">
        <f t="shared" si="256"/>
        <v>0</v>
      </c>
      <c r="TLE42">
        <f t="shared" si="256"/>
        <v>0</v>
      </c>
      <c r="TLF42">
        <f t="shared" si="256"/>
        <v>0</v>
      </c>
      <c r="TLG42">
        <f t="shared" si="256"/>
        <v>0</v>
      </c>
      <c r="TLH42">
        <f t="shared" si="256"/>
        <v>0</v>
      </c>
      <c r="TLI42">
        <f t="shared" si="256"/>
        <v>0</v>
      </c>
      <c r="TLJ42">
        <f t="shared" si="256"/>
        <v>0</v>
      </c>
      <c r="TLK42">
        <f t="shared" si="256"/>
        <v>0</v>
      </c>
      <c r="TLL42">
        <f t="shared" si="256"/>
        <v>0</v>
      </c>
      <c r="TLM42">
        <f t="shared" si="256"/>
        <v>0</v>
      </c>
      <c r="TLN42">
        <f t="shared" si="256"/>
        <v>0</v>
      </c>
      <c r="TLO42">
        <f t="shared" si="256"/>
        <v>0</v>
      </c>
      <c r="TLP42">
        <f t="shared" si="256"/>
        <v>0</v>
      </c>
      <c r="TLQ42">
        <f t="shared" si="256"/>
        <v>0</v>
      </c>
      <c r="TLR42">
        <f t="shared" si="256"/>
        <v>0</v>
      </c>
      <c r="TLS42">
        <f t="shared" si="256"/>
        <v>0</v>
      </c>
      <c r="TLT42">
        <f t="shared" si="256"/>
        <v>0</v>
      </c>
      <c r="TLU42">
        <f t="shared" si="256"/>
        <v>0</v>
      </c>
      <c r="TLV42">
        <f t="shared" si="256"/>
        <v>0</v>
      </c>
      <c r="TLW42">
        <f t="shared" si="256"/>
        <v>0</v>
      </c>
      <c r="TLX42">
        <f t="shared" si="256"/>
        <v>0</v>
      </c>
      <c r="TLY42">
        <f t="shared" si="256"/>
        <v>0</v>
      </c>
      <c r="TLZ42">
        <f t="shared" si="256"/>
        <v>0</v>
      </c>
      <c r="TMA42">
        <f t="shared" si="256"/>
        <v>0</v>
      </c>
      <c r="TMB42">
        <f t="shared" si="256"/>
        <v>0</v>
      </c>
      <c r="TMC42">
        <f t="shared" si="256"/>
        <v>0</v>
      </c>
      <c r="TMD42">
        <f t="shared" si="256"/>
        <v>0</v>
      </c>
      <c r="TME42">
        <f t="shared" si="256"/>
        <v>0</v>
      </c>
      <c r="TMF42">
        <f t="shared" si="256"/>
        <v>0</v>
      </c>
      <c r="TMG42">
        <f t="shared" si="256"/>
        <v>0</v>
      </c>
      <c r="TMH42">
        <f t="shared" si="256"/>
        <v>0</v>
      </c>
      <c r="TMI42">
        <f t="shared" si="256"/>
        <v>0</v>
      </c>
      <c r="TMJ42">
        <f t="shared" si="256"/>
        <v>0</v>
      </c>
      <c r="TMK42">
        <f t="shared" si="256"/>
        <v>0</v>
      </c>
      <c r="TML42">
        <f t="shared" si="256"/>
        <v>0</v>
      </c>
      <c r="TMM42">
        <f t="shared" si="256"/>
        <v>0</v>
      </c>
      <c r="TMN42">
        <f t="shared" si="256"/>
        <v>0</v>
      </c>
      <c r="TMO42">
        <f t="shared" si="256"/>
        <v>0</v>
      </c>
      <c r="TMP42">
        <f t="shared" si="256"/>
        <v>0</v>
      </c>
      <c r="TMQ42">
        <f t="shared" si="256"/>
        <v>0</v>
      </c>
      <c r="TMR42">
        <f t="shared" si="256"/>
        <v>0</v>
      </c>
      <c r="TMS42">
        <f t="shared" si="256"/>
        <v>0</v>
      </c>
      <c r="TMT42">
        <f t="shared" si="256"/>
        <v>0</v>
      </c>
      <c r="TMU42">
        <f t="shared" si="256"/>
        <v>0</v>
      </c>
      <c r="TMV42">
        <f t="shared" si="256"/>
        <v>0</v>
      </c>
      <c r="TMW42">
        <f t="shared" si="256"/>
        <v>0</v>
      </c>
      <c r="TMX42">
        <f t="shared" si="256"/>
        <v>0</v>
      </c>
      <c r="TMY42">
        <f t="shared" si="256"/>
        <v>0</v>
      </c>
      <c r="TMZ42">
        <f t="shared" si="256"/>
        <v>0</v>
      </c>
      <c r="TNA42">
        <f t="shared" si="256"/>
        <v>0</v>
      </c>
      <c r="TNB42">
        <f t="shared" ref="TNB42:TPM43" si="257">TNB41*1.6*1.2</f>
        <v>0</v>
      </c>
      <c r="TNC42">
        <f t="shared" si="257"/>
        <v>0</v>
      </c>
      <c r="TND42">
        <f t="shared" si="257"/>
        <v>0</v>
      </c>
      <c r="TNE42">
        <f t="shared" si="257"/>
        <v>0</v>
      </c>
      <c r="TNF42">
        <f t="shared" si="257"/>
        <v>0</v>
      </c>
      <c r="TNG42">
        <f t="shared" si="257"/>
        <v>0</v>
      </c>
      <c r="TNH42">
        <f t="shared" si="257"/>
        <v>0</v>
      </c>
      <c r="TNI42">
        <f t="shared" si="257"/>
        <v>0</v>
      </c>
      <c r="TNJ42">
        <f t="shared" si="257"/>
        <v>0</v>
      </c>
      <c r="TNK42">
        <f t="shared" si="257"/>
        <v>0</v>
      </c>
      <c r="TNL42">
        <f t="shared" si="257"/>
        <v>0</v>
      </c>
      <c r="TNM42">
        <f t="shared" si="257"/>
        <v>0</v>
      </c>
      <c r="TNN42">
        <f t="shared" si="257"/>
        <v>0</v>
      </c>
      <c r="TNO42">
        <f t="shared" si="257"/>
        <v>0</v>
      </c>
      <c r="TNP42">
        <f t="shared" si="257"/>
        <v>0</v>
      </c>
      <c r="TNQ42">
        <f t="shared" si="257"/>
        <v>0</v>
      </c>
      <c r="TNR42">
        <f t="shared" si="257"/>
        <v>0</v>
      </c>
      <c r="TNS42">
        <f t="shared" si="257"/>
        <v>0</v>
      </c>
      <c r="TNT42">
        <f t="shared" si="257"/>
        <v>0</v>
      </c>
      <c r="TNU42">
        <f t="shared" si="257"/>
        <v>0</v>
      </c>
      <c r="TNV42">
        <f t="shared" si="257"/>
        <v>0</v>
      </c>
      <c r="TNW42">
        <f t="shared" si="257"/>
        <v>0</v>
      </c>
      <c r="TNX42">
        <f t="shared" si="257"/>
        <v>0</v>
      </c>
      <c r="TNY42">
        <f t="shared" si="257"/>
        <v>0</v>
      </c>
      <c r="TNZ42">
        <f t="shared" si="257"/>
        <v>0</v>
      </c>
      <c r="TOA42">
        <f t="shared" si="257"/>
        <v>0</v>
      </c>
      <c r="TOB42">
        <f t="shared" si="257"/>
        <v>0</v>
      </c>
      <c r="TOC42">
        <f t="shared" si="257"/>
        <v>0</v>
      </c>
      <c r="TOD42">
        <f t="shared" si="257"/>
        <v>0</v>
      </c>
      <c r="TOE42">
        <f t="shared" si="257"/>
        <v>0</v>
      </c>
      <c r="TOF42">
        <f t="shared" si="257"/>
        <v>0</v>
      </c>
      <c r="TOG42">
        <f t="shared" si="257"/>
        <v>0</v>
      </c>
      <c r="TOH42">
        <f t="shared" si="257"/>
        <v>0</v>
      </c>
      <c r="TOI42">
        <f t="shared" si="257"/>
        <v>0</v>
      </c>
      <c r="TOJ42">
        <f t="shared" si="257"/>
        <v>0</v>
      </c>
      <c r="TOK42">
        <f t="shared" si="257"/>
        <v>0</v>
      </c>
      <c r="TOL42">
        <f t="shared" si="257"/>
        <v>0</v>
      </c>
      <c r="TOM42">
        <f t="shared" si="257"/>
        <v>0</v>
      </c>
      <c r="TON42">
        <f t="shared" si="257"/>
        <v>0</v>
      </c>
      <c r="TOO42">
        <f t="shared" si="257"/>
        <v>0</v>
      </c>
      <c r="TOP42">
        <f t="shared" si="257"/>
        <v>0</v>
      </c>
      <c r="TOQ42">
        <f t="shared" si="257"/>
        <v>0</v>
      </c>
      <c r="TOR42">
        <f t="shared" si="257"/>
        <v>0</v>
      </c>
      <c r="TOS42">
        <f t="shared" si="257"/>
        <v>0</v>
      </c>
      <c r="TOT42">
        <f t="shared" si="257"/>
        <v>0</v>
      </c>
      <c r="TOU42">
        <f t="shared" si="257"/>
        <v>0</v>
      </c>
      <c r="TOV42">
        <f t="shared" si="257"/>
        <v>0</v>
      </c>
      <c r="TOW42">
        <f t="shared" si="257"/>
        <v>0</v>
      </c>
      <c r="TOX42">
        <f t="shared" si="257"/>
        <v>0</v>
      </c>
      <c r="TOY42">
        <f t="shared" si="257"/>
        <v>0</v>
      </c>
      <c r="TOZ42">
        <f t="shared" si="257"/>
        <v>0</v>
      </c>
      <c r="TPA42">
        <f t="shared" si="257"/>
        <v>0</v>
      </c>
      <c r="TPB42">
        <f t="shared" si="257"/>
        <v>0</v>
      </c>
      <c r="TPC42">
        <f t="shared" si="257"/>
        <v>0</v>
      </c>
      <c r="TPD42">
        <f t="shared" si="257"/>
        <v>0</v>
      </c>
      <c r="TPE42">
        <f t="shared" si="257"/>
        <v>0</v>
      </c>
      <c r="TPF42">
        <f t="shared" si="257"/>
        <v>0</v>
      </c>
      <c r="TPG42">
        <f t="shared" si="257"/>
        <v>0</v>
      </c>
      <c r="TPH42">
        <f t="shared" si="257"/>
        <v>0</v>
      </c>
      <c r="TPI42">
        <f t="shared" si="257"/>
        <v>0</v>
      </c>
      <c r="TPJ42">
        <f t="shared" si="257"/>
        <v>0</v>
      </c>
      <c r="TPK42">
        <f t="shared" si="257"/>
        <v>0</v>
      </c>
      <c r="TPL42">
        <f t="shared" si="257"/>
        <v>0</v>
      </c>
      <c r="TPM42">
        <f t="shared" si="257"/>
        <v>0</v>
      </c>
      <c r="TPN42">
        <f t="shared" ref="TPN42:TRY43" si="258">TPN41*1.6*1.2</f>
        <v>0</v>
      </c>
      <c r="TPO42">
        <f t="shared" si="258"/>
        <v>0</v>
      </c>
      <c r="TPP42">
        <f t="shared" si="258"/>
        <v>0</v>
      </c>
      <c r="TPQ42">
        <f t="shared" si="258"/>
        <v>0</v>
      </c>
      <c r="TPR42">
        <f t="shared" si="258"/>
        <v>0</v>
      </c>
      <c r="TPS42">
        <f t="shared" si="258"/>
        <v>0</v>
      </c>
      <c r="TPT42">
        <f t="shared" si="258"/>
        <v>0</v>
      </c>
      <c r="TPU42">
        <f t="shared" si="258"/>
        <v>0</v>
      </c>
      <c r="TPV42">
        <f t="shared" si="258"/>
        <v>0</v>
      </c>
      <c r="TPW42">
        <f t="shared" si="258"/>
        <v>0</v>
      </c>
      <c r="TPX42">
        <f t="shared" si="258"/>
        <v>0</v>
      </c>
      <c r="TPY42">
        <f t="shared" si="258"/>
        <v>0</v>
      </c>
      <c r="TPZ42">
        <f t="shared" si="258"/>
        <v>0</v>
      </c>
      <c r="TQA42">
        <f t="shared" si="258"/>
        <v>0</v>
      </c>
      <c r="TQB42">
        <f t="shared" si="258"/>
        <v>0</v>
      </c>
      <c r="TQC42">
        <f t="shared" si="258"/>
        <v>0</v>
      </c>
      <c r="TQD42">
        <f t="shared" si="258"/>
        <v>0</v>
      </c>
      <c r="TQE42">
        <f t="shared" si="258"/>
        <v>0</v>
      </c>
      <c r="TQF42">
        <f t="shared" si="258"/>
        <v>0</v>
      </c>
      <c r="TQG42">
        <f t="shared" si="258"/>
        <v>0</v>
      </c>
      <c r="TQH42">
        <f t="shared" si="258"/>
        <v>0</v>
      </c>
      <c r="TQI42">
        <f t="shared" si="258"/>
        <v>0</v>
      </c>
      <c r="TQJ42">
        <f t="shared" si="258"/>
        <v>0</v>
      </c>
      <c r="TQK42">
        <f t="shared" si="258"/>
        <v>0</v>
      </c>
      <c r="TQL42">
        <f t="shared" si="258"/>
        <v>0</v>
      </c>
      <c r="TQM42">
        <f t="shared" si="258"/>
        <v>0</v>
      </c>
      <c r="TQN42">
        <f t="shared" si="258"/>
        <v>0</v>
      </c>
      <c r="TQO42">
        <f t="shared" si="258"/>
        <v>0</v>
      </c>
      <c r="TQP42">
        <f t="shared" si="258"/>
        <v>0</v>
      </c>
      <c r="TQQ42">
        <f t="shared" si="258"/>
        <v>0</v>
      </c>
      <c r="TQR42">
        <f t="shared" si="258"/>
        <v>0</v>
      </c>
      <c r="TQS42">
        <f t="shared" si="258"/>
        <v>0</v>
      </c>
      <c r="TQT42">
        <f t="shared" si="258"/>
        <v>0</v>
      </c>
      <c r="TQU42">
        <f t="shared" si="258"/>
        <v>0</v>
      </c>
      <c r="TQV42">
        <f t="shared" si="258"/>
        <v>0</v>
      </c>
      <c r="TQW42">
        <f t="shared" si="258"/>
        <v>0</v>
      </c>
      <c r="TQX42">
        <f t="shared" si="258"/>
        <v>0</v>
      </c>
      <c r="TQY42">
        <f t="shared" si="258"/>
        <v>0</v>
      </c>
      <c r="TQZ42">
        <f t="shared" si="258"/>
        <v>0</v>
      </c>
      <c r="TRA42">
        <f t="shared" si="258"/>
        <v>0</v>
      </c>
      <c r="TRB42">
        <f t="shared" si="258"/>
        <v>0</v>
      </c>
      <c r="TRC42">
        <f t="shared" si="258"/>
        <v>0</v>
      </c>
      <c r="TRD42">
        <f t="shared" si="258"/>
        <v>0</v>
      </c>
      <c r="TRE42">
        <f t="shared" si="258"/>
        <v>0</v>
      </c>
      <c r="TRF42">
        <f t="shared" si="258"/>
        <v>0</v>
      </c>
      <c r="TRG42">
        <f t="shared" si="258"/>
        <v>0</v>
      </c>
      <c r="TRH42">
        <f t="shared" si="258"/>
        <v>0</v>
      </c>
      <c r="TRI42">
        <f t="shared" si="258"/>
        <v>0</v>
      </c>
      <c r="TRJ42">
        <f t="shared" si="258"/>
        <v>0</v>
      </c>
      <c r="TRK42">
        <f t="shared" si="258"/>
        <v>0</v>
      </c>
      <c r="TRL42">
        <f t="shared" si="258"/>
        <v>0</v>
      </c>
      <c r="TRM42">
        <f t="shared" si="258"/>
        <v>0</v>
      </c>
      <c r="TRN42">
        <f t="shared" si="258"/>
        <v>0</v>
      </c>
      <c r="TRO42">
        <f t="shared" si="258"/>
        <v>0</v>
      </c>
      <c r="TRP42">
        <f t="shared" si="258"/>
        <v>0</v>
      </c>
      <c r="TRQ42">
        <f t="shared" si="258"/>
        <v>0</v>
      </c>
      <c r="TRR42">
        <f t="shared" si="258"/>
        <v>0</v>
      </c>
      <c r="TRS42">
        <f t="shared" si="258"/>
        <v>0</v>
      </c>
      <c r="TRT42">
        <f t="shared" si="258"/>
        <v>0</v>
      </c>
      <c r="TRU42">
        <f t="shared" si="258"/>
        <v>0</v>
      </c>
      <c r="TRV42">
        <f t="shared" si="258"/>
        <v>0</v>
      </c>
      <c r="TRW42">
        <f t="shared" si="258"/>
        <v>0</v>
      </c>
      <c r="TRX42">
        <f t="shared" si="258"/>
        <v>0</v>
      </c>
      <c r="TRY42">
        <f t="shared" si="258"/>
        <v>0</v>
      </c>
      <c r="TRZ42">
        <f t="shared" ref="TRZ42:TUK43" si="259">TRZ41*1.6*1.2</f>
        <v>0</v>
      </c>
      <c r="TSA42">
        <f t="shared" si="259"/>
        <v>0</v>
      </c>
      <c r="TSB42">
        <f t="shared" si="259"/>
        <v>0</v>
      </c>
      <c r="TSC42">
        <f t="shared" si="259"/>
        <v>0</v>
      </c>
      <c r="TSD42">
        <f t="shared" si="259"/>
        <v>0</v>
      </c>
      <c r="TSE42">
        <f t="shared" si="259"/>
        <v>0</v>
      </c>
      <c r="TSF42">
        <f t="shared" si="259"/>
        <v>0</v>
      </c>
      <c r="TSG42">
        <f t="shared" si="259"/>
        <v>0</v>
      </c>
      <c r="TSH42">
        <f t="shared" si="259"/>
        <v>0</v>
      </c>
      <c r="TSI42">
        <f t="shared" si="259"/>
        <v>0</v>
      </c>
      <c r="TSJ42">
        <f t="shared" si="259"/>
        <v>0</v>
      </c>
      <c r="TSK42">
        <f t="shared" si="259"/>
        <v>0</v>
      </c>
      <c r="TSL42">
        <f t="shared" si="259"/>
        <v>0</v>
      </c>
      <c r="TSM42">
        <f t="shared" si="259"/>
        <v>0</v>
      </c>
      <c r="TSN42">
        <f t="shared" si="259"/>
        <v>0</v>
      </c>
      <c r="TSO42">
        <f t="shared" si="259"/>
        <v>0</v>
      </c>
      <c r="TSP42">
        <f t="shared" si="259"/>
        <v>0</v>
      </c>
      <c r="TSQ42">
        <f t="shared" si="259"/>
        <v>0</v>
      </c>
      <c r="TSR42">
        <f t="shared" si="259"/>
        <v>0</v>
      </c>
      <c r="TSS42">
        <f t="shared" si="259"/>
        <v>0</v>
      </c>
      <c r="TST42">
        <f t="shared" si="259"/>
        <v>0</v>
      </c>
      <c r="TSU42">
        <f t="shared" si="259"/>
        <v>0</v>
      </c>
      <c r="TSV42">
        <f t="shared" si="259"/>
        <v>0</v>
      </c>
      <c r="TSW42">
        <f t="shared" si="259"/>
        <v>0</v>
      </c>
      <c r="TSX42">
        <f t="shared" si="259"/>
        <v>0</v>
      </c>
      <c r="TSY42">
        <f t="shared" si="259"/>
        <v>0</v>
      </c>
      <c r="TSZ42">
        <f t="shared" si="259"/>
        <v>0</v>
      </c>
      <c r="TTA42">
        <f t="shared" si="259"/>
        <v>0</v>
      </c>
      <c r="TTB42">
        <f t="shared" si="259"/>
        <v>0</v>
      </c>
      <c r="TTC42">
        <f t="shared" si="259"/>
        <v>0</v>
      </c>
      <c r="TTD42">
        <f t="shared" si="259"/>
        <v>0</v>
      </c>
      <c r="TTE42">
        <f t="shared" si="259"/>
        <v>0</v>
      </c>
      <c r="TTF42">
        <f t="shared" si="259"/>
        <v>0</v>
      </c>
      <c r="TTG42">
        <f t="shared" si="259"/>
        <v>0</v>
      </c>
      <c r="TTH42">
        <f t="shared" si="259"/>
        <v>0</v>
      </c>
      <c r="TTI42">
        <f t="shared" si="259"/>
        <v>0</v>
      </c>
      <c r="TTJ42">
        <f t="shared" si="259"/>
        <v>0</v>
      </c>
      <c r="TTK42">
        <f t="shared" si="259"/>
        <v>0</v>
      </c>
      <c r="TTL42">
        <f t="shared" si="259"/>
        <v>0</v>
      </c>
      <c r="TTM42">
        <f t="shared" si="259"/>
        <v>0</v>
      </c>
      <c r="TTN42">
        <f t="shared" si="259"/>
        <v>0</v>
      </c>
      <c r="TTO42">
        <f t="shared" si="259"/>
        <v>0</v>
      </c>
      <c r="TTP42">
        <f t="shared" si="259"/>
        <v>0</v>
      </c>
      <c r="TTQ42">
        <f t="shared" si="259"/>
        <v>0</v>
      </c>
      <c r="TTR42">
        <f t="shared" si="259"/>
        <v>0</v>
      </c>
      <c r="TTS42">
        <f t="shared" si="259"/>
        <v>0</v>
      </c>
      <c r="TTT42">
        <f t="shared" si="259"/>
        <v>0</v>
      </c>
      <c r="TTU42">
        <f t="shared" si="259"/>
        <v>0</v>
      </c>
      <c r="TTV42">
        <f t="shared" si="259"/>
        <v>0</v>
      </c>
      <c r="TTW42">
        <f t="shared" si="259"/>
        <v>0</v>
      </c>
      <c r="TTX42">
        <f t="shared" si="259"/>
        <v>0</v>
      </c>
      <c r="TTY42">
        <f t="shared" si="259"/>
        <v>0</v>
      </c>
      <c r="TTZ42">
        <f t="shared" si="259"/>
        <v>0</v>
      </c>
      <c r="TUA42">
        <f t="shared" si="259"/>
        <v>0</v>
      </c>
      <c r="TUB42">
        <f t="shared" si="259"/>
        <v>0</v>
      </c>
      <c r="TUC42">
        <f t="shared" si="259"/>
        <v>0</v>
      </c>
      <c r="TUD42">
        <f t="shared" si="259"/>
        <v>0</v>
      </c>
      <c r="TUE42">
        <f t="shared" si="259"/>
        <v>0</v>
      </c>
      <c r="TUF42">
        <f t="shared" si="259"/>
        <v>0</v>
      </c>
      <c r="TUG42">
        <f t="shared" si="259"/>
        <v>0</v>
      </c>
      <c r="TUH42">
        <f t="shared" si="259"/>
        <v>0</v>
      </c>
      <c r="TUI42">
        <f t="shared" si="259"/>
        <v>0</v>
      </c>
      <c r="TUJ42">
        <f t="shared" si="259"/>
        <v>0</v>
      </c>
      <c r="TUK42">
        <f t="shared" si="259"/>
        <v>0</v>
      </c>
      <c r="TUL42">
        <f t="shared" ref="TUL42:TWW43" si="260">TUL41*1.6*1.2</f>
        <v>0</v>
      </c>
      <c r="TUM42">
        <f t="shared" si="260"/>
        <v>0</v>
      </c>
      <c r="TUN42">
        <f t="shared" si="260"/>
        <v>0</v>
      </c>
      <c r="TUO42">
        <f t="shared" si="260"/>
        <v>0</v>
      </c>
      <c r="TUP42">
        <f t="shared" si="260"/>
        <v>0</v>
      </c>
      <c r="TUQ42">
        <f t="shared" si="260"/>
        <v>0</v>
      </c>
      <c r="TUR42">
        <f t="shared" si="260"/>
        <v>0</v>
      </c>
      <c r="TUS42">
        <f t="shared" si="260"/>
        <v>0</v>
      </c>
      <c r="TUT42">
        <f t="shared" si="260"/>
        <v>0</v>
      </c>
      <c r="TUU42">
        <f t="shared" si="260"/>
        <v>0</v>
      </c>
      <c r="TUV42">
        <f t="shared" si="260"/>
        <v>0</v>
      </c>
      <c r="TUW42">
        <f t="shared" si="260"/>
        <v>0</v>
      </c>
      <c r="TUX42">
        <f t="shared" si="260"/>
        <v>0</v>
      </c>
      <c r="TUY42">
        <f t="shared" si="260"/>
        <v>0</v>
      </c>
      <c r="TUZ42">
        <f t="shared" si="260"/>
        <v>0</v>
      </c>
      <c r="TVA42">
        <f t="shared" si="260"/>
        <v>0</v>
      </c>
      <c r="TVB42">
        <f t="shared" si="260"/>
        <v>0</v>
      </c>
      <c r="TVC42">
        <f t="shared" si="260"/>
        <v>0</v>
      </c>
      <c r="TVD42">
        <f t="shared" si="260"/>
        <v>0</v>
      </c>
      <c r="TVE42">
        <f t="shared" si="260"/>
        <v>0</v>
      </c>
      <c r="TVF42">
        <f t="shared" si="260"/>
        <v>0</v>
      </c>
      <c r="TVG42">
        <f t="shared" si="260"/>
        <v>0</v>
      </c>
      <c r="TVH42">
        <f t="shared" si="260"/>
        <v>0</v>
      </c>
      <c r="TVI42">
        <f t="shared" si="260"/>
        <v>0</v>
      </c>
      <c r="TVJ42">
        <f t="shared" si="260"/>
        <v>0</v>
      </c>
      <c r="TVK42">
        <f t="shared" si="260"/>
        <v>0</v>
      </c>
      <c r="TVL42">
        <f t="shared" si="260"/>
        <v>0</v>
      </c>
      <c r="TVM42">
        <f t="shared" si="260"/>
        <v>0</v>
      </c>
      <c r="TVN42">
        <f t="shared" si="260"/>
        <v>0</v>
      </c>
      <c r="TVO42">
        <f t="shared" si="260"/>
        <v>0</v>
      </c>
      <c r="TVP42">
        <f t="shared" si="260"/>
        <v>0</v>
      </c>
      <c r="TVQ42">
        <f t="shared" si="260"/>
        <v>0</v>
      </c>
      <c r="TVR42">
        <f t="shared" si="260"/>
        <v>0</v>
      </c>
      <c r="TVS42">
        <f t="shared" si="260"/>
        <v>0</v>
      </c>
      <c r="TVT42">
        <f t="shared" si="260"/>
        <v>0</v>
      </c>
      <c r="TVU42">
        <f t="shared" si="260"/>
        <v>0</v>
      </c>
      <c r="TVV42">
        <f t="shared" si="260"/>
        <v>0</v>
      </c>
      <c r="TVW42">
        <f t="shared" si="260"/>
        <v>0</v>
      </c>
      <c r="TVX42">
        <f t="shared" si="260"/>
        <v>0</v>
      </c>
      <c r="TVY42">
        <f t="shared" si="260"/>
        <v>0</v>
      </c>
      <c r="TVZ42">
        <f t="shared" si="260"/>
        <v>0</v>
      </c>
      <c r="TWA42">
        <f t="shared" si="260"/>
        <v>0</v>
      </c>
      <c r="TWB42">
        <f t="shared" si="260"/>
        <v>0</v>
      </c>
      <c r="TWC42">
        <f t="shared" si="260"/>
        <v>0</v>
      </c>
      <c r="TWD42">
        <f t="shared" si="260"/>
        <v>0</v>
      </c>
      <c r="TWE42">
        <f t="shared" si="260"/>
        <v>0</v>
      </c>
      <c r="TWF42">
        <f t="shared" si="260"/>
        <v>0</v>
      </c>
      <c r="TWG42">
        <f t="shared" si="260"/>
        <v>0</v>
      </c>
      <c r="TWH42">
        <f t="shared" si="260"/>
        <v>0</v>
      </c>
      <c r="TWI42">
        <f t="shared" si="260"/>
        <v>0</v>
      </c>
      <c r="TWJ42">
        <f t="shared" si="260"/>
        <v>0</v>
      </c>
      <c r="TWK42">
        <f t="shared" si="260"/>
        <v>0</v>
      </c>
      <c r="TWL42">
        <f t="shared" si="260"/>
        <v>0</v>
      </c>
      <c r="TWM42">
        <f t="shared" si="260"/>
        <v>0</v>
      </c>
      <c r="TWN42">
        <f t="shared" si="260"/>
        <v>0</v>
      </c>
      <c r="TWO42">
        <f t="shared" si="260"/>
        <v>0</v>
      </c>
      <c r="TWP42">
        <f t="shared" si="260"/>
        <v>0</v>
      </c>
      <c r="TWQ42">
        <f t="shared" si="260"/>
        <v>0</v>
      </c>
      <c r="TWR42">
        <f t="shared" si="260"/>
        <v>0</v>
      </c>
      <c r="TWS42">
        <f t="shared" si="260"/>
        <v>0</v>
      </c>
      <c r="TWT42">
        <f t="shared" si="260"/>
        <v>0</v>
      </c>
      <c r="TWU42">
        <f t="shared" si="260"/>
        <v>0</v>
      </c>
      <c r="TWV42">
        <f t="shared" si="260"/>
        <v>0</v>
      </c>
      <c r="TWW42">
        <f t="shared" si="260"/>
        <v>0</v>
      </c>
      <c r="TWX42">
        <f t="shared" ref="TWX42:TZI43" si="261">TWX41*1.6*1.2</f>
        <v>0</v>
      </c>
      <c r="TWY42">
        <f t="shared" si="261"/>
        <v>0</v>
      </c>
      <c r="TWZ42">
        <f t="shared" si="261"/>
        <v>0</v>
      </c>
      <c r="TXA42">
        <f t="shared" si="261"/>
        <v>0</v>
      </c>
      <c r="TXB42">
        <f t="shared" si="261"/>
        <v>0</v>
      </c>
      <c r="TXC42">
        <f t="shared" si="261"/>
        <v>0</v>
      </c>
      <c r="TXD42">
        <f t="shared" si="261"/>
        <v>0</v>
      </c>
      <c r="TXE42">
        <f t="shared" si="261"/>
        <v>0</v>
      </c>
      <c r="TXF42">
        <f t="shared" si="261"/>
        <v>0</v>
      </c>
      <c r="TXG42">
        <f t="shared" si="261"/>
        <v>0</v>
      </c>
      <c r="TXH42">
        <f t="shared" si="261"/>
        <v>0</v>
      </c>
      <c r="TXI42">
        <f t="shared" si="261"/>
        <v>0</v>
      </c>
      <c r="TXJ42">
        <f t="shared" si="261"/>
        <v>0</v>
      </c>
      <c r="TXK42">
        <f t="shared" si="261"/>
        <v>0</v>
      </c>
      <c r="TXL42">
        <f t="shared" si="261"/>
        <v>0</v>
      </c>
      <c r="TXM42">
        <f t="shared" si="261"/>
        <v>0</v>
      </c>
      <c r="TXN42">
        <f t="shared" si="261"/>
        <v>0</v>
      </c>
      <c r="TXO42">
        <f t="shared" si="261"/>
        <v>0</v>
      </c>
      <c r="TXP42">
        <f t="shared" si="261"/>
        <v>0</v>
      </c>
      <c r="TXQ42">
        <f t="shared" si="261"/>
        <v>0</v>
      </c>
      <c r="TXR42">
        <f t="shared" si="261"/>
        <v>0</v>
      </c>
      <c r="TXS42">
        <f t="shared" si="261"/>
        <v>0</v>
      </c>
      <c r="TXT42">
        <f t="shared" si="261"/>
        <v>0</v>
      </c>
      <c r="TXU42">
        <f t="shared" si="261"/>
        <v>0</v>
      </c>
      <c r="TXV42">
        <f t="shared" si="261"/>
        <v>0</v>
      </c>
      <c r="TXW42">
        <f t="shared" si="261"/>
        <v>0</v>
      </c>
      <c r="TXX42">
        <f t="shared" si="261"/>
        <v>0</v>
      </c>
      <c r="TXY42">
        <f t="shared" si="261"/>
        <v>0</v>
      </c>
      <c r="TXZ42">
        <f t="shared" si="261"/>
        <v>0</v>
      </c>
      <c r="TYA42">
        <f t="shared" si="261"/>
        <v>0</v>
      </c>
      <c r="TYB42">
        <f t="shared" si="261"/>
        <v>0</v>
      </c>
      <c r="TYC42">
        <f t="shared" si="261"/>
        <v>0</v>
      </c>
      <c r="TYD42">
        <f t="shared" si="261"/>
        <v>0</v>
      </c>
      <c r="TYE42">
        <f t="shared" si="261"/>
        <v>0</v>
      </c>
      <c r="TYF42">
        <f t="shared" si="261"/>
        <v>0</v>
      </c>
      <c r="TYG42">
        <f t="shared" si="261"/>
        <v>0</v>
      </c>
      <c r="TYH42">
        <f t="shared" si="261"/>
        <v>0</v>
      </c>
      <c r="TYI42">
        <f t="shared" si="261"/>
        <v>0</v>
      </c>
      <c r="TYJ42">
        <f t="shared" si="261"/>
        <v>0</v>
      </c>
      <c r="TYK42">
        <f t="shared" si="261"/>
        <v>0</v>
      </c>
      <c r="TYL42">
        <f t="shared" si="261"/>
        <v>0</v>
      </c>
      <c r="TYM42">
        <f t="shared" si="261"/>
        <v>0</v>
      </c>
      <c r="TYN42">
        <f t="shared" si="261"/>
        <v>0</v>
      </c>
      <c r="TYO42">
        <f t="shared" si="261"/>
        <v>0</v>
      </c>
      <c r="TYP42">
        <f t="shared" si="261"/>
        <v>0</v>
      </c>
      <c r="TYQ42">
        <f t="shared" si="261"/>
        <v>0</v>
      </c>
      <c r="TYR42">
        <f t="shared" si="261"/>
        <v>0</v>
      </c>
      <c r="TYS42">
        <f t="shared" si="261"/>
        <v>0</v>
      </c>
      <c r="TYT42">
        <f t="shared" si="261"/>
        <v>0</v>
      </c>
      <c r="TYU42">
        <f t="shared" si="261"/>
        <v>0</v>
      </c>
      <c r="TYV42">
        <f t="shared" si="261"/>
        <v>0</v>
      </c>
      <c r="TYW42">
        <f t="shared" si="261"/>
        <v>0</v>
      </c>
      <c r="TYX42">
        <f t="shared" si="261"/>
        <v>0</v>
      </c>
      <c r="TYY42">
        <f t="shared" si="261"/>
        <v>0</v>
      </c>
      <c r="TYZ42">
        <f t="shared" si="261"/>
        <v>0</v>
      </c>
      <c r="TZA42">
        <f t="shared" si="261"/>
        <v>0</v>
      </c>
      <c r="TZB42">
        <f t="shared" si="261"/>
        <v>0</v>
      </c>
      <c r="TZC42">
        <f t="shared" si="261"/>
        <v>0</v>
      </c>
      <c r="TZD42">
        <f t="shared" si="261"/>
        <v>0</v>
      </c>
      <c r="TZE42">
        <f t="shared" si="261"/>
        <v>0</v>
      </c>
      <c r="TZF42">
        <f t="shared" si="261"/>
        <v>0</v>
      </c>
      <c r="TZG42">
        <f t="shared" si="261"/>
        <v>0</v>
      </c>
      <c r="TZH42">
        <f t="shared" si="261"/>
        <v>0</v>
      </c>
      <c r="TZI42">
        <f t="shared" si="261"/>
        <v>0</v>
      </c>
      <c r="TZJ42">
        <f t="shared" ref="TZJ42:UBU43" si="262">TZJ41*1.6*1.2</f>
        <v>0</v>
      </c>
      <c r="TZK42">
        <f t="shared" si="262"/>
        <v>0</v>
      </c>
      <c r="TZL42">
        <f t="shared" si="262"/>
        <v>0</v>
      </c>
      <c r="TZM42">
        <f t="shared" si="262"/>
        <v>0</v>
      </c>
      <c r="TZN42">
        <f t="shared" si="262"/>
        <v>0</v>
      </c>
      <c r="TZO42">
        <f t="shared" si="262"/>
        <v>0</v>
      </c>
      <c r="TZP42">
        <f t="shared" si="262"/>
        <v>0</v>
      </c>
      <c r="TZQ42">
        <f t="shared" si="262"/>
        <v>0</v>
      </c>
      <c r="TZR42">
        <f t="shared" si="262"/>
        <v>0</v>
      </c>
      <c r="TZS42">
        <f t="shared" si="262"/>
        <v>0</v>
      </c>
      <c r="TZT42">
        <f t="shared" si="262"/>
        <v>0</v>
      </c>
      <c r="TZU42">
        <f t="shared" si="262"/>
        <v>0</v>
      </c>
      <c r="TZV42">
        <f t="shared" si="262"/>
        <v>0</v>
      </c>
      <c r="TZW42">
        <f t="shared" si="262"/>
        <v>0</v>
      </c>
      <c r="TZX42">
        <f t="shared" si="262"/>
        <v>0</v>
      </c>
      <c r="TZY42">
        <f t="shared" si="262"/>
        <v>0</v>
      </c>
      <c r="TZZ42">
        <f t="shared" si="262"/>
        <v>0</v>
      </c>
      <c r="UAA42">
        <f t="shared" si="262"/>
        <v>0</v>
      </c>
      <c r="UAB42">
        <f t="shared" si="262"/>
        <v>0</v>
      </c>
      <c r="UAC42">
        <f t="shared" si="262"/>
        <v>0</v>
      </c>
      <c r="UAD42">
        <f t="shared" si="262"/>
        <v>0</v>
      </c>
      <c r="UAE42">
        <f t="shared" si="262"/>
        <v>0</v>
      </c>
      <c r="UAF42">
        <f t="shared" si="262"/>
        <v>0</v>
      </c>
      <c r="UAG42">
        <f t="shared" si="262"/>
        <v>0</v>
      </c>
      <c r="UAH42">
        <f t="shared" si="262"/>
        <v>0</v>
      </c>
      <c r="UAI42">
        <f t="shared" si="262"/>
        <v>0</v>
      </c>
      <c r="UAJ42">
        <f t="shared" si="262"/>
        <v>0</v>
      </c>
      <c r="UAK42">
        <f t="shared" si="262"/>
        <v>0</v>
      </c>
      <c r="UAL42">
        <f t="shared" si="262"/>
        <v>0</v>
      </c>
      <c r="UAM42">
        <f t="shared" si="262"/>
        <v>0</v>
      </c>
      <c r="UAN42">
        <f t="shared" si="262"/>
        <v>0</v>
      </c>
      <c r="UAO42">
        <f t="shared" si="262"/>
        <v>0</v>
      </c>
      <c r="UAP42">
        <f t="shared" si="262"/>
        <v>0</v>
      </c>
      <c r="UAQ42">
        <f t="shared" si="262"/>
        <v>0</v>
      </c>
      <c r="UAR42">
        <f t="shared" si="262"/>
        <v>0</v>
      </c>
      <c r="UAS42">
        <f t="shared" si="262"/>
        <v>0</v>
      </c>
      <c r="UAT42">
        <f t="shared" si="262"/>
        <v>0</v>
      </c>
      <c r="UAU42">
        <f t="shared" si="262"/>
        <v>0</v>
      </c>
      <c r="UAV42">
        <f t="shared" si="262"/>
        <v>0</v>
      </c>
      <c r="UAW42">
        <f t="shared" si="262"/>
        <v>0</v>
      </c>
      <c r="UAX42">
        <f t="shared" si="262"/>
        <v>0</v>
      </c>
      <c r="UAY42">
        <f t="shared" si="262"/>
        <v>0</v>
      </c>
      <c r="UAZ42">
        <f t="shared" si="262"/>
        <v>0</v>
      </c>
      <c r="UBA42">
        <f t="shared" si="262"/>
        <v>0</v>
      </c>
      <c r="UBB42">
        <f t="shared" si="262"/>
        <v>0</v>
      </c>
      <c r="UBC42">
        <f t="shared" si="262"/>
        <v>0</v>
      </c>
      <c r="UBD42">
        <f t="shared" si="262"/>
        <v>0</v>
      </c>
      <c r="UBE42">
        <f t="shared" si="262"/>
        <v>0</v>
      </c>
      <c r="UBF42">
        <f t="shared" si="262"/>
        <v>0</v>
      </c>
      <c r="UBG42">
        <f t="shared" si="262"/>
        <v>0</v>
      </c>
      <c r="UBH42">
        <f t="shared" si="262"/>
        <v>0</v>
      </c>
      <c r="UBI42">
        <f t="shared" si="262"/>
        <v>0</v>
      </c>
      <c r="UBJ42">
        <f t="shared" si="262"/>
        <v>0</v>
      </c>
      <c r="UBK42">
        <f t="shared" si="262"/>
        <v>0</v>
      </c>
      <c r="UBL42">
        <f t="shared" si="262"/>
        <v>0</v>
      </c>
      <c r="UBM42">
        <f t="shared" si="262"/>
        <v>0</v>
      </c>
      <c r="UBN42">
        <f t="shared" si="262"/>
        <v>0</v>
      </c>
      <c r="UBO42">
        <f t="shared" si="262"/>
        <v>0</v>
      </c>
      <c r="UBP42">
        <f t="shared" si="262"/>
        <v>0</v>
      </c>
      <c r="UBQ42">
        <f t="shared" si="262"/>
        <v>0</v>
      </c>
      <c r="UBR42">
        <f t="shared" si="262"/>
        <v>0</v>
      </c>
      <c r="UBS42">
        <f t="shared" si="262"/>
        <v>0</v>
      </c>
      <c r="UBT42">
        <f t="shared" si="262"/>
        <v>0</v>
      </c>
      <c r="UBU42">
        <f t="shared" si="262"/>
        <v>0</v>
      </c>
      <c r="UBV42">
        <f t="shared" ref="UBV42:UEG43" si="263">UBV41*1.6*1.2</f>
        <v>0</v>
      </c>
      <c r="UBW42">
        <f t="shared" si="263"/>
        <v>0</v>
      </c>
      <c r="UBX42">
        <f t="shared" si="263"/>
        <v>0</v>
      </c>
      <c r="UBY42">
        <f t="shared" si="263"/>
        <v>0</v>
      </c>
      <c r="UBZ42">
        <f t="shared" si="263"/>
        <v>0</v>
      </c>
      <c r="UCA42">
        <f t="shared" si="263"/>
        <v>0</v>
      </c>
      <c r="UCB42">
        <f t="shared" si="263"/>
        <v>0</v>
      </c>
      <c r="UCC42">
        <f t="shared" si="263"/>
        <v>0</v>
      </c>
      <c r="UCD42">
        <f t="shared" si="263"/>
        <v>0</v>
      </c>
      <c r="UCE42">
        <f t="shared" si="263"/>
        <v>0</v>
      </c>
      <c r="UCF42">
        <f t="shared" si="263"/>
        <v>0</v>
      </c>
      <c r="UCG42">
        <f t="shared" si="263"/>
        <v>0</v>
      </c>
      <c r="UCH42">
        <f t="shared" si="263"/>
        <v>0</v>
      </c>
      <c r="UCI42">
        <f t="shared" si="263"/>
        <v>0</v>
      </c>
      <c r="UCJ42">
        <f t="shared" si="263"/>
        <v>0</v>
      </c>
      <c r="UCK42">
        <f t="shared" si="263"/>
        <v>0</v>
      </c>
      <c r="UCL42">
        <f t="shared" si="263"/>
        <v>0</v>
      </c>
      <c r="UCM42">
        <f t="shared" si="263"/>
        <v>0</v>
      </c>
      <c r="UCN42">
        <f t="shared" si="263"/>
        <v>0</v>
      </c>
      <c r="UCO42">
        <f t="shared" si="263"/>
        <v>0</v>
      </c>
      <c r="UCP42">
        <f t="shared" si="263"/>
        <v>0</v>
      </c>
      <c r="UCQ42">
        <f t="shared" si="263"/>
        <v>0</v>
      </c>
      <c r="UCR42">
        <f t="shared" si="263"/>
        <v>0</v>
      </c>
      <c r="UCS42">
        <f t="shared" si="263"/>
        <v>0</v>
      </c>
      <c r="UCT42">
        <f t="shared" si="263"/>
        <v>0</v>
      </c>
      <c r="UCU42">
        <f t="shared" si="263"/>
        <v>0</v>
      </c>
      <c r="UCV42">
        <f t="shared" si="263"/>
        <v>0</v>
      </c>
      <c r="UCW42">
        <f t="shared" si="263"/>
        <v>0</v>
      </c>
      <c r="UCX42">
        <f t="shared" si="263"/>
        <v>0</v>
      </c>
      <c r="UCY42">
        <f t="shared" si="263"/>
        <v>0</v>
      </c>
      <c r="UCZ42">
        <f t="shared" si="263"/>
        <v>0</v>
      </c>
      <c r="UDA42">
        <f t="shared" si="263"/>
        <v>0</v>
      </c>
      <c r="UDB42">
        <f t="shared" si="263"/>
        <v>0</v>
      </c>
      <c r="UDC42">
        <f t="shared" si="263"/>
        <v>0</v>
      </c>
      <c r="UDD42">
        <f t="shared" si="263"/>
        <v>0</v>
      </c>
      <c r="UDE42">
        <f t="shared" si="263"/>
        <v>0</v>
      </c>
      <c r="UDF42">
        <f t="shared" si="263"/>
        <v>0</v>
      </c>
      <c r="UDG42">
        <f t="shared" si="263"/>
        <v>0</v>
      </c>
      <c r="UDH42">
        <f t="shared" si="263"/>
        <v>0</v>
      </c>
      <c r="UDI42">
        <f t="shared" si="263"/>
        <v>0</v>
      </c>
      <c r="UDJ42">
        <f t="shared" si="263"/>
        <v>0</v>
      </c>
      <c r="UDK42">
        <f t="shared" si="263"/>
        <v>0</v>
      </c>
      <c r="UDL42">
        <f t="shared" si="263"/>
        <v>0</v>
      </c>
      <c r="UDM42">
        <f t="shared" si="263"/>
        <v>0</v>
      </c>
      <c r="UDN42">
        <f t="shared" si="263"/>
        <v>0</v>
      </c>
      <c r="UDO42">
        <f t="shared" si="263"/>
        <v>0</v>
      </c>
      <c r="UDP42">
        <f t="shared" si="263"/>
        <v>0</v>
      </c>
      <c r="UDQ42">
        <f t="shared" si="263"/>
        <v>0</v>
      </c>
      <c r="UDR42">
        <f t="shared" si="263"/>
        <v>0</v>
      </c>
      <c r="UDS42">
        <f t="shared" si="263"/>
        <v>0</v>
      </c>
      <c r="UDT42">
        <f t="shared" si="263"/>
        <v>0</v>
      </c>
      <c r="UDU42">
        <f t="shared" si="263"/>
        <v>0</v>
      </c>
      <c r="UDV42">
        <f t="shared" si="263"/>
        <v>0</v>
      </c>
      <c r="UDW42">
        <f t="shared" si="263"/>
        <v>0</v>
      </c>
      <c r="UDX42">
        <f t="shared" si="263"/>
        <v>0</v>
      </c>
      <c r="UDY42">
        <f t="shared" si="263"/>
        <v>0</v>
      </c>
      <c r="UDZ42">
        <f t="shared" si="263"/>
        <v>0</v>
      </c>
      <c r="UEA42">
        <f t="shared" si="263"/>
        <v>0</v>
      </c>
      <c r="UEB42">
        <f t="shared" si="263"/>
        <v>0</v>
      </c>
      <c r="UEC42">
        <f t="shared" si="263"/>
        <v>0</v>
      </c>
      <c r="UED42">
        <f t="shared" si="263"/>
        <v>0</v>
      </c>
      <c r="UEE42">
        <f t="shared" si="263"/>
        <v>0</v>
      </c>
      <c r="UEF42">
        <f t="shared" si="263"/>
        <v>0</v>
      </c>
      <c r="UEG42">
        <f t="shared" si="263"/>
        <v>0</v>
      </c>
      <c r="UEH42">
        <f t="shared" ref="UEH42:UGS43" si="264">UEH41*1.6*1.2</f>
        <v>0</v>
      </c>
      <c r="UEI42">
        <f t="shared" si="264"/>
        <v>0</v>
      </c>
      <c r="UEJ42">
        <f t="shared" si="264"/>
        <v>0</v>
      </c>
      <c r="UEK42">
        <f t="shared" si="264"/>
        <v>0</v>
      </c>
      <c r="UEL42">
        <f t="shared" si="264"/>
        <v>0</v>
      </c>
      <c r="UEM42">
        <f t="shared" si="264"/>
        <v>0</v>
      </c>
      <c r="UEN42">
        <f t="shared" si="264"/>
        <v>0</v>
      </c>
      <c r="UEO42">
        <f t="shared" si="264"/>
        <v>0</v>
      </c>
      <c r="UEP42">
        <f t="shared" si="264"/>
        <v>0</v>
      </c>
      <c r="UEQ42">
        <f t="shared" si="264"/>
        <v>0</v>
      </c>
      <c r="UER42">
        <f t="shared" si="264"/>
        <v>0</v>
      </c>
      <c r="UES42">
        <f t="shared" si="264"/>
        <v>0</v>
      </c>
      <c r="UET42">
        <f t="shared" si="264"/>
        <v>0</v>
      </c>
      <c r="UEU42">
        <f t="shared" si="264"/>
        <v>0</v>
      </c>
      <c r="UEV42">
        <f t="shared" si="264"/>
        <v>0</v>
      </c>
      <c r="UEW42">
        <f t="shared" si="264"/>
        <v>0</v>
      </c>
      <c r="UEX42">
        <f t="shared" si="264"/>
        <v>0</v>
      </c>
      <c r="UEY42">
        <f t="shared" si="264"/>
        <v>0</v>
      </c>
      <c r="UEZ42">
        <f t="shared" si="264"/>
        <v>0</v>
      </c>
      <c r="UFA42">
        <f t="shared" si="264"/>
        <v>0</v>
      </c>
      <c r="UFB42">
        <f t="shared" si="264"/>
        <v>0</v>
      </c>
      <c r="UFC42">
        <f t="shared" si="264"/>
        <v>0</v>
      </c>
      <c r="UFD42">
        <f t="shared" si="264"/>
        <v>0</v>
      </c>
      <c r="UFE42">
        <f t="shared" si="264"/>
        <v>0</v>
      </c>
      <c r="UFF42">
        <f t="shared" si="264"/>
        <v>0</v>
      </c>
      <c r="UFG42">
        <f t="shared" si="264"/>
        <v>0</v>
      </c>
      <c r="UFH42">
        <f t="shared" si="264"/>
        <v>0</v>
      </c>
      <c r="UFI42">
        <f t="shared" si="264"/>
        <v>0</v>
      </c>
      <c r="UFJ42">
        <f t="shared" si="264"/>
        <v>0</v>
      </c>
      <c r="UFK42">
        <f t="shared" si="264"/>
        <v>0</v>
      </c>
      <c r="UFL42">
        <f t="shared" si="264"/>
        <v>0</v>
      </c>
      <c r="UFM42">
        <f t="shared" si="264"/>
        <v>0</v>
      </c>
      <c r="UFN42">
        <f t="shared" si="264"/>
        <v>0</v>
      </c>
      <c r="UFO42">
        <f t="shared" si="264"/>
        <v>0</v>
      </c>
      <c r="UFP42">
        <f t="shared" si="264"/>
        <v>0</v>
      </c>
      <c r="UFQ42">
        <f t="shared" si="264"/>
        <v>0</v>
      </c>
      <c r="UFR42">
        <f t="shared" si="264"/>
        <v>0</v>
      </c>
      <c r="UFS42">
        <f t="shared" si="264"/>
        <v>0</v>
      </c>
      <c r="UFT42">
        <f t="shared" si="264"/>
        <v>0</v>
      </c>
      <c r="UFU42">
        <f t="shared" si="264"/>
        <v>0</v>
      </c>
      <c r="UFV42">
        <f t="shared" si="264"/>
        <v>0</v>
      </c>
      <c r="UFW42">
        <f t="shared" si="264"/>
        <v>0</v>
      </c>
      <c r="UFX42">
        <f t="shared" si="264"/>
        <v>0</v>
      </c>
      <c r="UFY42">
        <f t="shared" si="264"/>
        <v>0</v>
      </c>
      <c r="UFZ42">
        <f t="shared" si="264"/>
        <v>0</v>
      </c>
      <c r="UGA42">
        <f t="shared" si="264"/>
        <v>0</v>
      </c>
      <c r="UGB42">
        <f t="shared" si="264"/>
        <v>0</v>
      </c>
      <c r="UGC42">
        <f t="shared" si="264"/>
        <v>0</v>
      </c>
      <c r="UGD42">
        <f t="shared" si="264"/>
        <v>0</v>
      </c>
      <c r="UGE42">
        <f t="shared" si="264"/>
        <v>0</v>
      </c>
      <c r="UGF42">
        <f t="shared" si="264"/>
        <v>0</v>
      </c>
      <c r="UGG42">
        <f t="shared" si="264"/>
        <v>0</v>
      </c>
      <c r="UGH42">
        <f t="shared" si="264"/>
        <v>0</v>
      </c>
      <c r="UGI42">
        <f t="shared" si="264"/>
        <v>0</v>
      </c>
      <c r="UGJ42">
        <f t="shared" si="264"/>
        <v>0</v>
      </c>
      <c r="UGK42">
        <f t="shared" si="264"/>
        <v>0</v>
      </c>
      <c r="UGL42">
        <f t="shared" si="264"/>
        <v>0</v>
      </c>
      <c r="UGM42">
        <f t="shared" si="264"/>
        <v>0</v>
      </c>
      <c r="UGN42">
        <f t="shared" si="264"/>
        <v>0</v>
      </c>
      <c r="UGO42">
        <f t="shared" si="264"/>
        <v>0</v>
      </c>
      <c r="UGP42">
        <f t="shared" si="264"/>
        <v>0</v>
      </c>
      <c r="UGQ42">
        <f t="shared" si="264"/>
        <v>0</v>
      </c>
      <c r="UGR42">
        <f t="shared" si="264"/>
        <v>0</v>
      </c>
      <c r="UGS42">
        <f t="shared" si="264"/>
        <v>0</v>
      </c>
      <c r="UGT42">
        <f t="shared" ref="UGT42:UJE43" si="265">UGT41*1.6*1.2</f>
        <v>0</v>
      </c>
      <c r="UGU42">
        <f t="shared" si="265"/>
        <v>0</v>
      </c>
      <c r="UGV42">
        <f t="shared" si="265"/>
        <v>0</v>
      </c>
      <c r="UGW42">
        <f t="shared" si="265"/>
        <v>0</v>
      </c>
      <c r="UGX42">
        <f t="shared" si="265"/>
        <v>0</v>
      </c>
      <c r="UGY42">
        <f t="shared" si="265"/>
        <v>0</v>
      </c>
      <c r="UGZ42">
        <f t="shared" si="265"/>
        <v>0</v>
      </c>
      <c r="UHA42">
        <f t="shared" si="265"/>
        <v>0</v>
      </c>
      <c r="UHB42">
        <f t="shared" si="265"/>
        <v>0</v>
      </c>
      <c r="UHC42">
        <f t="shared" si="265"/>
        <v>0</v>
      </c>
      <c r="UHD42">
        <f t="shared" si="265"/>
        <v>0</v>
      </c>
      <c r="UHE42">
        <f t="shared" si="265"/>
        <v>0</v>
      </c>
      <c r="UHF42">
        <f t="shared" si="265"/>
        <v>0</v>
      </c>
      <c r="UHG42">
        <f t="shared" si="265"/>
        <v>0</v>
      </c>
      <c r="UHH42">
        <f t="shared" si="265"/>
        <v>0</v>
      </c>
      <c r="UHI42">
        <f t="shared" si="265"/>
        <v>0</v>
      </c>
      <c r="UHJ42">
        <f t="shared" si="265"/>
        <v>0</v>
      </c>
      <c r="UHK42">
        <f t="shared" si="265"/>
        <v>0</v>
      </c>
      <c r="UHL42">
        <f t="shared" si="265"/>
        <v>0</v>
      </c>
      <c r="UHM42">
        <f t="shared" si="265"/>
        <v>0</v>
      </c>
      <c r="UHN42">
        <f t="shared" si="265"/>
        <v>0</v>
      </c>
      <c r="UHO42">
        <f t="shared" si="265"/>
        <v>0</v>
      </c>
      <c r="UHP42">
        <f t="shared" si="265"/>
        <v>0</v>
      </c>
      <c r="UHQ42">
        <f t="shared" si="265"/>
        <v>0</v>
      </c>
      <c r="UHR42">
        <f t="shared" si="265"/>
        <v>0</v>
      </c>
      <c r="UHS42">
        <f t="shared" si="265"/>
        <v>0</v>
      </c>
      <c r="UHT42">
        <f t="shared" si="265"/>
        <v>0</v>
      </c>
      <c r="UHU42">
        <f t="shared" si="265"/>
        <v>0</v>
      </c>
      <c r="UHV42">
        <f t="shared" si="265"/>
        <v>0</v>
      </c>
      <c r="UHW42">
        <f t="shared" si="265"/>
        <v>0</v>
      </c>
      <c r="UHX42">
        <f t="shared" si="265"/>
        <v>0</v>
      </c>
      <c r="UHY42">
        <f t="shared" si="265"/>
        <v>0</v>
      </c>
      <c r="UHZ42">
        <f t="shared" si="265"/>
        <v>0</v>
      </c>
      <c r="UIA42">
        <f t="shared" si="265"/>
        <v>0</v>
      </c>
      <c r="UIB42">
        <f t="shared" si="265"/>
        <v>0</v>
      </c>
      <c r="UIC42">
        <f t="shared" si="265"/>
        <v>0</v>
      </c>
      <c r="UID42">
        <f t="shared" si="265"/>
        <v>0</v>
      </c>
      <c r="UIE42">
        <f t="shared" si="265"/>
        <v>0</v>
      </c>
      <c r="UIF42">
        <f t="shared" si="265"/>
        <v>0</v>
      </c>
      <c r="UIG42">
        <f t="shared" si="265"/>
        <v>0</v>
      </c>
      <c r="UIH42">
        <f t="shared" si="265"/>
        <v>0</v>
      </c>
      <c r="UII42">
        <f t="shared" si="265"/>
        <v>0</v>
      </c>
      <c r="UIJ42">
        <f t="shared" si="265"/>
        <v>0</v>
      </c>
      <c r="UIK42">
        <f t="shared" si="265"/>
        <v>0</v>
      </c>
      <c r="UIL42">
        <f t="shared" si="265"/>
        <v>0</v>
      </c>
      <c r="UIM42">
        <f t="shared" si="265"/>
        <v>0</v>
      </c>
      <c r="UIN42">
        <f t="shared" si="265"/>
        <v>0</v>
      </c>
      <c r="UIO42">
        <f t="shared" si="265"/>
        <v>0</v>
      </c>
      <c r="UIP42">
        <f t="shared" si="265"/>
        <v>0</v>
      </c>
      <c r="UIQ42">
        <f t="shared" si="265"/>
        <v>0</v>
      </c>
      <c r="UIR42">
        <f t="shared" si="265"/>
        <v>0</v>
      </c>
      <c r="UIS42">
        <f t="shared" si="265"/>
        <v>0</v>
      </c>
      <c r="UIT42">
        <f t="shared" si="265"/>
        <v>0</v>
      </c>
      <c r="UIU42">
        <f t="shared" si="265"/>
        <v>0</v>
      </c>
      <c r="UIV42">
        <f t="shared" si="265"/>
        <v>0</v>
      </c>
      <c r="UIW42">
        <f t="shared" si="265"/>
        <v>0</v>
      </c>
      <c r="UIX42">
        <f t="shared" si="265"/>
        <v>0</v>
      </c>
      <c r="UIY42">
        <f t="shared" si="265"/>
        <v>0</v>
      </c>
      <c r="UIZ42">
        <f t="shared" si="265"/>
        <v>0</v>
      </c>
      <c r="UJA42">
        <f t="shared" si="265"/>
        <v>0</v>
      </c>
      <c r="UJB42">
        <f t="shared" si="265"/>
        <v>0</v>
      </c>
      <c r="UJC42">
        <f t="shared" si="265"/>
        <v>0</v>
      </c>
      <c r="UJD42">
        <f t="shared" si="265"/>
        <v>0</v>
      </c>
      <c r="UJE42">
        <f t="shared" si="265"/>
        <v>0</v>
      </c>
      <c r="UJF42">
        <f t="shared" ref="UJF42:ULQ43" si="266">UJF41*1.6*1.2</f>
        <v>0</v>
      </c>
      <c r="UJG42">
        <f t="shared" si="266"/>
        <v>0</v>
      </c>
      <c r="UJH42">
        <f t="shared" si="266"/>
        <v>0</v>
      </c>
      <c r="UJI42">
        <f t="shared" si="266"/>
        <v>0</v>
      </c>
      <c r="UJJ42">
        <f t="shared" si="266"/>
        <v>0</v>
      </c>
      <c r="UJK42">
        <f t="shared" si="266"/>
        <v>0</v>
      </c>
      <c r="UJL42">
        <f t="shared" si="266"/>
        <v>0</v>
      </c>
      <c r="UJM42">
        <f t="shared" si="266"/>
        <v>0</v>
      </c>
      <c r="UJN42">
        <f t="shared" si="266"/>
        <v>0</v>
      </c>
      <c r="UJO42">
        <f t="shared" si="266"/>
        <v>0</v>
      </c>
      <c r="UJP42">
        <f t="shared" si="266"/>
        <v>0</v>
      </c>
      <c r="UJQ42">
        <f t="shared" si="266"/>
        <v>0</v>
      </c>
      <c r="UJR42">
        <f t="shared" si="266"/>
        <v>0</v>
      </c>
      <c r="UJS42">
        <f t="shared" si="266"/>
        <v>0</v>
      </c>
      <c r="UJT42">
        <f t="shared" si="266"/>
        <v>0</v>
      </c>
      <c r="UJU42">
        <f t="shared" si="266"/>
        <v>0</v>
      </c>
      <c r="UJV42">
        <f t="shared" si="266"/>
        <v>0</v>
      </c>
      <c r="UJW42">
        <f t="shared" si="266"/>
        <v>0</v>
      </c>
      <c r="UJX42">
        <f t="shared" si="266"/>
        <v>0</v>
      </c>
      <c r="UJY42">
        <f t="shared" si="266"/>
        <v>0</v>
      </c>
      <c r="UJZ42">
        <f t="shared" si="266"/>
        <v>0</v>
      </c>
      <c r="UKA42">
        <f t="shared" si="266"/>
        <v>0</v>
      </c>
      <c r="UKB42">
        <f t="shared" si="266"/>
        <v>0</v>
      </c>
      <c r="UKC42">
        <f t="shared" si="266"/>
        <v>0</v>
      </c>
      <c r="UKD42">
        <f t="shared" si="266"/>
        <v>0</v>
      </c>
      <c r="UKE42">
        <f t="shared" si="266"/>
        <v>0</v>
      </c>
      <c r="UKF42">
        <f t="shared" si="266"/>
        <v>0</v>
      </c>
      <c r="UKG42">
        <f t="shared" si="266"/>
        <v>0</v>
      </c>
      <c r="UKH42">
        <f t="shared" si="266"/>
        <v>0</v>
      </c>
      <c r="UKI42">
        <f t="shared" si="266"/>
        <v>0</v>
      </c>
      <c r="UKJ42">
        <f t="shared" si="266"/>
        <v>0</v>
      </c>
      <c r="UKK42">
        <f t="shared" si="266"/>
        <v>0</v>
      </c>
      <c r="UKL42">
        <f t="shared" si="266"/>
        <v>0</v>
      </c>
      <c r="UKM42">
        <f t="shared" si="266"/>
        <v>0</v>
      </c>
      <c r="UKN42">
        <f t="shared" si="266"/>
        <v>0</v>
      </c>
      <c r="UKO42">
        <f t="shared" si="266"/>
        <v>0</v>
      </c>
      <c r="UKP42">
        <f t="shared" si="266"/>
        <v>0</v>
      </c>
      <c r="UKQ42">
        <f t="shared" si="266"/>
        <v>0</v>
      </c>
      <c r="UKR42">
        <f t="shared" si="266"/>
        <v>0</v>
      </c>
      <c r="UKS42">
        <f t="shared" si="266"/>
        <v>0</v>
      </c>
      <c r="UKT42">
        <f t="shared" si="266"/>
        <v>0</v>
      </c>
      <c r="UKU42">
        <f t="shared" si="266"/>
        <v>0</v>
      </c>
      <c r="UKV42">
        <f t="shared" si="266"/>
        <v>0</v>
      </c>
      <c r="UKW42">
        <f t="shared" si="266"/>
        <v>0</v>
      </c>
      <c r="UKX42">
        <f t="shared" si="266"/>
        <v>0</v>
      </c>
      <c r="UKY42">
        <f t="shared" si="266"/>
        <v>0</v>
      </c>
      <c r="UKZ42">
        <f t="shared" si="266"/>
        <v>0</v>
      </c>
      <c r="ULA42">
        <f t="shared" si="266"/>
        <v>0</v>
      </c>
      <c r="ULB42">
        <f t="shared" si="266"/>
        <v>0</v>
      </c>
      <c r="ULC42">
        <f t="shared" si="266"/>
        <v>0</v>
      </c>
      <c r="ULD42">
        <f t="shared" si="266"/>
        <v>0</v>
      </c>
      <c r="ULE42">
        <f t="shared" si="266"/>
        <v>0</v>
      </c>
      <c r="ULF42">
        <f t="shared" si="266"/>
        <v>0</v>
      </c>
      <c r="ULG42">
        <f t="shared" si="266"/>
        <v>0</v>
      </c>
      <c r="ULH42">
        <f t="shared" si="266"/>
        <v>0</v>
      </c>
      <c r="ULI42">
        <f t="shared" si="266"/>
        <v>0</v>
      </c>
      <c r="ULJ42">
        <f t="shared" si="266"/>
        <v>0</v>
      </c>
      <c r="ULK42">
        <f t="shared" si="266"/>
        <v>0</v>
      </c>
      <c r="ULL42">
        <f t="shared" si="266"/>
        <v>0</v>
      </c>
      <c r="ULM42">
        <f t="shared" si="266"/>
        <v>0</v>
      </c>
      <c r="ULN42">
        <f t="shared" si="266"/>
        <v>0</v>
      </c>
      <c r="ULO42">
        <f t="shared" si="266"/>
        <v>0</v>
      </c>
      <c r="ULP42">
        <f t="shared" si="266"/>
        <v>0</v>
      </c>
      <c r="ULQ42">
        <f t="shared" si="266"/>
        <v>0</v>
      </c>
      <c r="ULR42">
        <f t="shared" ref="ULR42:UOC43" si="267">ULR41*1.6*1.2</f>
        <v>0</v>
      </c>
      <c r="ULS42">
        <f t="shared" si="267"/>
        <v>0</v>
      </c>
      <c r="ULT42">
        <f t="shared" si="267"/>
        <v>0</v>
      </c>
      <c r="ULU42">
        <f t="shared" si="267"/>
        <v>0</v>
      </c>
      <c r="ULV42">
        <f t="shared" si="267"/>
        <v>0</v>
      </c>
      <c r="ULW42">
        <f t="shared" si="267"/>
        <v>0</v>
      </c>
      <c r="ULX42">
        <f t="shared" si="267"/>
        <v>0</v>
      </c>
      <c r="ULY42">
        <f t="shared" si="267"/>
        <v>0</v>
      </c>
      <c r="ULZ42">
        <f t="shared" si="267"/>
        <v>0</v>
      </c>
      <c r="UMA42">
        <f t="shared" si="267"/>
        <v>0</v>
      </c>
      <c r="UMB42">
        <f t="shared" si="267"/>
        <v>0</v>
      </c>
      <c r="UMC42">
        <f t="shared" si="267"/>
        <v>0</v>
      </c>
      <c r="UMD42">
        <f t="shared" si="267"/>
        <v>0</v>
      </c>
      <c r="UME42">
        <f t="shared" si="267"/>
        <v>0</v>
      </c>
      <c r="UMF42">
        <f t="shared" si="267"/>
        <v>0</v>
      </c>
      <c r="UMG42">
        <f t="shared" si="267"/>
        <v>0</v>
      </c>
      <c r="UMH42">
        <f t="shared" si="267"/>
        <v>0</v>
      </c>
      <c r="UMI42">
        <f t="shared" si="267"/>
        <v>0</v>
      </c>
      <c r="UMJ42">
        <f t="shared" si="267"/>
        <v>0</v>
      </c>
      <c r="UMK42">
        <f t="shared" si="267"/>
        <v>0</v>
      </c>
      <c r="UML42">
        <f t="shared" si="267"/>
        <v>0</v>
      </c>
      <c r="UMM42">
        <f t="shared" si="267"/>
        <v>0</v>
      </c>
      <c r="UMN42">
        <f t="shared" si="267"/>
        <v>0</v>
      </c>
      <c r="UMO42">
        <f t="shared" si="267"/>
        <v>0</v>
      </c>
      <c r="UMP42">
        <f t="shared" si="267"/>
        <v>0</v>
      </c>
      <c r="UMQ42">
        <f t="shared" si="267"/>
        <v>0</v>
      </c>
      <c r="UMR42">
        <f t="shared" si="267"/>
        <v>0</v>
      </c>
      <c r="UMS42">
        <f t="shared" si="267"/>
        <v>0</v>
      </c>
      <c r="UMT42">
        <f t="shared" si="267"/>
        <v>0</v>
      </c>
      <c r="UMU42">
        <f t="shared" si="267"/>
        <v>0</v>
      </c>
      <c r="UMV42">
        <f t="shared" si="267"/>
        <v>0</v>
      </c>
      <c r="UMW42">
        <f t="shared" si="267"/>
        <v>0</v>
      </c>
      <c r="UMX42">
        <f t="shared" si="267"/>
        <v>0</v>
      </c>
      <c r="UMY42">
        <f t="shared" si="267"/>
        <v>0</v>
      </c>
      <c r="UMZ42">
        <f t="shared" si="267"/>
        <v>0</v>
      </c>
      <c r="UNA42">
        <f t="shared" si="267"/>
        <v>0</v>
      </c>
      <c r="UNB42">
        <f t="shared" si="267"/>
        <v>0</v>
      </c>
      <c r="UNC42">
        <f t="shared" si="267"/>
        <v>0</v>
      </c>
      <c r="UND42">
        <f t="shared" si="267"/>
        <v>0</v>
      </c>
      <c r="UNE42">
        <f t="shared" si="267"/>
        <v>0</v>
      </c>
      <c r="UNF42">
        <f t="shared" si="267"/>
        <v>0</v>
      </c>
      <c r="UNG42">
        <f t="shared" si="267"/>
        <v>0</v>
      </c>
      <c r="UNH42">
        <f t="shared" si="267"/>
        <v>0</v>
      </c>
      <c r="UNI42">
        <f t="shared" si="267"/>
        <v>0</v>
      </c>
      <c r="UNJ42">
        <f t="shared" si="267"/>
        <v>0</v>
      </c>
      <c r="UNK42">
        <f t="shared" si="267"/>
        <v>0</v>
      </c>
      <c r="UNL42">
        <f t="shared" si="267"/>
        <v>0</v>
      </c>
      <c r="UNM42">
        <f t="shared" si="267"/>
        <v>0</v>
      </c>
      <c r="UNN42">
        <f t="shared" si="267"/>
        <v>0</v>
      </c>
      <c r="UNO42">
        <f t="shared" si="267"/>
        <v>0</v>
      </c>
      <c r="UNP42">
        <f t="shared" si="267"/>
        <v>0</v>
      </c>
      <c r="UNQ42">
        <f t="shared" si="267"/>
        <v>0</v>
      </c>
      <c r="UNR42">
        <f t="shared" si="267"/>
        <v>0</v>
      </c>
      <c r="UNS42">
        <f t="shared" si="267"/>
        <v>0</v>
      </c>
      <c r="UNT42">
        <f t="shared" si="267"/>
        <v>0</v>
      </c>
      <c r="UNU42">
        <f t="shared" si="267"/>
        <v>0</v>
      </c>
      <c r="UNV42">
        <f t="shared" si="267"/>
        <v>0</v>
      </c>
      <c r="UNW42">
        <f t="shared" si="267"/>
        <v>0</v>
      </c>
      <c r="UNX42">
        <f t="shared" si="267"/>
        <v>0</v>
      </c>
      <c r="UNY42">
        <f t="shared" si="267"/>
        <v>0</v>
      </c>
      <c r="UNZ42">
        <f t="shared" si="267"/>
        <v>0</v>
      </c>
      <c r="UOA42">
        <f t="shared" si="267"/>
        <v>0</v>
      </c>
      <c r="UOB42">
        <f t="shared" si="267"/>
        <v>0</v>
      </c>
      <c r="UOC42">
        <f t="shared" si="267"/>
        <v>0</v>
      </c>
      <c r="UOD42">
        <f t="shared" ref="UOD42:UQO43" si="268">UOD41*1.6*1.2</f>
        <v>0</v>
      </c>
      <c r="UOE42">
        <f t="shared" si="268"/>
        <v>0</v>
      </c>
      <c r="UOF42">
        <f t="shared" si="268"/>
        <v>0</v>
      </c>
      <c r="UOG42">
        <f t="shared" si="268"/>
        <v>0</v>
      </c>
      <c r="UOH42">
        <f t="shared" si="268"/>
        <v>0</v>
      </c>
      <c r="UOI42">
        <f t="shared" si="268"/>
        <v>0</v>
      </c>
      <c r="UOJ42">
        <f t="shared" si="268"/>
        <v>0</v>
      </c>
      <c r="UOK42">
        <f t="shared" si="268"/>
        <v>0</v>
      </c>
      <c r="UOL42">
        <f t="shared" si="268"/>
        <v>0</v>
      </c>
      <c r="UOM42">
        <f t="shared" si="268"/>
        <v>0</v>
      </c>
      <c r="UON42">
        <f t="shared" si="268"/>
        <v>0</v>
      </c>
      <c r="UOO42">
        <f t="shared" si="268"/>
        <v>0</v>
      </c>
      <c r="UOP42">
        <f t="shared" si="268"/>
        <v>0</v>
      </c>
      <c r="UOQ42">
        <f t="shared" si="268"/>
        <v>0</v>
      </c>
      <c r="UOR42">
        <f t="shared" si="268"/>
        <v>0</v>
      </c>
      <c r="UOS42">
        <f t="shared" si="268"/>
        <v>0</v>
      </c>
      <c r="UOT42">
        <f t="shared" si="268"/>
        <v>0</v>
      </c>
      <c r="UOU42">
        <f t="shared" si="268"/>
        <v>0</v>
      </c>
      <c r="UOV42">
        <f t="shared" si="268"/>
        <v>0</v>
      </c>
      <c r="UOW42">
        <f t="shared" si="268"/>
        <v>0</v>
      </c>
      <c r="UOX42">
        <f t="shared" si="268"/>
        <v>0</v>
      </c>
      <c r="UOY42">
        <f t="shared" si="268"/>
        <v>0</v>
      </c>
      <c r="UOZ42">
        <f t="shared" si="268"/>
        <v>0</v>
      </c>
      <c r="UPA42">
        <f t="shared" si="268"/>
        <v>0</v>
      </c>
      <c r="UPB42">
        <f t="shared" si="268"/>
        <v>0</v>
      </c>
      <c r="UPC42">
        <f t="shared" si="268"/>
        <v>0</v>
      </c>
      <c r="UPD42">
        <f t="shared" si="268"/>
        <v>0</v>
      </c>
      <c r="UPE42">
        <f t="shared" si="268"/>
        <v>0</v>
      </c>
      <c r="UPF42">
        <f t="shared" si="268"/>
        <v>0</v>
      </c>
      <c r="UPG42">
        <f t="shared" si="268"/>
        <v>0</v>
      </c>
      <c r="UPH42">
        <f t="shared" si="268"/>
        <v>0</v>
      </c>
      <c r="UPI42">
        <f t="shared" si="268"/>
        <v>0</v>
      </c>
      <c r="UPJ42">
        <f t="shared" si="268"/>
        <v>0</v>
      </c>
      <c r="UPK42">
        <f t="shared" si="268"/>
        <v>0</v>
      </c>
      <c r="UPL42">
        <f t="shared" si="268"/>
        <v>0</v>
      </c>
      <c r="UPM42">
        <f t="shared" si="268"/>
        <v>0</v>
      </c>
      <c r="UPN42">
        <f t="shared" si="268"/>
        <v>0</v>
      </c>
      <c r="UPO42">
        <f t="shared" si="268"/>
        <v>0</v>
      </c>
      <c r="UPP42">
        <f t="shared" si="268"/>
        <v>0</v>
      </c>
      <c r="UPQ42">
        <f t="shared" si="268"/>
        <v>0</v>
      </c>
      <c r="UPR42">
        <f t="shared" si="268"/>
        <v>0</v>
      </c>
      <c r="UPS42">
        <f t="shared" si="268"/>
        <v>0</v>
      </c>
      <c r="UPT42">
        <f t="shared" si="268"/>
        <v>0</v>
      </c>
      <c r="UPU42">
        <f t="shared" si="268"/>
        <v>0</v>
      </c>
      <c r="UPV42">
        <f t="shared" si="268"/>
        <v>0</v>
      </c>
      <c r="UPW42">
        <f t="shared" si="268"/>
        <v>0</v>
      </c>
      <c r="UPX42">
        <f t="shared" si="268"/>
        <v>0</v>
      </c>
      <c r="UPY42">
        <f t="shared" si="268"/>
        <v>0</v>
      </c>
      <c r="UPZ42">
        <f t="shared" si="268"/>
        <v>0</v>
      </c>
      <c r="UQA42">
        <f t="shared" si="268"/>
        <v>0</v>
      </c>
      <c r="UQB42">
        <f t="shared" si="268"/>
        <v>0</v>
      </c>
      <c r="UQC42">
        <f t="shared" si="268"/>
        <v>0</v>
      </c>
      <c r="UQD42">
        <f t="shared" si="268"/>
        <v>0</v>
      </c>
      <c r="UQE42">
        <f t="shared" si="268"/>
        <v>0</v>
      </c>
      <c r="UQF42">
        <f t="shared" si="268"/>
        <v>0</v>
      </c>
      <c r="UQG42">
        <f t="shared" si="268"/>
        <v>0</v>
      </c>
      <c r="UQH42">
        <f t="shared" si="268"/>
        <v>0</v>
      </c>
      <c r="UQI42">
        <f t="shared" si="268"/>
        <v>0</v>
      </c>
      <c r="UQJ42">
        <f t="shared" si="268"/>
        <v>0</v>
      </c>
      <c r="UQK42">
        <f t="shared" si="268"/>
        <v>0</v>
      </c>
      <c r="UQL42">
        <f t="shared" si="268"/>
        <v>0</v>
      </c>
      <c r="UQM42">
        <f t="shared" si="268"/>
        <v>0</v>
      </c>
      <c r="UQN42">
        <f t="shared" si="268"/>
        <v>0</v>
      </c>
      <c r="UQO42">
        <f t="shared" si="268"/>
        <v>0</v>
      </c>
      <c r="UQP42">
        <f t="shared" ref="UQP42:UTA43" si="269">UQP41*1.6*1.2</f>
        <v>0</v>
      </c>
      <c r="UQQ42">
        <f t="shared" si="269"/>
        <v>0</v>
      </c>
      <c r="UQR42">
        <f t="shared" si="269"/>
        <v>0</v>
      </c>
      <c r="UQS42">
        <f t="shared" si="269"/>
        <v>0</v>
      </c>
      <c r="UQT42">
        <f t="shared" si="269"/>
        <v>0</v>
      </c>
      <c r="UQU42">
        <f t="shared" si="269"/>
        <v>0</v>
      </c>
      <c r="UQV42">
        <f t="shared" si="269"/>
        <v>0</v>
      </c>
      <c r="UQW42">
        <f t="shared" si="269"/>
        <v>0</v>
      </c>
      <c r="UQX42">
        <f t="shared" si="269"/>
        <v>0</v>
      </c>
      <c r="UQY42">
        <f t="shared" si="269"/>
        <v>0</v>
      </c>
      <c r="UQZ42">
        <f t="shared" si="269"/>
        <v>0</v>
      </c>
      <c r="URA42">
        <f t="shared" si="269"/>
        <v>0</v>
      </c>
      <c r="URB42">
        <f t="shared" si="269"/>
        <v>0</v>
      </c>
      <c r="URC42">
        <f t="shared" si="269"/>
        <v>0</v>
      </c>
      <c r="URD42">
        <f t="shared" si="269"/>
        <v>0</v>
      </c>
      <c r="URE42">
        <f t="shared" si="269"/>
        <v>0</v>
      </c>
      <c r="URF42">
        <f t="shared" si="269"/>
        <v>0</v>
      </c>
      <c r="URG42">
        <f t="shared" si="269"/>
        <v>0</v>
      </c>
      <c r="URH42">
        <f t="shared" si="269"/>
        <v>0</v>
      </c>
      <c r="URI42">
        <f t="shared" si="269"/>
        <v>0</v>
      </c>
      <c r="URJ42">
        <f t="shared" si="269"/>
        <v>0</v>
      </c>
      <c r="URK42">
        <f t="shared" si="269"/>
        <v>0</v>
      </c>
      <c r="URL42">
        <f t="shared" si="269"/>
        <v>0</v>
      </c>
      <c r="URM42">
        <f t="shared" si="269"/>
        <v>0</v>
      </c>
      <c r="URN42">
        <f t="shared" si="269"/>
        <v>0</v>
      </c>
      <c r="URO42">
        <f t="shared" si="269"/>
        <v>0</v>
      </c>
      <c r="URP42">
        <f t="shared" si="269"/>
        <v>0</v>
      </c>
      <c r="URQ42">
        <f t="shared" si="269"/>
        <v>0</v>
      </c>
      <c r="URR42">
        <f t="shared" si="269"/>
        <v>0</v>
      </c>
      <c r="URS42">
        <f t="shared" si="269"/>
        <v>0</v>
      </c>
      <c r="URT42">
        <f t="shared" si="269"/>
        <v>0</v>
      </c>
      <c r="URU42">
        <f t="shared" si="269"/>
        <v>0</v>
      </c>
      <c r="URV42">
        <f t="shared" si="269"/>
        <v>0</v>
      </c>
      <c r="URW42">
        <f t="shared" si="269"/>
        <v>0</v>
      </c>
      <c r="URX42">
        <f t="shared" si="269"/>
        <v>0</v>
      </c>
      <c r="URY42">
        <f t="shared" si="269"/>
        <v>0</v>
      </c>
      <c r="URZ42">
        <f t="shared" si="269"/>
        <v>0</v>
      </c>
      <c r="USA42">
        <f t="shared" si="269"/>
        <v>0</v>
      </c>
      <c r="USB42">
        <f t="shared" si="269"/>
        <v>0</v>
      </c>
      <c r="USC42">
        <f t="shared" si="269"/>
        <v>0</v>
      </c>
      <c r="USD42">
        <f t="shared" si="269"/>
        <v>0</v>
      </c>
      <c r="USE42">
        <f t="shared" si="269"/>
        <v>0</v>
      </c>
      <c r="USF42">
        <f t="shared" si="269"/>
        <v>0</v>
      </c>
      <c r="USG42">
        <f t="shared" si="269"/>
        <v>0</v>
      </c>
      <c r="USH42">
        <f t="shared" si="269"/>
        <v>0</v>
      </c>
      <c r="USI42">
        <f t="shared" si="269"/>
        <v>0</v>
      </c>
      <c r="USJ42">
        <f t="shared" si="269"/>
        <v>0</v>
      </c>
      <c r="USK42">
        <f t="shared" si="269"/>
        <v>0</v>
      </c>
      <c r="USL42">
        <f t="shared" si="269"/>
        <v>0</v>
      </c>
      <c r="USM42">
        <f t="shared" si="269"/>
        <v>0</v>
      </c>
      <c r="USN42">
        <f t="shared" si="269"/>
        <v>0</v>
      </c>
      <c r="USO42">
        <f t="shared" si="269"/>
        <v>0</v>
      </c>
      <c r="USP42">
        <f t="shared" si="269"/>
        <v>0</v>
      </c>
      <c r="USQ42">
        <f t="shared" si="269"/>
        <v>0</v>
      </c>
      <c r="USR42">
        <f t="shared" si="269"/>
        <v>0</v>
      </c>
      <c r="USS42">
        <f t="shared" si="269"/>
        <v>0</v>
      </c>
      <c r="UST42">
        <f t="shared" si="269"/>
        <v>0</v>
      </c>
      <c r="USU42">
        <f t="shared" si="269"/>
        <v>0</v>
      </c>
      <c r="USV42">
        <f t="shared" si="269"/>
        <v>0</v>
      </c>
      <c r="USW42">
        <f t="shared" si="269"/>
        <v>0</v>
      </c>
      <c r="USX42">
        <f t="shared" si="269"/>
        <v>0</v>
      </c>
      <c r="USY42">
        <f t="shared" si="269"/>
        <v>0</v>
      </c>
      <c r="USZ42">
        <f t="shared" si="269"/>
        <v>0</v>
      </c>
      <c r="UTA42">
        <f t="shared" si="269"/>
        <v>0</v>
      </c>
      <c r="UTB42">
        <f t="shared" ref="UTB42:UVM43" si="270">UTB41*1.6*1.2</f>
        <v>0</v>
      </c>
      <c r="UTC42">
        <f t="shared" si="270"/>
        <v>0</v>
      </c>
      <c r="UTD42">
        <f t="shared" si="270"/>
        <v>0</v>
      </c>
      <c r="UTE42">
        <f t="shared" si="270"/>
        <v>0</v>
      </c>
      <c r="UTF42">
        <f t="shared" si="270"/>
        <v>0</v>
      </c>
      <c r="UTG42">
        <f t="shared" si="270"/>
        <v>0</v>
      </c>
      <c r="UTH42">
        <f t="shared" si="270"/>
        <v>0</v>
      </c>
      <c r="UTI42">
        <f t="shared" si="270"/>
        <v>0</v>
      </c>
      <c r="UTJ42">
        <f t="shared" si="270"/>
        <v>0</v>
      </c>
      <c r="UTK42">
        <f t="shared" si="270"/>
        <v>0</v>
      </c>
      <c r="UTL42">
        <f t="shared" si="270"/>
        <v>0</v>
      </c>
      <c r="UTM42">
        <f t="shared" si="270"/>
        <v>0</v>
      </c>
      <c r="UTN42">
        <f t="shared" si="270"/>
        <v>0</v>
      </c>
      <c r="UTO42">
        <f t="shared" si="270"/>
        <v>0</v>
      </c>
      <c r="UTP42">
        <f t="shared" si="270"/>
        <v>0</v>
      </c>
      <c r="UTQ42">
        <f t="shared" si="270"/>
        <v>0</v>
      </c>
      <c r="UTR42">
        <f t="shared" si="270"/>
        <v>0</v>
      </c>
      <c r="UTS42">
        <f t="shared" si="270"/>
        <v>0</v>
      </c>
      <c r="UTT42">
        <f t="shared" si="270"/>
        <v>0</v>
      </c>
      <c r="UTU42">
        <f t="shared" si="270"/>
        <v>0</v>
      </c>
      <c r="UTV42">
        <f t="shared" si="270"/>
        <v>0</v>
      </c>
      <c r="UTW42">
        <f t="shared" si="270"/>
        <v>0</v>
      </c>
      <c r="UTX42">
        <f t="shared" si="270"/>
        <v>0</v>
      </c>
      <c r="UTY42">
        <f t="shared" si="270"/>
        <v>0</v>
      </c>
      <c r="UTZ42">
        <f t="shared" si="270"/>
        <v>0</v>
      </c>
      <c r="UUA42">
        <f t="shared" si="270"/>
        <v>0</v>
      </c>
      <c r="UUB42">
        <f t="shared" si="270"/>
        <v>0</v>
      </c>
      <c r="UUC42">
        <f t="shared" si="270"/>
        <v>0</v>
      </c>
      <c r="UUD42">
        <f t="shared" si="270"/>
        <v>0</v>
      </c>
      <c r="UUE42">
        <f t="shared" si="270"/>
        <v>0</v>
      </c>
      <c r="UUF42">
        <f t="shared" si="270"/>
        <v>0</v>
      </c>
      <c r="UUG42">
        <f t="shared" si="270"/>
        <v>0</v>
      </c>
      <c r="UUH42">
        <f t="shared" si="270"/>
        <v>0</v>
      </c>
      <c r="UUI42">
        <f t="shared" si="270"/>
        <v>0</v>
      </c>
      <c r="UUJ42">
        <f t="shared" si="270"/>
        <v>0</v>
      </c>
      <c r="UUK42">
        <f t="shared" si="270"/>
        <v>0</v>
      </c>
      <c r="UUL42">
        <f t="shared" si="270"/>
        <v>0</v>
      </c>
      <c r="UUM42">
        <f t="shared" si="270"/>
        <v>0</v>
      </c>
      <c r="UUN42">
        <f t="shared" si="270"/>
        <v>0</v>
      </c>
      <c r="UUO42">
        <f t="shared" si="270"/>
        <v>0</v>
      </c>
      <c r="UUP42">
        <f t="shared" si="270"/>
        <v>0</v>
      </c>
      <c r="UUQ42">
        <f t="shared" si="270"/>
        <v>0</v>
      </c>
      <c r="UUR42">
        <f t="shared" si="270"/>
        <v>0</v>
      </c>
      <c r="UUS42">
        <f t="shared" si="270"/>
        <v>0</v>
      </c>
      <c r="UUT42">
        <f t="shared" si="270"/>
        <v>0</v>
      </c>
      <c r="UUU42">
        <f t="shared" si="270"/>
        <v>0</v>
      </c>
      <c r="UUV42">
        <f t="shared" si="270"/>
        <v>0</v>
      </c>
      <c r="UUW42">
        <f t="shared" si="270"/>
        <v>0</v>
      </c>
      <c r="UUX42">
        <f t="shared" si="270"/>
        <v>0</v>
      </c>
      <c r="UUY42">
        <f t="shared" si="270"/>
        <v>0</v>
      </c>
      <c r="UUZ42">
        <f t="shared" si="270"/>
        <v>0</v>
      </c>
      <c r="UVA42">
        <f t="shared" si="270"/>
        <v>0</v>
      </c>
      <c r="UVB42">
        <f t="shared" si="270"/>
        <v>0</v>
      </c>
      <c r="UVC42">
        <f t="shared" si="270"/>
        <v>0</v>
      </c>
      <c r="UVD42">
        <f t="shared" si="270"/>
        <v>0</v>
      </c>
      <c r="UVE42">
        <f t="shared" si="270"/>
        <v>0</v>
      </c>
      <c r="UVF42">
        <f t="shared" si="270"/>
        <v>0</v>
      </c>
      <c r="UVG42">
        <f t="shared" si="270"/>
        <v>0</v>
      </c>
      <c r="UVH42">
        <f t="shared" si="270"/>
        <v>0</v>
      </c>
      <c r="UVI42">
        <f t="shared" si="270"/>
        <v>0</v>
      </c>
      <c r="UVJ42">
        <f t="shared" si="270"/>
        <v>0</v>
      </c>
      <c r="UVK42">
        <f t="shared" si="270"/>
        <v>0</v>
      </c>
      <c r="UVL42">
        <f t="shared" si="270"/>
        <v>0</v>
      </c>
      <c r="UVM42">
        <f t="shared" si="270"/>
        <v>0</v>
      </c>
      <c r="UVN42">
        <f t="shared" ref="UVN42:UXY43" si="271">UVN41*1.6*1.2</f>
        <v>0</v>
      </c>
      <c r="UVO42">
        <f t="shared" si="271"/>
        <v>0</v>
      </c>
      <c r="UVP42">
        <f t="shared" si="271"/>
        <v>0</v>
      </c>
      <c r="UVQ42">
        <f t="shared" si="271"/>
        <v>0</v>
      </c>
      <c r="UVR42">
        <f t="shared" si="271"/>
        <v>0</v>
      </c>
      <c r="UVS42">
        <f t="shared" si="271"/>
        <v>0</v>
      </c>
      <c r="UVT42">
        <f t="shared" si="271"/>
        <v>0</v>
      </c>
      <c r="UVU42">
        <f t="shared" si="271"/>
        <v>0</v>
      </c>
      <c r="UVV42">
        <f t="shared" si="271"/>
        <v>0</v>
      </c>
      <c r="UVW42">
        <f t="shared" si="271"/>
        <v>0</v>
      </c>
      <c r="UVX42">
        <f t="shared" si="271"/>
        <v>0</v>
      </c>
      <c r="UVY42">
        <f t="shared" si="271"/>
        <v>0</v>
      </c>
      <c r="UVZ42">
        <f t="shared" si="271"/>
        <v>0</v>
      </c>
      <c r="UWA42">
        <f t="shared" si="271"/>
        <v>0</v>
      </c>
      <c r="UWB42">
        <f t="shared" si="271"/>
        <v>0</v>
      </c>
      <c r="UWC42">
        <f t="shared" si="271"/>
        <v>0</v>
      </c>
      <c r="UWD42">
        <f t="shared" si="271"/>
        <v>0</v>
      </c>
      <c r="UWE42">
        <f t="shared" si="271"/>
        <v>0</v>
      </c>
      <c r="UWF42">
        <f t="shared" si="271"/>
        <v>0</v>
      </c>
      <c r="UWG42">
        <f t="shared" si="271"/>
        <v>0</v>
      </c>
      <c r="UWH42">
        <f t="shared" si="271"/>
        <v>0</v>
      </c>
      <c r="UWI42">
        <f t="shared" si="271"/>
        <v>0</v>
      </c>
      <c r="UWJ42">
        <f t="shared" si="271"/>
        <v>0</v>
      </c>
      <c r="UWK42">
        <f t="shared" si="271"/>
        <v>0</v>
      </c>
      <c r="UWL42">
        <f t="shared" si="271"/>
        <v>0</v>
      </c>
      <c r="UWM42">
        <f t="shared" si="271"/>
        <v>0</v>
      </c>
      <c r="UWN42">
        <f t="shared" si="271"/>
        <v>0</v>
      </c>
      <c r="UWO42">
        <f t="shared" si="271"/>
        <v>0</v>
      </c>
      <c r="UWP42">
        <f t="shared" si="271"/>
        <v>0</v>
      </c>
      <c r="UWQ42">
        <f t="shared" si="271"/>
        <v>0</v>
      </c>
      <c r="UWR42">
        <f t="shared" si="271"/>
        <v>0</v>
      </c>
      <c r="UWS42">
        <f t="shared" si="271"/>
        <v>0</v>
      </c>
      <c r="UWT42">
        <f t="shared" si="271"/>
        <v>0</v>
      </c>
      <c r="UWU42">
        <f t="shared" si="271"/>
        <v>0</v>
      </c>
      <c r="UWV42">
        <f t="shared" si="271"/>
        <v>0</v>
      </c>
      <c r="UWW42">
        <f t="shared" si="271"/>
        <v>0</v>
      </c>
      <c r="UWX42">
        <f t="shared" si="271"/>
        <v>0</v>
      </c>
      <c r="UWY42">
        <f t="shared" si="271"/>
        <v>0</v>
      </c>
      <c r="UWZ42">
        <f t="shared" si="271"/>
        <v>0</v>
      </c>
      <c r="UXA42">
        <f t="shared" si="271"/>
        <v>0</v>
      </c>
      <c r="UXB42">
        <f t="shared" si="271"/>
        <v>0</v>
      </c>
      <c r="UXC42">
        <f t="shared" si="271"/>
        <v>0</v>
      </c>
      <c r="UXD42">
        <f t="shared" si="271"/>
        <v>0</v>
      </c>
      <c r="UXE42">
        <f t="shared" si="271"/>
        <v>0</v>
      </c>
      <c r="UXF42">
        <f t="shared" si="271"/>
        <v>0</v>
      </c>
      <c r="UXG42">
        <f t="shared" si="271"/>
        <v>0</v>
      </c>
      <c r="UXH42">
        <f t="shared" si="271"/>
        <v>0</v>
      </c>
      <c r="UXI42">
        <f t="shared" si="271"/>
        <v>0</v>
      </c>
      <c r="UXJ42">
        <f t="shared" si="271"/>
        <v>0</v>
      </c>
      <c r="UXK42">
        <f t="shared" si="271"/>
        <v>0</v>
      </c>
      <c r="UXL42">
        <f t="shared" si="271"/>
        <v>0</v>
      </c>
      <c r="UXM42">
        <f t="shared" si="271"/>
        <v>0</v>
      </c>
      <c r="UXN42">
        <f t="shared" si="271"/>
        <v>0</v>
      </c>
      <c r="UXO42">
        <f t="shared" si="271"/>
        <v>0</v>
      </c>
      <c r="UXP42">
        <f t="shared" si="271"/>
        <v>0</v>
      </c>
      <c r="UXQ42">
        <f t="shared" si="271"/>
        <v>0</v>
      </c>
      <c r="UXR42">
        <f t="shared" si="271"/>
        <v>0</v>
      </c>
      <c r="UXS42">
        <f t="shared" si="271"/>
        <v>0</v>
      </c>
      <c r="UXT42">
        <f t="shared" si="271"/>
        <v>0</v>
      </c>
      <c r="UXU42">
        <f t="shared" si="271"/>
        <v>0</v>
      </c>
      <c r="UXV42">
        <f t="shared" si="271"/>
        <v>0</v>
      </c>
      <c r="UXW42">
        <f t="shared" si="271"/>
        <v>0</v>
      </c>
      <c r="UXX42">
        <f t="shared" si="271"/>
        <v>0</v>
      </c>
      <c r="UXY42">
        <f t="shared" si="271"/>
        <v>0</v>
      </c>
      <c r="UXZ42">
        <f t="shared" ref="UXZ42:VAK43" si="272">UXZ41*1.6*1.2</f>
        <v>0</v>
      </c>
      <c r="UYA42">
        <f t="shared" si="272"/>
        <v>0</v>
      </c>
      <c r="UYB42">
        <f t="shared" si="272"/>
        <v>0</v>
      </c>
      <c r="UYC42">
        <f t="shared" si="272"/>
        <v>0</v>
      </c>
      <c r="UYD42">
        <f t="shared" si="272"/>
        <v>0</v>
      </c>
      <c r="UYE42">
        <f t="shared" si="272"/>
        <v>0</v>
      </c>
      <c r="UYF42">
        <f t="shared" si="272"/>
        <v>0</v>
      </c>
      <c r="UYG42">
        <f t="shared" si="272"/>
        <v>0</v>
      </c>
      <c r="UYH42">
        <f t="shared" si="272"/>
        <v>0</v>
      </c>
      <c r="UYI42">
        <f t="shared" si="272"/>
        <v>0</v>
      </c>
      <c r="UYJ42">
        <f t="shared" si="272"/>
        <v>0</v>
      </c>
      <c r="UYK42">
        <f t="shared" si="272"/>
        <v>0</v>
      </c>
      <c r="UYL42">
        <f t="shared" si="272"/>
        <v>0</v>
      </c>
      <c r="UYM42">
        <f t="shared" si="272"/>
        <v>0</v>
      </c>
      <c r="UYN42">
        <f t="shared" si="272"/>
        <v>0</v>
      </c>
      <c r="UYO42">
        <f t="shared" si="272"/>
        <v>0</v>
      </c>
      <c r="UYP42">
        <f t="shared" si="272"/>
        <v>0</v>
      </c>
      <c r="UYQ42">
        <f t="shared" si="272"/>
        <v>0</v>
      </c>
      <c r="UYR42">
        <f t="shared" si="272"/>
        <v>0</v>
      </c>
      <c r="UYS42">
        <f t="shared" si="272"/>
        <v>0</v>
      </c>
      <c r="UYT42">
        <f t="shared" si="272"/>
        <v>0</v>
      </c>
      <c r="UYU42">
        <f t="shared" si="272"/>
        <v>0</v>
      </c>
      <c r="UYV42">
        <f t="shared" si="272"/>
        <v>0</v>
      </c>
      <c r="UYW42">
        <f t="shared" si="272"/>
        <v>0</v>
      </c>
      <c r="UYX42">
        <f t="shared" si="272"/>
        <v>0</v>
      </c>
      <c r="UYY42">
        <f t="shared" si="272"/>
        <v>0</v>
      </c>
      <c r="UYZ42">
        <f t="shared" si="272"/>
        <v>0</v>
      </c>
      <c r="UZA42">
        <f t="shared" si="272"/>
        <v>0</v>
      </c>
      <c r="UZB42">
        <f t="shared" si="272"/>
        <v>0</v>
      </c>
      <c r="UZC42">
        <f t="shared" si="272"/>
        <v>0</v>
      </c>
      <c r="UZD42">
        <f t="shared" si="272"/>
        <v>0</v>
      </c>
      <c r="UZE42">
        <f t="shared" si="272"/>
        <v>0</v>
      </c>
      <c r="UZF42">
        <f t="shared" si="272"/>
        <v>0</v>
      </c>
      <c r="UZG42">
        <f t="shared" si="272"/>
        <v>0</v>
      </c>
      <c r="UZH42">
        <f t="shared" si="272"/>
        <v>0</v>
      </c>
      <c r="UZI42">
        <f t="shared" si="272"/>
        <v>0</v>
      </c>
      <c r="UZJ42">
        <f t="shared" si="272"/>
        <v>0</v>
      </c>
      <c r="UZK42">
        <f t="shared" si="272"/>
        <v>0</v>
      </c>
      <c r="UZL42">
        <f t="shared" si="272"/>
        <v>0</v>
      </c>
      <c r="UZM42">
        <f t="shared" si="272"/>
        <v>0</v>
      </c>
      <c r="UZN42">
        <f t="shared" si="272"/>
        <v>0</v>
      </c>
      <c r="UZO42">
        <f t="shared" si="272"/>
        <v>0</v>
      </c>
      <c r="UZP42">
        <f t="shared" si="272"/>
        <v>0</v>
      </c>
      <c r="UZQ42">
        <f t="shared" si="272"/>
        <v>0</v>
      </c>
      <c r="UZR42">
        <f t="shared" si="272"/>
        <v>0</v>
      </c>
      <c r="UZS42">
        <f t="shared" si="272"/>
        <v>0</v>
      </c>
      <c r="UZT42">
        <f t="shared" si="272"/>
        <v>0</v>
      </c>
      <c r="UZU42">
        <f t="shared" si="272"/>
        <v>0</v>
      </c>
      <c r="UZV42">
        <f t="shared" si="272"/>
        <v>0</v>
      </c>
      <c r="UZW42">
        <f t="shared" si="272"/>
        <v>0</v>
      </c>
      <c r="UZX42">
        <f t="shared" si="272"/>
        <v>0</v>
      </c>
      <c r="UZY42">
        <f t="shared" si="272"/>
        <v>0</v>
      </c>
      <c r="UZZ42">
        <f t="shared" si="272"/>
        <v>0</v>
      </c>
      <c r="VAA42">
        <f t="shared" si="272"/>
        <v>0</v>
      </c>
      <c r="VAB42">
        <f t="shared" si="272"/>
        <v>0</v>
      </c>
      <c r="VAC42">
        <f t="shared" si="272"/>
        <v>0</v>
      </c>
      <c r="VAD42">
        <f t="shared" si="272"/>
        <v>0</v>
      </c>
      <c r="VAE42">
        <f t="shared" si="272"/>
        <v>0</v>
      </c>
      <c r="VAF42">
        <f t="shared" si="272"/>
        <v>0</v>
      </c>
      <c r="VAG42">
        <f t="shared" si="272"/>
        <v>0</v>
      </c>
      <c r="VAH42">
        <f t="shared" si="272"/>
        <v>0</v>
      </c>
      <c r="VAI42">
        <f t="shared" si="272"/>
        <v>0</v>
      </c>
      <c r="VAJ42">
        <f t="shared" si="272"/>
        <v>0</v>
      </c>
      <c r="VAK42">
        <f t="shared" si="272"/>
        <v>0</v>
      </c>
      <c r="VAL42">
        <f t="shared" ref="VAL42:VCW43" si="273">VAL41*1.6*1.2</f>
        <v>0</v>
      </c>
      <c r="VAM42">
        <f t="shared" si="273"/>
        <v>0</v>
      </c>
      <c r="VAN42">
        <f t="shared" si="273"/>
        <v>0</v>
      </c>
      <c r="VAO42">
        <f t="shared" si="273"/>
        <v>0</v>
      </c>
      <c r="VAP42">
        <f t="shared" si="273"/>
        <v>0</v>
      </c>
      <c r="VAQ42">
        <f t="shared" si="273"/>
        <v>0</v>
      </c>
      <c r="VAR42">
        <f t="shared" si="273"/>
        <v>0</v>
      </c>
      <c r="VAS42">
        <f t="shared" si="273"/>
        <v>0</v>
      </c>
      <c r="VAT42">
        <f t="shared" si="273"/>
        <v>0</v>
      </c>
      <c r="VAU42">
        <f t="shared" si="273"/>
        <v>0</v>
      </c>
      <c r="VAV42">
        <f t="shared" si="273"/>
        <v>0</v>
      </c>
      <c r="VAW42">
        <f t="shared" si="273"/>
        <v>0</v>
      </c>
      <c r="VAX42">
        <f t="shared" si="273"/>
        <v>0</v>
      </c>
      <c r="VAY42">
        <f t="shared" si="273"/>
        <v>0</v>
      </c>
      <c r="VAZ42">
        <f t="shared" si="273"/>
        <v>0</v>
      </c>
      <c r="VBA42">
        <f t="shared" si="273"/>
        <v>0</v>
      </c>
      <c r="VBB42">
        <f t="shared" si="273"/>
        <v>0</v>
      </c>
      <c r="VBC42">
        <f t="shared" si="273"/>
        <v>0</v>
      </c>
      <c r="VBD42">
        <f t="shared" si="273"/>
        <v>0</v>
      </c>
      <c r="VBE42">
        <f t="shared" si="273"/>
        <v>0</v>
      </c>
      <c r="VBF42">
        <f t="shared" si="273"/>
        <v>0</v>
      </c>
      <c r="VBG42">
        <f t="shared" si="273"/>
        <v>0</v>
      </c>
      <c r="VBH42">
        <f t="shared" si="273"/>
        <v>0</v>
      </c>
      <c r="VBI42">
        <f t="shared" si="273"/>
        <v>0</v>
      </c>
      <c r="VBJ42">
        <f t="shared" si="273"/>
        <v>0</v>
      </c>
      <c r="VBK42">
        <f t="shared" si="273"/>
        <v>0</v>
      </c>
      <c r="VBL42">
        <f t="shared" si="273"/>
        <v>0</v>
      </c>
      <c r="VBM42">
        <f t="shared" si="273"/>
        <v>0</v>
      </c>
      <c r="VBN42">
        <f t="shared" si="273"/>
        <v>0</v>
      </c>
      <c r="VBO42">
        <f t="shared" si="273"/>
        <v>0</v>
      </c>
      <c r="VBP42">
        <f t="shared" si="273"/>
        <v>0</v>
      </c>
      <c r="VBQ42">
        <f t="shared" si="273"/>
        <v>0</v>
      </c>
      <c r="VBR42">
        <f t="shared" si="273"/>
        <v>0</v>
      </c>
      <c r="VBS42">
        <f t="shared" si="273"/>
        <v>0</v>
      </c>
      <c r="VBT42">
        <f t="shared" si="273"/>
        <v>0</v>
      </c>
      <c r="VBU42">
        <f t="shared" si="273"/>
        <v>0</v>
      </c>
      <c r="VBV42">
        <f t="shared" si="273"/>
        <v>0</v>
      </c>
      <c r="VBW42">
        <f t="shared" si="273"/>
        <v>0</v>
      </c>
      <c r="VBX42">
        <f t="shared" si="273"/>
        <v>0</v>
      </c>
      <c r="VBY42">
        <f t="shared" si="273"/>
        <v>0</v>
      </c>
      <c r="VBZ42">
        <f t="shared" si="273"/>
        <v>0</v>
      </c>
      <c r="VCA42">
        <f t="shared" si="273"/>
        <v>0</v>
      </c>
      <c r="VCB42">
        <f t="shared" si="273"/>
        <v>0</v>
      </c>
      <c r="VCC42">
        <f t="shared" si="273"/>
        <v>0</v>
      </c>
      <c r="VCD42">
        <f t="shared" si="273"/>
        <v>0</v>
      </c>
      <c r="VCE42">
        <f t="shared" si="273"/>
        <v>0</v>
      </c>
      <c r="VCF42">
        <f t="shared" si="273"/>
        <v>0</v>
      </c>
      <c r="VCG42">
        <f t="shared" si="273"/>
        <v>0</v>
      </c>
      <c r="VCH42">
        <f t="shared" si="273"/>
        <v>0</v>
      </c>
      <c r="VCI42">
        <f t="shared" si="273"/>
        <v>0</v>
      </c>
      <c r="VCJ42">
        <f t="shared" si="273"/>
        <v>0</v>
      </c>
      <c r="VCK42">
        <f t="shared" si="273"/>
        <v>0</v>
      </c>
      <c r="VCL42">
        <f t="shared" si="273"/>
        <v>0</v>
      </c>
      <c r="VCM42">
        <f t="shared" si="273"/>
        <v>0</v>
      </c>
      <c r="VCN42">
        <f t="shared" si="273"/>
        <v>0</v>
      </c>
      <c r="VCO42">
        <f t="shared" si="273"/>
        <v>0</v>
      </c>
      <c r="VCP42">
        <f t="shared" si="273"/>
        <v>0</v>
      </c>
      <c r="VCQ42">
        <f t="shared" si="273"/>
        <v>0</v>
      </c>
      <c r="VCR42">
        <f t="shared" si="273"/>
        <v>0</v>
      </c>
      <c r="VCS42">
        <f t="shared" si="273"/>
        <v>0</v>
      </c>
      <c r="VCT42">
        <f t="shared" si="273"/>
        <v>0</v>
      </c>
      <c r="VCU42">
        <f t="shared" si="273"/>
        <v>0</v>
      </c>
      <c r="VCV42">
        <f t="shared" si="273"/>
        <v>0</v>
      </c>
      <c r="VCW42">
        <f t="shared" si="273"/>
        <v>0</v>
      </c>
      <c r="VCX42">
        <f t="shared" ref="VCX42:VFI43" si="274">VCX41*1.6*1.2</f>
        <v>0</v>
      </c>
      <c r="VCY42">
        <f t="shared" si="274"/>
        <v>0</v>
      </c>
      <c r="VCZ42">
        <f t="shared" si="274"/>
        <v>0</v>
      </c>
      <c r="VDA42">
        <f t="shared" si="274"/>
        <v>0</v>
      </c>
      <c r="VDB42">
        <f t="shared" si="274"/>
        <v>0</v>
      </c>
      <c r="VDC42">
        <f t="shared" si="274"/>
        <v>0</v>
      </c>
      <c r="VDD42">
        <f t="shared" si="274"/>
        <v>0</v>
      </c>
      <c r="VDE42">
        <f t="shared" si="274"/>
        <v>0</v>
      </c>
      <c r="VDF42">
        <f t="shared" si="274"/>
        <v>0</v>
      </c>
      <c r="VDG42">
        <f t="shared" si="274"/>
        <v>0</v>
      </c>
      <c r="VDH42">
        <f t="shared" si="274"/>
        <v>0</v>
      </c>
      <c r="VDI42">
        <f t="shared" si="274"/>
        <v>0</v>
      </c>
      <c r="VDJ42">
        <f t="shared" si="274"/>
        <v>0</v>
      </c>
      <c r="VDK42">
        <f t="shared" si="274"/>
        <v>0</v>
      </c>
      <c r="VDL42">
        <f t="shared" si="274"/>
        <v>0</v>
      </c>
      <c r="VDM42">
        <f t="shared" si="274"/>
        <v>0</v>
      </c>
      <c r="VDN42">
        <f t="shared" si="274"/>
        <v>0</v>
      </c>
      <c r="VDO42">
        <f t="shared" si="274"/>
        <v>0</v>
      </c>
      <c r="VDP42">
        <f t="shared" si="274"/>
        <v>0</v>
      </c>
      <c r="VDQ42">
        <f t="shared" si="274"/>
        <v>0</v>
      </c>
      <c r="VDR42">
        <f t="shared" si="274"/>
        <v>0</v>
      </c>
      <c r="VDS42">
        <f t="shared" si="274"/>
        <v>0</v>
      </c>
      <c r="VDT42">
        <f t="shared" si="274"/>
        <v>0</v>
      </c>
      <c r="VDU42">
        <f t="shared" si="274"/>
        <v>0</v>
      </c>
      <c r="VDV42">
        <f t="shared" si="274"/>
        <v>0</v>
      </c>
      <c r="VDW42">
        <f t="shared" si="274"/>
        <v>0</v>
      </c>
      <c r="VDX42">
        <f t="shared" si="274"/>
        <v>0</v>
      </c>
      <c r="VDY42">
        <f t="shared" si="274"/>
        <v>0</v>
      </c>
      <c r="VDZ42">
        <f t="shared" si="274"/>
        <v>0</v>
      </c>
      <c r="VEA42">
        <f t="shared" si="274"/>
        <v>0</v>
      </c>
      <c r="VEB42">
        <f t="shared" si="274"/>
        <v>0</v>
      </c>
      <c r="VEC42">
        <f t="shared" si="274"/>
        <v>0</v>
      </c>
      <c r="VED42">
        <f t="shared" si="274"/>
        <v>0</v>
      </c>
      <c r="VEE42">
        <f t="shared" si="274"/>
        <v>0</v>
      </c>
      <c r="VEF42">
        <f t="shared" si="274"/>
        <v>0</v>
      </c>
      <c r="VEG42">
        <f t="shared" si="274"/>
        <v>0</v>
      </c>
      <c r="VEH42">
        <f t="shared" si="274"/>
        <v>0</v>
      </c>
      <c r="VEI42">
        <f t="shared" si="274"/>
        <v>0</v>
      </c>
      <c r="VEJ42">
        <f t="shared" si="274"/>
        <v>0</v>
      </c>
      <c r="VEK42">
        <f t="shared" si="274"/>
        <v>0</v>
      </c>
      <c r="VEL42">
        <f t="shared" si="274"/>
        <v>0</v>
      </c>
      <c r="VEM42">
        <f t="shared" si="274"/>
        <v>0</v>
      </c>
      <c r="VEN42">
        <f t="shared" si="274"/>
        <v>0</v>
      </c>
      <c r="VEO42">
        <f t="shared" si="274"/>
        <v>0</v>
      </c>
      <c r="VEP42">
        <f t="shared" si="274"/>
        <v>0</v>
      </c>
      <c r="VEQ42">
        <f t="shared" si="274"/>
        <v>0</v>
      </c>
      <c r="VER42">
        <f t="shared" si="274"/>
        <v>0</v>
      </c>
      <c r="VES42">
        <f t="shared" si="274"/>
        <v>0</v>
      </c>
      <c r="VET42">
        <f t="shared" si="274"/>
        <v>0</v>
      </c>
      <c r="VEU42">
        <f t="shared" si="274"/>
        <v>0</v>
      </c>
      <c r="VEV42">
        <f t="shared" si="274"/>
        <v>0</v>
      </c>
      <c r="VEW42">
        <f t="shared" si="274"/>
        <v>0</v>
      </c>
      <c r="VEX42">
        <f t="shared" si="274"/>
        <v>0</v>
      </c>
      <c r="VEY42">
        <f t="shared" si="274"/>
        <v>0</v>
      </c>
      <c r="VEZ42">
        <f t="shared" si="274"/>
        <v>0</v>
      </c>
      <c r="VFA42">
        <f t="shared" si="274"/>
        <v>0</v>
      </c>
      <c r="VFB42">
        <f t="shared" si="274"/>
        <v>0</v>
      </c>
      <c r="VFC42">
        <f t="shared" si="274"/>
        <v>0</v>
      </c>
      <c r="VFD42">
        <f t="shared" si="274"/>
        <v>0</v>
      </c>
      <c r="VFE42">
        <f t="shared" si="274"/>
        <v>0</v>
      </c>
      <c r="VFF42">
        <f t="shared" si="274"/>
        <v>0</v>
      </c>
      <c r="VFG42">
        <f t="shared" si="274"/>
        <v>0</v>
      </c>
      <c r="VFH42">
        <f t="shared" si="274"/>
        <v>0</v>
      </c>
      <c r="VFI42">
        <f t="shared" si="274"/>
        <v>0</v>
      </c>
      <c r="VFJ42">
        <f t="shared" ref="VFJ42:VHU43" si="275">VFJ41*1.6*1.2</f>
        <v>0</v>
      </c>
      <c r="VFK42">
        <f t="shared" si="275"/>
        <v>0</v>
      </c>
      <c r="VFL42">
        <f t="shared" si="275"/>
        <v>0</v>
      </c>
      <c r="VFM42">
        <f t="shared" si="275"/>
        <v>0</v>
      </c>
      <c r="VFN42">
        <f t="shared" si="275"/>
        <v>0</v>
      </c>
      <c r="VFO42">
        <f t="shared" si="275"/>
        <v>0</v>
      </c>
      <c r="VFP42">
        <f t="shared" si="275"/>
        <v>0</v>
      </c>
      <c r="VFQ42">
        <f t="shared" si="275"/>
        <v>0</v>
      </c>
      <c r="VFR42">
        <f t="shared" si="275"/>
        <v>0</v>
      </c>
      <c r="VFS42">
        <f t="shared" si="275"/>
        <v>0</v>
      </c>
      <c r="VFT42">
        <f t="shared" si="275"/>
        <v>0</v>
      </c>
      <c r="VFU42">
        <f t="shared" si="275"/>
        <v>0</v>
      </c>
      <c r="VFV42">
        <f t="shared" si="275"/>
        <v>0</v>
      </c>
      <c r="VFW42">
        <f t="shared" si="275"/>
        <v>0</v>
      </c>
      <c r="VFX42">
        <f t="shared" si="275"/>
        <v>0</v>
      </c>
      <c r="VFY42">
        <f t="shared" si="275"/>
        <v>0</v>
      </c>
      <c r="VFZ42">
        <f t="shared" si="275"/>
        <v>0</v>
      </c>
      <c r="VGA42">
        <f t="shared" si="275"/>
        <v>0</v>
      </c>
      <c r="VGB42">
        <f t="shared" si="275"/>
        <v>0</v>
      </c>
      <c r="VGC42">
        <f t="shared" si="275"/>
        <v>0</v>
      </c>
      <c r="VGD42">
        <f t="shared" si="275"/>
        <v>0</v>
      </c>
      <c r="VGE42">
        <f t="shared" si="275"/>
        <v>0</v>
      </c>
      <c r="VGF42">
        <f t="shared" si="275"/>
        <v>0</v>
      </c>
      <c r="VGG42">
        <f t="shared" si="275"/>
        <v>0</v>
      </c>
      <c r="VGH42">
        <f t="shared" si="275"/>
        <v>0</v>
      </c>
      <c r="VGI42">
        <f t="shared" si="275"/>
        <v>0</v>
      </c>
      <c r="VGJ42">
        <f t="shared" si="275"/>
        <v>0</v>
      </c>
      <c r="VGK42">
        <f t="shared" si="275"/>
        <v>0</v>
      </c>
      <c r="VGL42">
        <f t="shared" si="275"/>
        <v>0</v>
      </c>
      <c r="VGM42">
        <f t="shared" si="275"/>
        <v>0</v>
      </c>
      <c r="VGN42">
        <f t="shared" si="275"/>
        <v>0</v>
      </c>
      <c r="VGO42">
        <f t="shared" si="275"/>
        <v>0</v>
      </c>
      <c r="VGP42">
        <f t="shared" si="275"/>
        <v>0</v>
      </c>
      <c r="VGQ42">
        <f t="shared" si="275"/>
        <v>0</v>
      </c>
      <c r="VGR42">
        <f t="shared" si="275"/>
        <v>0</v>
      </c>
      <c r="VGS42">
        <f t="shared" si="275"/>
        <v>0</v>
      </c>
      <c r="VGT42">
        <f t="shared" si="275"/>
        <v>0</v>
      </c>
      <c r="VGU42">
        <f t="shared" si="275"/>
        <v>0</v>
      </c>
      <c r="VGV42">
        <f t="shared" si="275"/>
        <v>0</v>
      </c>
      <c r="VGW42">
        <f t="shared" si="275"/>
        <v>0</v>
      </c>
      <c r="VGX42">
        <f t="shared" si="275"/>
        <v>0</v>
      </c>
      <c r="VGY42">
        <f t="shared" si="275"/>
        <v>0</v>
      </c>
      <c r="VGZ42">
        <f t="shared" si="275"/>
        <v>0</v>
      </c>
      <c r="VHA42">
        <f t="shared" si="275"/>
        <v>0</v>
      </c>
      <c r="VHB42">
        <f t="shared" si="275"/>
        <v>0</v>
      </c>
      <c r="VHC42">
        <f t="shared" si="275"/>
        <v>0</v>
      </c>
      <c r="VHD42">
        <f t="shared" si="275"/>
        <v>0</v>
      </c>
      <c r="VHE42">
        <f t="shared" si="275"/>
        <v>0</v>
      </c>
      <c r="VHF42">
        <f t="shared" si="275"/>
        <v>0</v>
      </c>
      <c r="VHG42">
        <f t="shared" si="275"/>
        <v>0</v>
      </c>
      <c r="VHH42">
        <f t="shared" si="275"/>
        <v>0</v>
      </c>
      <c r="VHI42">
        <f t="shared" si="275"/>
        <v>0</v>
      </c>
      <c r="VHJ42">
        <f t="shared" si="275"/>
        <v>0</v>
      </c>
      <c r="VHK42">
        <f t="shared" si="275"/>
        <v>0</v>
      </c>
      <c r="VHL42">
        <f t="shared" si="275"/>
        <v>0</v>
      </c>
      <c r="VHM42">
        <f t="shared" si="275"/>
        <v>0</v>
      </c>
      <c r="VHN42">
        <f t="shared" si="275"/>
        <v>0</v>
      </c>
      <c r="VHO42">
        <f t="shared" si="275"/>
        <v>0</v>
      </c>
      <c r="VHP42">
        <f t="shared" si="275"/>
        <v>0</v>
      </c>
      <c r="VHQ42">
        <f t="shared" si="275"/>
        <v>0</v>
      </c>
      <c r="VHR42">
        <f t="shared" si="275"/>
        <v>0</v>
      </c>
      <c r="VHS42">
        <f t="shared" si="275"/>
        <v>0</v>
      </c>
      <c r="VHT42">
        <f t="shared" si="275"/>
        <v>0</v>
      </c>
      <c r="VHU42">
        <f t="shared" si="275"/>
        <v>0</v>
      </c>
      <c r="VHV42">
        <f t="shared" ref="VHV42:VKG43" si="276">VHV41*1.6*1.2</f>
        <v>0</v>
      </c>
      <c r="VHW42">
        <f t="shared" si="276"/>
        <v>0</v>
      </c>
      <c r="VHX42">
        <f t="shared" si="276"/>
        <v>0</v>
      </c>
      <c r="VHY42">
        <f t="shared" si="276"/>
        <v>0</v>
      </c>
      <c r="VHZ42">
        <f t="shared" si="276"/>
        <v>0</v>
      </c>
      <c r="VIA42">
        <f t="shared" si="276"/>
        <v>0</v>
      </c>
      <c r="VIB42">
        <f t="shared" si="276"/>
        <v>0</v>
      </c>
      <c r="VIC42">
        <f t="shared" si="276"/>
        <v>0</v>
      </c>
      <c r="VID42">
        <f t="shared" si="276"/>
        <v>0</v>
      </c>
      <c r="VIE42">
        <f t="shared" si="276"/>
        <v>0</v>
      </c>
      <c r="VIF42">
        <f t="shared" si="276"/>
        <v>0</v>
      </c>
      <c r="VIG42">
        <f t="shared" si="276"/>
        <v>0</v>
      </c>
      <c r="VIH42">
        <f t="shared" si="276"/>
        <v>0</v>
      </c>
      <c r="VII42">
        <f t="shared" si="276"/>
        <v>0</v>
      </c>
      <c r="VIJ42">
        <f t="shared" si="276"/>
        <v>0</v>
      </c>
      <c r="VIK42">
        <f t="shared" si="276"/>
        <v>0</v>
      </c>
      <c r="VIL42">
        <f t="shared" si="276"/>
        <v>0</v>
      </c>
      <c r="VIM42">
        <f t="shared" si="276"/>
        <v>0</v>
      </c>
      <c r="VIN42">
        <f t="shared" si="276"/>
        <v>0</v>
      </c>
      <c r="VIO42">
        <f t="shared" si="276"/>
        <v>0</v>
      </c>
      <c r="VIP42">
        <f t="shared" si="276"/>
        <v>0</v>
      </c>
      <c r="VIQ42">
        <f t="shared" si="276"/>
        <v>0</v>
      </c>
      <c r="VIR42">
        <f t="shared" si="276"/>
        <v>0</v>
      </c>
      <c r="VIS42">
        <f t="shared" si="276"/>
        <v>0</v>
      </c>
      <c r="VIT42">
        <f t="shared" si="276"/>
        <v>0</v>
      </c>
      <c r="VIU42">
        <f t="shared" si="276"/>
        <v>0</v>
      </c>
      <c r="VIV42">
        <f t="shared" si="276"/>
        <v>0</v>
      </c>
      <c r="VIW42">
        <f t="shared" si="276"/>
        <v>0</v>
      </c>
      <c r="VIX42">
        <f t="shared" si="276"/>
        <v>0</v>
      </c>
      <c r="VIY42">
        <f t="shared" si="276"/>
        <v>0</v>
      </c>
      <c r="VIZ42">
        <f t="shared" si="276"/>
        <v>0</v>
      </c>
      <c r="VJA42">
        <f t="shared" si="276"/>
        <v>0</v>
      </c>
      <c r="VJB42">
        <f t="shared" si="276"/>
        <v>0</v>
      </c>
      <c r="VJC42">
        <f t="shared" si="276"/>
        <v>0</v>
      </c>
      <c r="VJD42">
        <f t="shared" si="276"/>
        <v>0</v>
      </c>
      <c r="VJE42">
        <f t="shared" si="276"/>
        <v>0</v>
      </c>
      <c r="VJF42">
        <f t="shared" si="276"/>
        <v>0</v>
      </c>
      <c r="VJG42">
        <f t="shared" si="276"/>
        <v>0</v>
      </c>
      <c r="VJH42">
        <f t="shared" si="276"/>
        <v>0</v>
      </c>
      <c r="VJI42">
        <f t="shared" si="276"/>
        <v>0</v>
      </c>
      <c r="VJJ42">
        <f t="shared" si="276"/>
        <v>0</v>
      </c>
      <c r="VJK42">
        <f t="shared" si="276"/>
        <v>0</v>
      </c>
      <c r="VJL42">
        <f t="shared" si="276"/>
        <v>0</v>
      </c>
      <c r="VJM42">
        <f t="shared" si="276"/>
        <v>0</v>
      </c>
      <c r="VJN42">
        <f t="shared" si="276"/>
        <v>0</v>
      </c>
      <c r="VJO42">
        <f t="shared" si="276"/>
        <v>0</v>
      </c>
      <c r="VJP42">
        <f t="shared" si="276"/>
        <v>0</v>
      </c>
      <c r="VJQ42">
        <f t="shared" si="276"/>
        <v>0</v>
      </c>
      <c r="VJR42">
        <f t="shared" si="276"/>
        <v>0</v>
      </c>
      <c r="VJS42">
        <f t="shared" si="276"/>
        <v>0</v>
      </c>
      <c r="VJT42">
        <f t="shared" si="276"/>
        <v>0</v>
      </c>
      <c r="VJU42">
        <f t="shared" si="276"/>
        <v>0</v>
      </c>
      <c r="VJV42">
        <f t="shared" si="276"/>
        <v>0</v>
      </c>
      <c r="VJW42">
        <f t="shared" si="276"/>
        <v>0</v>
      </c>
      <c r="VJX42">
        <f t="shared" si="276"/>
        <v>0</v>
      </c>
      <c r="VJY42">
        <f t="shared" si="276"/>
        <v>0</v>
      </c>
      <c r="VJZ42">
        <f t="shared" si="276"/>
        <v>0</v>
      </c>
      <c r="VKA42">
        <f t="shared" si="276"/>
        <v>0</v>
      </c>
      <c r="VKB42">
        <f t="shared" si="276"/>
        <v>0</v>
      </c>
      <c r="VKC42">
        <f t="shared" si="276"/>
        <v>0</v>
      </c>
      <c r="VKD42">
        <f t="shared" si="276"/>
        <v>0</v>
      </c>
      <c r="VKE42">
        <f t="shared" si="276"/>
        <v>0</v>
      </c>
      <c r="VKF42">
        <f t="shared" si="276"/>
        <v>0</v>
      </c>
      <c r="VKG42">
        <f t="shared" si="276"/>
        <v>0</v>
      </c>
      <c r="VKH42">
        <f t="shared" ref="VKH42:VMS43" si="277">VKH41*1.6*1.2</f>
        <v>0</v>
      </c>
      <c r="VKI42">
        <f t="shared" si="277"/>
        <v>0</v>
      </c>
      <c r="VKJ42">
        <f t="shared" si="277"/>
        <v>0</v>
      </c>
      <c r="VKK42">
        <f t="shared" si="277"/>
        <v>0</v>
      </c>
      <c r="VKL42">
        <f t="shared" si="277"/>
        <v>0</v>
      </c>
      <c r="VKM42">
        <f t="shared" si="277"/>
        <v>0</v>
      </c>
      <c r="VKN42">
        <f t="shared" si="277"/>
        <v>0</v>
      </c>
      <c r="VKO42">
        <f t="shared" si="277"/>
        <v>0</v>
      </c>
      <c r="VKP42">
        <f t="shared" si="277"/>
        <v>0</v>
      </c>
      <c r="VKQ42">
        <f t="shared" si="277"/>
        <v>0</v>
      </c>
      <c r="VKR42">
        <f t="shared" si="277"/>
        <v>0</v>
      </c>
      <c r="VKS42">
        <f t="shared" si="277"/>
        <v>0</v>
      </c>
      <c r="VKT42">
        <f t="shared" si="277"/>
        <v>0</v>
      </c>
      <c r="VKU42">
        <f t="shared" si="277"/>
        <v>0</v>
      </c>
      <c r="VKV42">
        <f t="shared" si="277"/>
        <v>0</v>
      </c>
      <c r="VKW42">
        <f t="shared" si="277"/>
        <v>0</v>
      </c>
      <c r="VKX42">
        <f t="shared" si="277"/>
        <v>0</v>
      </c>
      <c r="VKY42">
        <f t="shared" si="277"/>
        <v>0</v>
      </c>
      <c r="VKZ42">
        <f t="shared" si="277"/>
        <v>0</v>
      </c>
      <c r="VLA42">
        <f t="shared" si="277"/>
        <v>0</v>
      </c>
      <c r="VLB42">
        <f t="shared" si="277"/>
        <v>0</v>
      </c>
      <c r="VLC42">
        <f t="shared" si="277"/>
        <v>0</v>
      </c>
      <c r="VLD42">
        <f t="shared" si="277"/>
        <v>0</v>
      </c>
      <c r="VLE42">
        <f t="shared" si="277"/>
        <v>0</v>
      </c>
      <c r="VLF42">
        <f t="shared" si="277"/>
        <v>0</v>
      </c>
      <c r="VLG42">
        <f t="shared" si="277"/>
        <v>0</v>
      </c>
      <c r="VLH42">
        <f t="shared" si="277"/>
        <v>0</v>
      </c>
      <c r="VLI42">
        <f t="shared" si="277"/>
        <v>0</v>
      </c>
      <c r="VLJ42">
        <f t="shared" si="277"/>
        <v>0</v>
      </c>
      <c r="VLK42">
        <f t="shared" si="277"/>
        <v>0</v>
      </c>
      <c r="VLL42">
        <f t="shared" si="277"/>
        <v>0</v>
      </c>
      <c r="VLM42">
        <f t="shared" si="277"/>
        <v>0</v>
      </c>
      <c r="VLN42">
        <f t="shared" si="277"/>
        <v>0</v>
      </c>
      <c r="VLO42">
        <f t="shared" si="277"/>
        <v>0</v>
      </c>
      <c r="VLP42">
        <f t="shared" si="277"/>
        <v>0</v>
      </c>
      <c r="VLQ42">
        <f t="shared" si="277"/>
        <v>0</v>
      </c>
      <c r="VLR42">
        <f t="shared" si="277"/>
        <v>0</v>
      </c>
      <c r="VLS42">
        <f t="shared" si="277"/>
        <v>0</v>
      </c>
      <c r="VLT42">
        <f t="shared" si="277"/>
        <v>0</v>
      </c>
      <c r="VLU42">
        <f t="shared" si="277"/>
        <v>0</v>
      </c>
      <c r="VLV42">
        <f t="shared" si="277"/>
        <v>0</v>
      </c>
      <c r="VLW42">
        <f t="shared" si="277"/>
        <v>0</v>
      </c>
      <c r="VLX42">
        <f t="shared" si="277"/>
        <v>0</v>
      </c>
      <c r="VLY42">
        <f t="shared" si="277"/>
        <v>0</v>
      </c>
      <c r="VLZ42">
        <f t="shared" si="277"/>
        <v>0</v>
      </c>
      <c r="VMA42">
        <f t="shared" si="277"/>
        <v>0</v>
      </c>
      <c r="VMB42">
        <f t="shared" si="277"/>
        <v>0</v>
      </c>
      <c r="VMC42">
        <f t="shared" si="277"/>
        <v>0</v>
      </c>
      <c r="VMD42">
        <f t="shared" si="277"/>
        <v>0</v>
      </c>
      <c r="VME42">
        <f t="shared" si="277"/>
        <v>0</v>
      </c>
      <c r="VMF42">
        <f t="shared" si="277"/>
        <v>0</v>
      </c>
      <c r="VMG42">
        <f t="shared" si="277"/>
        <v>0</v>
      </c>
      <c r="VMH42">
        <f t="shared" si="277"/>
        <v>0</v>
      </c>
      <c r="VMI42">
        <f t="shared" si="277"/>
        <v>0</v>
      </c>
      <c r="VMJ42">
        <f t="shared" si="277"/>
        <v>0</v>
      </c>
      <c r="VMK42">
        <f t="shared" si="277"/>
        <v>0</v>
      </c>
      <c r="VML42">
        <f t="shared" si="277"/>
        <v>0</v>
      </c>
      <c r="VMM42">
        <f t="shared" si="277"/>
        <v>0</v>
      </c>
      <c r="VMN42">
        <f t="shared" si="277"/>
        <v>0</v>
      </c>
      <c r="VMO42">
        <f t="shared" si="277"/>
        <v>0</v>
      </c>
      <c r="VMP42">
        <f t="shared" si="277"/>
        <v>0</v>
      </c>
      <c r="VMQ42">
        <f t="shared" si="277"/>
        <v>0</v>
      </c>
      <c r="VMR42">
        <f t="shared" si="277"/>
        <v>0</v>
      </c>
      <c r="VMS42">
        <f t="shared" si="277"/>
        <v>0</v>
      </c>
      <c r="VMT42">
        <f t="shared" ref="VMT42:VPE43" si="278">VMT41*1.6*1.2</f>
        <v>0</v>
      </c>
      <c r="VMU42">
        <f t="shared" si="278"/>
        <v>0</v>
      </c>
      <c r="VMV42">
        <f t="shared" si="278"/>
        <v>0</v>
      </c>
      <c r="VMW42">
        <f t="shared" si="278"/>
        <v>0</v>
      </c>
      <c r="VMX42">
        <f t="shared" si="278"/>
        <v>0</v>
      </c>
      <c r="VMY42">
        <f t="shared" si="278"/>
        <v>0</v>
      </c>
      <c r="VMZ42">
        <f t="shared" si="278"/>
        <v>0</v>
      </c>
      <c r="VNA42">
        <f t="shared" si="278"/>
        <v>0</v>
      </c>
      <c r="VNB42">
        <f t="shared" si="278"/>
        <v>0</v>
      </c>
      <c r="VNC42">
        <f t="shared" si="278"/>
        <v>0</v>
      </c>
      <c r="VND42">
        <f t="shared" si="278"/>
        <v>0</v>
      </c>
      <c r="VNE42">
        <f t="shared" si="278"/>
        <v>0</v>
      </c>
      <c r="VNF42">
        <f t="shared" si="278"/>
        <v>0</v>
      </c>
      <c r="VNG42">
        <f t="shared" si="278"/>
        <v>0</v>
      </c>
      <c r="VNH42">
        <f t="shared" si="278"/>
        <v>0</v>
      </c>
      <c r="VNI42">
        <f t="shared" si="278"/>
        <v>0</v>
      </c>
      <c r="VNJ42">
        <f t="shared" si="278"/>
        <v>0</v>
      </c>
      <c r="VNK42">
        <f t="shared" si="278"/>
        <v>0</v>
      </c>
      <c r="VNL42">
        <f t="shared" si="278"/>
        <v>0</v>
      </c>
      <c r="VNM42">
        <f t="shared" si="278"/>
        <v>0</v>
      </c>
      <c r="VNN42">
        <f t="shared" si="278"/>
        <v>0</v>
      </c>
      <c r="VNO42">
        <f t="shared" si="278"/>
        <v>0</v>
      </c>
      <c r="VNP42">
        <f t="shared" si="278"/>
        <v>0</v>
      </c>
      <c r="VNQ42">
        <f t="shared" si="278"/>
        <v>0</v>
      </c>
      <c r="VNR42">
        <f t="shared" si="278"/>
        <v>0</v>
      </c>
      <c r="VNS42">
        <f t="shared" si="278"/>
        <v>0</v>
      </c>
      <c r="VNT42">
        <f t="shared" si="278"/>
        <v>0</v>
      </c>
      <c r="VNU42">
        <f t="shared" si="278"/>
        <v>0</v>
      </c>
      <c r="VNV42">
        <f t="shared" si="278"/>
        <v>0</v>
      </c>
      <c r="VNW42">
        <f t="shared" si="278"/>
        <v>0</v>
      </c>
      <c r="VNX42">
        <f t="shared" si="278"/>
        <v>0</v>
      </c>
      <c r="VNY42">
        <f t="shared" si="278"/>
        <v>0</v>
      </c>
      <c r="VNZ42">
        <f t="shared" si="278"/>
        <v>0</v>
      </c>
      <c r="VOA42">
        <f t="shared" si="278"/>
        <v>0</v>
      </c>
      <c r="VOB42">
        <f t="shared" si="278"/>
        <v>0</v>
      </c>
      <c r="VOC42">
        <f t="shared" si="278"/>
        <v>0</v>
      </c>
      <c r="VOD42">
        <f t="shared" si="278"/>
        <v>0</v>
      </c>
      <c r="VOE42">
        <f t="shared" si="278"/>
        <v>0</v>
      </c>
      <c r="VOF42">
        <f t="shared" si="278"/>
        <v>0</v>
      </c>
      <c r="VOG42">
        <f t="shared" si="278"/>
        <v>0</v>
      </c>
      <c r="VOH42">
        <f t="shared" si="278"/>
        <v>0</v>
      </c>
      <c r="VOI42">
        <f t="shared" si="278"/>
        <v>0</v>
      </c>
      <c r="VOJ42">
        <f t="shared" si="278"/>
        <v>0</v>
      </c>
      <c r="VOK42">
        <f t="shared" si="278"/>
        <v>0</v>
      </c>
      <c r="VOL42">
        <f t="shared" si="278"/>
        <v>0</v>
      </c>
      <c r="VOM42">
        <f t="shared" si="278"/>
        <v>0</v>
      </c>
      <c r="VON42">
        <f t="shared" si="278"/>
        <v>0</v>
      </c>
      <c r="VOO42">
        <f t="shared" si="278"/>
        <v>0</v>
      </c>
      <c r="VOP42">
        <f t="shared" si="278"/>
        <v>0</v>
      </c>
      <c r="VOQ42">
        <f t="shared" si="278"/>
        <v>0</v>
      </c>
      <c r="VOR42">
        <f t="shared" si="278"/>
        <v>0</v>
      </c>
      <c r="VOS42">
        <f t="shared" si="278"/>
        <v>0</v>
      </c>
      <c r="VOT42">
        <f t="shared" si="278"/>
        <v>0</v>
      </c>
      <c r="VOU42">
        <f t="shared" si="278"/>
        <v>0</v>
      </c>
      <c r="VOV42">
        <f t="shared" si="278"/>
        <v>0</v>
      </c>
      <c r="VOW42">
        <f t="shared" si="278"/>
        <v>0</v>
      </c>
      <c r="VOX42">
        <f t="shared" si="278"/>
        <v>0</v>
      </c>
      <c r="VOY42">
        <f t="shared" si="278"/>
        <v>0</v>
      </c>
      <c r="VOZ42">
        <f t="shared" si="278"/>
        <v>0</v>
      </c>
      <c r="VPA42">
        <f t="shared" si="278"/>
        <v>0</v>
      </c>
      <c r="VPB42">
        <f t="shared" si="278"/>
        <v>0</v>
      </c>
      <c r="VPC42">
        <f t="shared" si="278"/>
        <v>0</v>
      </c>
      <c r="VPD42">
        <f t="shared" si="278"/>
        <v>0</v>
      </c>
      <c r="VPE42">
        <f t="shared" si="278"/>
        <v>0</v>
      </c>
      <c r="VPF42">
        <f t="shared" ref="VPF42:VRQ43" si="279">VPF41*1.6*1.2</f>
        <v>0</v>
      </c>
      <c r="VPG42">
        <f t="shared" si="279"/>
        <v>0</v>
      </c>
      <c r="VPH42">
        <f t="shared" si="279"/>
        <v>0</v>
      </c>
      <c r="VPI42">
        <f t="shared" si="279"/>
        <v>0</v>
      </c>
      <c r="VPJ42">
        <f t="shared" si="279"/>
        <v>0</v>
      </c>
      <c r="VPK42">
        <f t="shared" si="279"/>
        <v>0</v>
      </c>
      <c r="VPL42">
        <f t="shared" si="279"/>
        <v>0</v>
      </c>
      <c r="VPM42">
        <f t="shared" si="279"/>
        <v>0</v>
      </c>
      <c r="VPN42">
        <f t="shared" si="279"/>
        <v>0</v>
      </c>
      <c r="VPO42">
        <f t="shared" si="279"/>
        <v>0</v>
      </c>
      <c r="VPP42">
        <f t="shared" si="279"/>
        <v>0</v>
      </c>
      <c r="VPQ42">
        <f t="shared" si="279"/>
        <v>0</v>
      </c>
      <c r="VPR42">
        <f t="shared" si="279"/>
        <v>0</v>
      </c>
      <c r="VPS42">
        <f t="shared" si="279"/>
        <v>0</v>
      </c>
      <c r="VPT42">
        <f t="shared" si="279"/>
        <v>0</v>
      </c>
      <c r="VPU42">
        <f t="shared" si="279"/>
        <v>0</v>
      </c>
      <c r="VPV42">
        <f t="shared" si="279"/>
        <v>0</v>
      </c>
      <c r="VPW42">
        <f t="shared" si="279"/>
        <v>0</v>
      </c>
      <c r="VPX42">
        <f t="shared" si="279"/>
        <v>0</v>
      </c>
      <c r="VPY42">
        <f t="shared" si="279"/>
        <v>0</v>
      </c>
      <c r="VPZ42">
        <f t="shared" si="279"/>
        <v>0</v>
      </c>
      <c r="VQA42">
        <f t="shared" si="279"/>
        <v>0</v>
      </c>
      <c r="VQB42">
        <f t="shared" si="279"/>
        <v>0</v>
      </c>
      <c r="VQC42">
        <f t="shared" si="279"/>
        <v>0</v>
      </c>
      <c r="VQD42">
        <f t="shared" si="279"/>
        <v>0</v>
      </c>
      <c r="VQE42">
        <f t="shared" si="279"/>
        <v>0</v>
      </c>
      <c r="VQF42">
        <f t="shared" si="279"/>
        <v>0</v>
      </c>
      <c r="VQG42">
        <f t="shared" si="279"/>
        <v>0</v>
      </c>
      <c r="VQH42">
        <f t="shared" si="279"/>
        <v>0</v>
      </c>
      <c r="VQI42">
        <f t="shared" si="279"/>
        <v>0</v>
      </c>
      <c r="VQJ42">
        <f t="shared" si="279"/>
        <v>0</v>
      </c>
      <c r="VQK42">
        <f t="shared" si="279"/>
        <v>0</v>
      </c>
      <c r="VQL42">
        <f t="shared" si="279"/>
        <v>0</v>
      </c>
      <c r="VQM42">
        <f t="shared" si="279"/>
        <v>0</v>
      </c>
      <c r="VQN42">
        <f t="shared" si="279"/>
        <v>0</v>
      </c>
      <c r="VQO42">
        <f t="shared" si="279"/>
        <v>0</v>
      </c>
      <c r="VQP42">
        <f t="shared" si="279"/>
        <v>0</v>
      </c>
      <c r="VQQ42">
        <f t="shared" si="279"/>
        <v>0</v>
      </c>
      <c r="VQR42">
        <f t="shared" si="279"/>
        <v>0</v>
      </c>
      <c r="VQS42">
        <f t="shared" si="279"/>
        <v>0</v>
      </c>
      <c r="VQT42">
        <f t="shared" si="279"/>
        <v>0</v>
      </c>
      <c r="VQU42">
        <f t="shared" si="279"/>
        <v>0</v>
      </c>
      <c r="VQV42">
        <f t="shared" si="279"/>
        <v>0</v>
      </c>
      <c r="VQW42">
        <f t="shared" si="279"/>
        <v>0</v>
      </c>
      <c r="VQX42">
        <f t="shared" si="279"/>
        <v>0</v>
      </c>
      <c r="VQY42">
        <f t="shared" si="279"/>
        <v>0</v>
      </c>
      <c r="VQZ42">
        <f t="shared" si="279"/>
        <v>0</v>
      </c>
      <c r="VRA42">
        <f t="shared" si="279"/>
        <v>0</v>
      </c>
      <c r="VRB42">
        <f t="shared" si="279"/>
        <v>0</v>
      </c>
      <c r="VRC42">
        <f t="shared" si="279"/>
        <v>0</v>
      </c>
      <c r="VRD42">
        <f t="shared" si="279"/>
        <v>0</v>
      </c>
      <c r="VRE42">
        <f t="shared" si="279"/>
        <v>0</v>
      </c>
      <c r="VRF42">
        <f t="shared" si="279"/>
        <v>0</v>
      </c>
      <c r="VRG42">
        <f t="shared" si="279"/>
        <v>0</v>
      </c>
      <c r="VRH42">
        <f t="shared" si="279"/>
        <v>0</v>
      </c>
      <c r="VRI42">
        <f t="shared" si="279"/>
        <v>0</v>
      </c>
      <c r="VRJ42">
        <f t="shared" si="279"/>
        <v>0</v>
      </c>
      <c r="VRK42">
        <f t="shared" si="279"/>
        <v>0</v>
      </c>
      <c r="VRL42">
        <f t="shared" si="279"/>
        <v>0</v>
      </c>
      <c r="VRM42">
        <f t="shared" si="279"/>
        <v>0</v>
      </c>
      <c r="VRN42">
        <f t="shared" si="279"/>
        <v>0</v>
      </c>
      <c r="VRO42">
        <f t="shared" si="279"/>
        <v>0</v>
      </c>
      <c r="VRP42">
        <f t="shared" si="279"/>
        <v>0</v>
      </c>
      <c r="VRQ42">
        <f t="shared" si="279"/>
        <v>0</v>
      </c>
      <c r="VRR42">
        <f t="shared" ref="VRR42:VUC43" si="280">VRR41*1.6*1.2</f>
        <v>0</v>
      </c>
      <c r="VRS42">
        <f t="shared" si="280"/>
        <v>0</v>
      </c>
      <c r="VRT42">
        <f t="shared" si="280"/>
        <v>0</v>
      </c>
      <c r="VRU42">
        <f t="shared" si="280"/>
        <v>0</v>
      </c>
      <c r="VRV42">
        <f t="shared" si="280"/>
        <v>0</v>
      </c>
      <c r="VRW42">
        <f t="shared" si="280"/>
        <v>0</v>
      </c>
      <c r="VRX42">
        <f t="shared" si="280"/>
        <v>0</v>
      </c>
      <c r="VRY42">
        <f t="shared" si="280"/>
        <v>0</v>
      </c>
      <c r="VRZ42">
        <f t="shared" si="280"/>
        <v>0</v>
      </c>
      <c r="VSA42">
        <f t="shared" si="280"/>
        <v>0</v>
      </c>
      <c r="VSB42">
        <f t="shared" si="280"/>
        <v>0</v>
      </c>
      <c r="VSC42">
        <f t="shared" si="280"/>
        <v>0</v>
      </c>
      <c r="VSD42">
        <f t="shared" si="280"/>
        <v>0</v>
      </c>
      <c r="VSE42">
        <f t="shared" si="280"/>
        <v>0</v>
      </c>
      <c r="VSF42">
        <f t="shared" si="280"/>
        <v>0</v>
      </c>
      <c r="VSG42">
        <f t="shared" si="280"/>
        <v>0</v>
      </c>
      <c r="VSH42">
        <f t="shared" si="280"/>
        <v>0</v>
      </c>
      <c r="VSI42">
        <f t="shared" si="280"/>
        <v>0</v>
      </c>
      <c r="VSJ42">
        <f t="shared" si="280"/>
        <v>0</v>
      </c>
      <c r="VSK42">
        <f t="shared" si="280"/>
        <v>0</v>
      </c>
      <c r="VSL42">
        <f t="shared" si="280"/>
        <v>0</v>
      </c>
      <c r="VSM42">
        <f t="shared" si="280"/>
        <v>0</v>
      </c>
      <c r="VSN42">
        <f t="shared" si="280"/>
        <v>0</v>
      </c>
      <c r="VSO42">
        <f t="shared" si="280"/>
        <v>0</v>
      </c>
      <c r="VSP42">
        <f t="shared" si="280"/>
        <v>0</v>
      </c>
      <c r="VSQ42">
        <f t="shared" si="280"/>
        <v>0</v>
      </c>
      <c r="VSR42">
        <f t="shared" si="280"/>
        <v>0</v>
      </c>
      <c r="VSS42">
        <f t="shared" si="280"/>
        <v>0</v>
      </c>
      <c r="VST42">
        <f t="shared" si="280"/>
        <v>0</v>
      </c>
      <c r="VSU42">
        <f t="shared" si="280"/>
        <v>0</v>
      </c>
      <c r="VSV42">
        <f t="shared" si="280"/>
        <v>0</v>
      </c>
      <c r="VSW42">
        <f t="shared" si="280"/>
        <v>0</v>
      </c>
      <c r="VSX42">
        <f t="shared" si="280"/>
        <v>0</v>
      </c>
      <c r="VSY42">
        <f t="shared" si="280"/>
        <v>0</v>
      </c>
      <c r="VSZ42">
        <f t="shared" si="280"/>
        <v>0</v>
      </c>
      <c r="VTA42">
        <f t="shared" si="280"/>
        <v>0</v>
      </c>
      <c r="VTB42">
        <f t="shared" si="280"/>
        <v>0</v>
      </c>
      <c r="VTC42">
        <f t="shared" si="280"/>
        <v>0</v>
      </c>
      <c r="VTD42">
        <f t="shared" si="280"/>
        <v>0</v>
      </c>
      <c r="VTE42">
        <f t="shared" si="280"/>
        <v>0</v>
      </c>
      <c r="VTF42">
        <f t="shared" si="280"/>
        <v>0</v>
      </c>
      <c r="VTG42">
        <f t="shared" si="280"/>
        <v>0</v>
      </c>
      <c r="VTH42">
        <f t="shared" si="280"/>
        <v>0</v>
      </c>
      <c r="VTI42">
        <f t="shared" si="280"/>
        <v>0</v>
      </c>
      <c r="VTJ42">
        <f t="shared" si="280"/>
        <v>0</v>
      </c>
      <c r="VTK42">
        <f t="shared" si="280"/>
        <v>0</v>
      </c>
      <c r="VTL42">
        <f t="shared" si="280"/>
        <v>0</v>
      </c>
      <c r="VTM42">
        <f t="shared" si="280"/>
        <v>0</v>
      </c>
      <c r="VTN42">
        <f t="shared" si="280"/>
        <v>0</v>
      </c>
      <c r="VTO42">
        <f t="shared" si="280"/>
        <v>0</v>
      </c>
      <c r="VTP42">
        <f t="shared" si="280"/>
        <v>0</v>
      </c>
      <c r="VTQ42">
        <f t="shared" si="280"/>
        <v>0</v>
      </c>
      <c r="VTR42">
        <f t="shared" si="280"/>
        <v>0</v>
      </c>
      <c r="VTS42">
        <f t="shared" si="280"/>
        <v>0</v>
      </c>
      <c r="VTT42">
        <f t="shared" si="280"/>
        <v>0</v>
      </c>
      <c r="VTU42">
        <f t="shared" si="280"/>
        <v>0</v>
      </c>
      <c r="VTV42">
        <f t="shared" si="280"/>
        <v>0</v>
      </c>
      <c r="VTW42">
        <f t="shared" si="280"/>
        <v>0</v>
      </c>
      <c r="VTX42">
        <f t="shared" si="280"/>
        <v>0</v>
      </c>
      <c r="VTY42">
        <f t="shared" si="280"/>
        <v>0</v>
      </c>
      <c r="VTZ42">
        <f t="shared" si="280"/>
        <v>0</v>
      </c>
      <c r="VUA42">
        <f t="shared" si="280"/>
        <v>0</v>
      </c>
      <c r="VUB42">
        <f t="shared" si="280"/>
        <v>0</v>
      </c>
      <c r="VUC42">
        <f t="shared" si="280"/>
        <v>0</v>
      </c>
      <c r="VUD42">
        <f t="shared" ref="VUD42:VWO43" si="281">VUD41*1.6*1.2</f>
        <v>0</v>
      </c>
      <c r="VUE42">
        <f t="shared" si="281"/>
        <v>0</v>
      </c>
      <c r="VUF42">
        <f t="shared" si="281"/>
        <v>0</v>
      </c>
      <c r="VUG42">
        <f t="shared" si="281"/>
        <v>0</v>
      </c>
      <c r="VUH42">
        <f t="shared" si="281"/>
        <v>0</v>
      </c>
      <c r="VUI42">
        <f t="shared" si="281"/>
        <v>0</v>
      </c>
      <c r="VUJ42">
        <f t="shared" si="281"/>
        <v>0</v>
      </c>
      <c r="VUK42">
        <f t="shared" si="281"/>
        <v>0</v>
      </c>
      <c r="VUL42">
        <f t="shared" si="281"/>
        <v>0</v>
      </c>
      <c r="VUM42">
        <f t="shared" si="281"/>
        <v>0</v>
      </c>
      <c r="VUN42">
        <f t="shared" si="281"/>
        <v>0</v>
      </c>
      <c r="VUO42">
        <f t="shared" si="281"/>
        <v>0</v>
      </c>
      <c r="VUP42">
        <f t="shared" si="281"/>
        <v>0</v>
      </c>
      <c r="VUQ42">
        <f t="shared" si="281"/>
        <v>0</v>
      </c>
      <c r="VUR42">
        <f t="shared" si="281"/>
        <v>0</v>
      </c>
      <c r="VUS42">
        <f t="shared" si="281"/>
        <v>0</v>
      </c>
      <c r="VUT42">
        <f t="shared" si="281"/>
        <v>0</v>
      </c>
      <c r="VUU42">
        <f t="shared" si="281"/>
        <v>0</v>
      </c>
      <c r="VUV42">
        <f t="shared" si="281"/>
        <v>0</v>
      </c>
      <c r="VUW42">
        <f t="shared" si="281"/>
        <v>0</v>
      </c>
      <c r="VUX42">
        <f t="shared" si="281"/>
        <v>0</v>
      </c>
      <c r="VUY42">
        <f t="shared" si="281"/>
        <v>0</v>
      </c>
      <c r="VUZ42">
        <f t="shared" si="281"/>
        <v>0</v>
      </c>
      <c r="VVA42">
        <f t="shared" si="281"/>
        <v>0</v>
      </c>
      <c r="VVB42">
        <f t="shared" si="281"/>
        <v>0</v>
      </c>
      <c r="VVC42">
        <f t="shared" si="281"/>
        <v>0</v>
      </c>
      <c r="VVD42">
        <f t="shared" si="281"/>
        <v>0</v>
      </c>
      <c r="VVE42">
        <f t="shared" si="281"/>
        <v>0</v>
      </c>
      <c r="VVF42">
        <f t="shared" si="281"/>
        <v>0</v>
      </c>
      <c r="VVG42">
        <f t="shared" si="281"/>
        <v>0</v>
      </c>
      <c r="VVH42">
        <f t="shared" si="281"/>
        <v>0</v>
      </c>
      <c r="VVI42">
        <f t="shared" si="281"/>
        <v>0</v>
      </c>
      <c r="VVJ42">
        <f t="shared" si="281"/>
        <v>0</v>
      </c>
      <c r="VVK42">
        <f t="shared" si="281"/>
        <v>0</v>
      </c>
      <c r="VVL42">
        <f t="shared" si="281"/>
        <v>0</v>
      </c>
      <c r="VVM42">
        <f t="shared" si="281"/>
        <v>0</v>
      </c>
      <c r="VVN42">
        <f t="shared" si="281"/>
        <v>0</v>
      </c>
      <c r="VVO42">
        <f t="shared" si="281"/>
        <v>0</v>
      </c>
      <c r="VVP42">
        <f t="shared" si="281"/>
        <v>0</v>
      </c>
      <c r="VVQ42">
        <f t="shared" si="281"/>
        <v>0</v>
      </c>
      <c r="VVR42">
        <f t="shared" si="281"/>
        <v>0</v>
      </c>
      <c r="VVS42">
        <f t="shared" si="281"/>
        <v>0</v>
      </c>
      <c r="VVT42">
        <f t="shared" si="281"/>
        <v>0</v>
      </c>
      <c r="VVU42">
        <f t="shared" si="281"/>
        <v>0</v>
      </c>
      <c r="VVV42">
        <f t="shared" si="281"/>
        <v>0</v>
      </c>
      <c r="VVW42">
        <f t="shared" si="281"/>
        <v>0</v>
      </c>
      <c r="VVX42">
        <f t="shared" si="281"/>
        <v>0</v>
      </c>
      <c r="VVY42">
        <f t="shared" si="281"/>
        <v>0</v>
      </c>
      <c r="VVZ42">
        <f t="shared" si="281"/>
        <v>0</v>
      </c>
      <c r="VWA42">
        <f t="shared" si="281"/>
        <v>0</v>
      </c>
      <c r="VWB42">
        <f t="shared" si="281"/>
        <v>0</v>
      </c>
      <c r="VWC42">
        <f t="shared" si="281"/>
        <v>0</v>
      </c>
      <c r="VWD42">
        <f t="shared" si="281"/>
        <v>0</v>
      </c>
      <c r="VWE42">
        <f t="shared" si="281"/>
        <v>0</v>
      </c>
      <c r="VWF42">
        <f t="shared" si="281"/>
        <v>0</v>
      </c>
      <c r="VWG42">
        <f t="shared" si="281"/>
        <v>0</v>
      </c>
      <c r="VWH42">
        <f t="shared" si="281"/>
        <v>0</v>
      </c>
      <c r="VWI42">
        <f t="shared" si="281"/>
        <v>0</v>
      </c>
      <c r="VWJ42">
        <f t="shared" si="281"/>
        <v>0</v>
      </c>
      <c r="VWK42">
        <f t="shared" si="281"/>
        <v>0</v>
      </c>
      <c r="VWL42">
        <f t="shared" si="281"/>
        <v>0</v>
      </c>
      <c r="VWM42">
        <f t="shared" si="281"/>
        <v>0</v>
      </c>
      <c r="VWN42">
        <f t="shared" si="281"/>
        <v>0</v>
      </c>
      <c r="VWO42">
        <f t="shared" si="281"/>
        <v>0</v>
      </c>
      <c r="VWP42">
        <f t="shared" ref="VWP42:VZA43" si="282">VWP41*1.6*1.2</f>
        <v>0</v>
      </c>
      <c r="VWQ42">
        <f t="shared" si="282"/>
        <v>0</v>
      </c>
      <c r="VWR42">
        <f t="shared" si="282"/>
        <v>0</v>
      </c>
      <c r="VWS42">
        <f t="shared" si="282"/>
        <v>0</v>
      </c>
      <c r="VWT42">
        <f t="shared" si="282"/>
        <v>0</v>
      </c>
      <c r="VWU42">
        <f t="shared" si="282"/>
        <v>0</v>
      </c>
      <c r="VWV42">
        <f t="shared" si="282"/>
        <v>0</v>
      </c>
      <c r="VWW42">
        <f t="shared" si="282"/>
        <v>0</v>
      </c>
      <c r="VWX42">
        <f t="shared" si="282"/>
        <v>0</v>
      </c>
      <c r="VWY42">
        <f t="shared" si="282"/>
        <v>0</v>
      </c>
      <c r="VWZ42">
        <f t="shared" si="282"/>
        <v>0</v>
      </c>
      <c r="VXA42">
        <f t="shared" si="282"/>
        <v>0</v>
      </c>
      <c r="VXB42">
        <f t="shared" si="282"/>
        <v>0</v>
      </c>
      <c r="VXC42">
        <f t="shared" si="282"/>
        <v>0</v>
      </c>
      <c r="VXD42">
        <f t="shared" si="282"/>
        <v>0</v>
      </c>
      <c r="VXE42">
        <f t="shared" si="282"/>
        <v>0</v>
      </c>
      <c r="VXF42">
        <f t="shared" si="282"/>
        <v>0</v>
      </c>
      <c r="VXG42">
        <f t="shared" si="282"/>
        <v>0</v>
      </c>
      <c r="VXH42">
        <f t="shared" si="282"/>
        <v>0</v>
      </c>
      <c r="VXI42">
        <f t="shared" si="282"/>
        <v>0</v>
      </c>
      <c r="VXJ42">
        <f t="shared" si="282"/>
        <v>0</v>
      </c>
      <c r="VXK42">
        <f t="shared" si="282"/>
        <v>0</v>
      </c>
      <c r="VXL42">
        <f t="shared" si="282"/>
        <v>0</v>
      </c>
      <c r="VXM42">
        <f t="shared" si="282"/>
        <v>0</v>
      </c>
      <c r="VXN42">
        <f t="shared" si="282"/>
        <v>0</v>
      </c>
      <c r="VXO42">
        <f t="shared" si="282"/>
        <v>0</v>
      </c>
      <c r="VXP42">
        <f t="shared" si="282"/>
        <v>0</v>
      </c>
      <c r="VXQ42">
        <f t="shared" si="282"/>
        <v>0</v>
      </c>
      <c r="VXR42">
        <f t="shared" si="282"/>
        <v>0</v>
      </c>
      <c r="VXS42">
        <f t="shared" si="282"/>
        <v>0</v>
      </c>
      <c r="VXT42">
        <f t="shared" si="282"/>
        <v>0</v>
      </c>
      <c r="VXU42">
        <f t="shared" si="282"/>
        <v>0</v>
      </c>
      <c r="VXV42">
        <f t="shared" si="282"/>
        <v>0</v>
      </c>
      <c r="VXW42">
        <f t="shared" si="282"/>
        <v>0</v>
      </c>
      <c r="VXX42">
        <f t="shared" si="282"/>
        <v>0</v>
      </c>
      <c r="VXY42">
        <f t="shared" si="282"/>
        <v>0</v>
      </c>
      <c r="VXZ42">
        <f t="shared" si="282"/>
        <v>0</v>
      </c>
      <c r="VYA42">
        <f t="shared" si="282"/>
        <v>0</v>
      </c>
      <c r="VYB42">
        <f t="shared" si="282"/>
        <v>0</v>
      </c>
      <c r="VYC42">
        <f t="shared" si="282"/>
        <v>0</v>
      </c>
      <c r="VYD42">
        <f t="shared" si="282"/>
        <v>0</v>
      </c>
      <c r="VYE42">
        <f t="shared" si="282"/>
        <v>0</v>
      </c>
      <c r="VYF42">
        <f t="shared" si="282"/>
        <v>0</v>
      </c>
      <c r="VYG42">
        <f t="shared" si="282"/>
        <v>0</v>
      </c>
      <c r="VYH42">
        <f t="shared" si="282"/>
        <v>0</v>
      </c>
      <c r="VYI42">
        <f t="shared" si="282"/>
        <v>0</v>
      </c>
      <c r="VYJ42">
        <f t="shared" si="282"/>
        <v>0</v>
      </c>
      <c r="VYK42">
        <f t="shared" si="282"/>
        <v>0</v>
      </c>
      <c r="VYL42">
        <f t="shared" si="282"/>
        <v>0</v>
      </c>
      <c r="VYM42">
        <f t="shared" si="282"/>
        <v>0</v>
      </c>
      <c r="VYN42">
        <f t="shared" si="282"/>
        <v>0</v>
      </c>
      <c r="VYO42">
        <f t="shared" si="282"/>
        <v>0</v>
      </c>
      <c r="VYP42">
        <f t="shared" si="282"/>
        <v>0</v>
      </c>
      <c r="VYQ42">
        <f t="shared" si="282"/>
        <v>0</v>
      </c>
      <c r="VYR42">
        <f t="shared" si="282"/>
        <v>0</v>
      </c>
      <c r="VYS42">
        <f t="shared" si="282"/>
        <v>0</v>
      </c>
      <c r="VYT42">
        <f t="shared" si="282"/>
        <v>0</v>
      </c>
      <c r="VYU42">
        <f t="shared" si="282"/>
        <v>0</v>
      </c>
      <c r="VYV42">
        <f t="shared" si="282"/>
        <v>0</v>
      </c>
      <c r="VYW42">
        <f t="shared" si="282"/>
        <v>0</v>
      </c>
      <c r="VYX42">
        <f t="shared" si="282"/>
        <v>0</v>
      </c>
      <c r="VYY42">
        <f t="shared" si="282"/>
        <v>0</v>
      </c>
      <c r="VYZ42">
        <f t="shared" si="282"/>
        <v>0</v>
      </c>
      <c r="VZA42">
        <f t="shared" si="282"/>
        <v>0</v>
      </c>
      <c r="VZB42">
        <f t="shared" ref="VZB42:WBM43" si="283">VZB41*1.6*1.2</f>
        <v>0</v>
      </c>
      <c r="VZC42">
        <f t="shared" si="283"/>
        <v>0</v>
      </c>
      <c r="VZD42">
        <f t="shared" si="283"/>
        <v>0</v>
      </c>
      <c r="VZE42">
        <f t="shared" si="283"/>
        <v>0</v>
      </c>
      <c r="VZF42">
        <f t="shared" si="283"/>
        <v>0</v>
      </c>
      <c r="VZG42">
        <f t="shared" si="283"/>
        <v>0</v>
      </c>
      <c r="VZH42">
        <f t="shared" si="283"/>
        <v>0</v>
      </c>
      <c r="VZI42">
        <f t="shared" si="283"/>
        <v>0</v>
      </c>
      <c r="VZJ42">
        <f t="shared" si="283"/>
        <v>0</v>
      </c>
      <c r="VZK42">
        <f t="shared" si="283"/>
        <v>0</v>
      </c>
      <c r="VZL42">
        <f t="shared" si="283"/>
        <v>0</v>
      </c>
      <c r="VZM42">
        <f t="shared" si="283"/>
        <v>0</v>
      </c>
      <c r="VZN42">
        <f t="shared" si="283"/>
        <v>0</v>
      </c>
      <c r="VZO42">
        <f t="shared" si="283"/>
        <v>0</v>
      </c>
      <c r="VZP42">
        <f t="shared" si="283"/>
        <v>0</v>
      </c>
      <c r="VZQ42">
        <f t="shared" si="283"/>
        <v>0</v>
      </c>
      <c r="VZR42">
        <f t="shared" si="283"/>
        <v>0</v>
      </c>
      <c r="VZS42">
        <f t="shared" si="283"/>
        <v>0</v>
      </c>
      <c r="VZT42">
        <f t="shared" si="283"/>
        <v>0</v>
      </c>
      <c r="VZU42">
        <f t="shared" si="283"/>
        <v>0</v>
      </c>
      <c r="VZV42">
        <f t="shared" si="283"/>
        <v>0</v>
      </c>
      <c r="VZW42">
        <f t="shared" si="283"/>
        <v>0</v>
      </c>
      <c r="VZX42">
        <f t="shared" si="283"/>
        <v>0</v>
      </c>
      <c r="VZY42">
        <f t="shared" si="283"/>
        <v>0</v>
      </c>
      <c r="VZZ42">
        <f t="shared" si="283"/>
        <v>0</v>
      </c>
      <c r="WAA42">
        <f t="shared" si="283"/>
        <v>0</v>
      </c>
      <c r="WAB42">
        <f t="shared" si="283"/>
        <v>0</v>
      </c>
      <c r="WAC42">
        <f t="shared" si="283"/>
        <v>0</v>
      </c>
      <c r="WAD42">
        <f t="shared" si="283"/>
        <v>0</v>
      </c>
      <c r="WAE42">
        <f t="shared" si="283"/>
        <v>0</v>
      </c>
      <c r="WAF42">
        <f t="shared" si="283"/>
        <v>0</v>
      </c>
      <c r="WAG42">
        <f t="shared" si="283"/>
        <v>0</v>
      </c>
      <c r="WAH42">
        <f t="shared" si="283"/>
        <v>0</v>
      </c>
      <c r="WAI42">
        <f t="shared" si="283"/>
        <v>0</v>
      </c>
      <c r="WAJ42">
        <f t="shared" si="283"/>
        <v>0</v>
      </c>
      <c r="WAK42">
        <f t="shared" si="283"/>
        <v>0</v>
      </c>
      <c r="WAL42">
        <f t="shared" si="283"/>
        <v>0</v>
      </c>
      <c r="WAM42">
        <f t="shared" si="283"/>
        <v>0</v>
      </c>
      <c r="WAN42">
        <f t="shared" si="283"/>
        <v>0</v>
      </c>
      <c r="WAO42">
        <f t="shared" si="283"/>
        <v>0</v>
      </c>
      <c r="WAP42">
        <f t="shared" si="283"/>
        <v>0</v>
      </c>
      <c r="WAQ42">
        <f t="shared" si="283"/>
        <v>0</v>
      </c>
      <c r="WAR42">
        <f t="shared" si="283"/>
        <v>0</v>
      </c>
      <c r="WAS42">
        <f t="shared" si="283"/>
        <v>0</v>
      </c>
      <c r="WAT42">
        <f t="shared" si="283"/>
        <v>0</v>
      </c>
      <c r="WAU42">
        <f t="shared" si="283"/>
        <v>0</v>
      </c>
      <c r="WAV42">
        <f t="shared" si="283"/>
        <v>0</v>
      </c>
      <c r="WAW42">
        <f t="shared" si="283"/>
        <v>0</v>
      </c>
      <c r="WAX42">
        <f t="shared" si="283"/>
        <v>0</v>
      </c>
      <c r="WAY42">
        <f t="shared" si="283"/>
        <v>0</v>
      </c>
      <c r="WAZ42">
        <f t="shared" si="283"/>
        <v>0</v>
      </c>
      <c r="WBA42">
        <f t="shared" si="283"/>
        <v>0</v>
      </c>
      <c r="WBB42">
        <f t="shared" si="283"/>
        <v>0</v>
      </c>
      <c r="WBC42">
        <f t="shared" si="283"/>
        <v>0</v>
      </c>
      <c r="WBD42">
        <f t="shared" si="283"/>
        <v>0</v>
      </c>
      <c r="WBE42">
        <f t="shared" si="283"/>
        <v>0</v>
      </c>
      <c r="WBF42">
        <f t="shared" si="283"/>
        <v>0</v>
      </c>
      <c r="WBG42">
        <f t="shared" si="283"/>
        <v>0</v>
      </c>
      <c r="WBH42">
        <f t="shared" si="283"/>
        <v>0</v>
      </c>
      <c r="WBI42">
        <f t="shared" si="283"/>
        <v>0</v>
      </c>
      <c r="WBJ42">
        <f t="shared" si="283"/>
        <v>0</v>
      </c>
      <c r="WBK42">
        <f t="shared" si="283"/>
        <v>0</v>
      </c>
      <c r="WBL42">
        <f t="shared" si="283"/>
        <v>0</v>
      </c>
      <c r="WBM42">
        <f t="shared" si="283"/>
        <v>0</v>
      </c>
      <c r="WBN42">
        <f t="shared" ref="WBN42:WDY43" si="284">WBN41*1.6*1.2</f>
        <v>0</v>
      </c>
      <c r="WBO42">
        <f t="shared" si="284"/>
        <v>0</v>
      </c>
      <c r="WBP42">
        <f t="shared" si="284"/>
        <v>0</v>
      </c>
      <c r="WBQ42">
        <f t="shared" si="284"/>
        <v>0</v>
      </c>
      <c r="WBR42">
        <f t="shared" si="284"/>
        <v>0</v>
      </c>
      <c r="WBS42">
        <f t="shared" si="284"/>
        <v>0</v>
      </c>
      <c r="WBT42">
        <f t="shared" si="284"/>
        <v>0</v>
      </c>
      <c r="WBU42">
        <f t="shared" si="284"/>
        <v>0</v>
      </c>
      <c r="WBV42">
        <f t="shared" si="284"/>
        <v>0</v>
      </c>
      <c r="WBW42">
        <f t="shared" si="284"/>
        <v>0</v>
      </c>
      <c r="WBX42">
        <f t="shared" si="284"/>
        <v>0</v>
      </c>
      <c r="WBY42">
        <f t="shared" si="284"/>
        <v>0</v>
      </c>
      <c r="WBZ42">
        <f t="shared" si="284"/>
        <v>0</v>
      </c>
      <c r="WCA42">
        <f t="shared" si="284"/>
        <v>0</v>
      </c>
      <c r="WCB42">
        <f t="shared" si="284"/>
        <v>0</v>
      </c>
      <c r="WCC42">
        <f t="shared" si="284"/>
        <v>0</v>
      </c>
      <c r="WCD42">
        <f t="shared" si="284"/>
        <v>0</v>
      </c>
      <c r="WCE42">
        <f t="shared" si="284"/>
        <v>0</v>
      </c>
      <c r="WCF42">
        <f t="shared" si="284"/>
        <v>0</v>
      </c>
      <c r="WCG42">
        <f t="shared" si="284"/>
        <v>0</v>
      </c>
      <c r="WCH42">
        <f t="shared" si="284"/>
        <v>0</v>
      </c>
      <c r="WCI42">
        <f t="shared" si="284"/>
        <v>0</v>
      </c>
      <c r="WCJ42">
        <f t="shared" si="284"/>
        <v>0</v>
      </c>
      <c r="WCK42">
        <f t="shared" si="284"/>
        <v>0</v>
      </c>
      <c r="WCL42">
        <f t="shared" si="284"/>
        <v>0</v>
      </c>
      <c r="WCM42">
        <f t="shared" si="284"/>
        <v>0</v>
      </c>
      <c r="WCN42">
        <f t="shared" si="284"/>
        <v>0</v>
      </c>
      <c r="WCO42">
        <f t="shared" si="284"/>
        <v>0</v>
      </c>
      <c r="WCP42">
        <f t="shared" si="284"/>
        <v>0</v>
      </c>
      <c r="WCQ42">
        <f t="shared" si="284"/>
        <v>0</v>
      </c>
      <c r="WCR42">
        <f t="shared" si="284"/>
        <v>0</v>
      </c>
      <c r="WCS42">
        <f t="shared" si="284"/>
        <v>0</v>
      </c>
      <c r="WCT42">
        <f t="shared" si="284"/>
        <v>0</v>
      </c>
      <c r="WCU42">
        <f t="shared" si="284"/>
        <v>0</v>
      </c>
      <c r="WCV42">
        <f t="shared" si="284"/>
        <v>0</v>
      </c>
      <c r="WCW42">
        <f t="shared" si="284"/>
        <v>0</v>
      </c>
      <c r="WCX42">
        <f t="shared" si="284"/>
        <v>0</v>
      </c>
      <c r="WCY42">
        <f t="shared" si="284"/>
        <v>0</v>
      </c>
      <c r="WCZ42">
        <f t="shared" si="284"/>
        <v>0</v>
      </c>
      <c r="WDA42">
        <f t="shared" si="284"/>
        <v>0</v>
      </c>
      <c r="WDB42">
        <f t="shared" si="284"/>
        <v>0</v>
      </c>
      <c r="WDC42">
        <f t="shared" si="284"/>
        <v>0</v>
      </c>
      <c r="WDD42">
        <f t="shared" si="284"/>
        <v>0</v>
      </c>
      <c r="WDE42">
        <f t="shared" si="284"/>
        <v>0</v>
      </c>
      <c r="WDF42">
        <f t="shared" si="284"/>
        <v>0</v>
      </c>
      <c r="WDG42">
        <f t="shared" si="284"/>
        <v>0</v>
      </c>
      <c r="WDH42">
        <f t="shared" si="284"/>
        <v>0</v>
      </c>
      <c r="WDI42">
        <f t="shared" si="284"/>
        <v>0</v>
      </c>
      <c r="WDJ42">
        <f t="shared" si="284"/>
        <v>0</v>
      </c>
      <c r="WDK42">
        <f t="shared" si="284"/>
        <v>0</v>
      </c>
      <c r="WDL42">
        <f t="shared" si="284"/>
        <v>0</v>
      </c>
      <c r="WDM42">
        <f t="shared" si="284"/>
        <v>0</v>
      </c>
      <c r="WDN42">
        <f t="shared" si="284"/>
        <v>0</v>
      </c>
      <c r="WDO42">
        <f t="shared" si="284"/>
        <v>0</v>
      </c>
      <c r="WDP42">
        <f t="shared" si="284"/>
        <v>0</v>
      </c>
      <c r="WDQ42">
        <f t="shared" si="284"/>
        <v>0</v>
      </c>
      <c r="WDR42">
        <f t="shared" si="284"/>
        <v>0</v>
      </c>
      <c r="WDS42">
        <f t="shared" si="284"/>
        <v>0</v>
      </c>
      <c r="WDT42">
        <f t="shared" si="284"/>
        <v>0</v>
      </c>
      <c r="WDU42">
        <f t="shared" si="284"/>
        <v>0</v>
      </c>
      <c r="WDV42">
        <f t="shared" si="284"/>
        <v>0</v>
      </c>
      <c r="WDW42">
        <f t="shared" si="284"/>
        <v>0</v>
      </c>
      <c r="WDX42">
        <f t="shared" si="284"/>
        <v>0</v>
      </c>
      <c r="WDY42">
        <f t="shared" si="284"/>
        <v>0</v>
      </c>
      <c r="WDZ42">
        <f t="shared" ref="WDZ42:WGK43" si="285">WDZ41*1.6*1.2</f>
        <v>0</v>
      </c>
      <c r="WEA42">
        <f t="shared" si="285"/>
        <v>0</v>
      </c>
      <c r="WEB42">
        <f t="shared" si="285"/>
        <v>0</v>
      </c>
      <c r="WEC42">
        <f t="shared" si="285"/>
        <v>0</v>
      </c>
      <c r="WED42">
        <f t="shared" si="285"/>
        <v>0</v>
      </c>
      <c r="WEE42">
        <f t="shared" si="285"/>
        <v>0</v>
      </c>
      <c r="WEF42">
        <f t="shared" si="285"/>
        <v>0</v>
      </c>
      <c r="WEG42">
        <f t="shared" si="285"/>
        <v>0</v>
      </c>
      <c r="WEH42">
        <f t="shared" si="285"/>
        <v>0</v>
      </c>
      <c r="WEI42">
        <f t="shared" si="285"/>
        <v>0</v>
      </c>
      <c r="WEJ42">
        <f t="shared" si="285"/>
        <v>0</v>
      </c>
      <c r="WEK42">
        <f t="shared" si="285"/>
        <v>0</v>
      </c>
      <c r="WEL42">
        <f t="shared" si="285"/>
        <v>0</v>
      </c>
      <c r="WEM42">
        <f t="shared" si="285"/>
        <v>0</v>
      </c>
      <c r="WEN42">
        <f t="shared" si="285"/>
        <v>0</v>
      </c>
      <c r="WEO42">
        <f t="shared" si="285"/>
        <v>0</v>
      </c>
      <c r="WEP42">
        <f t="shared" si="285"/>
        <v>0</v>
      </c>
      <c r="WEQ42">
        <f t="shared" si="285"/>
        <v>0</v>
      </c>
      <c r="WER42">
        <f t="shared" si="285"/>
        <v>0</v>
      </c>
      <c r="WES42">
        <f t="shared" si="285"/>
        <v>0</v>
      </c>
      <c r="WET42">
        <f t="shared" si="285"/>
        <v>0</v>
      </c>
      <c r="WEU42">
        <f t="shared" si="285"/>
        <v>0</v>
      </c>
      <c r="WEV42">
        <f t="shared" si="285"/>
        <v>0</v>
      </c>
      <c r="WEW42">
        <f t="shared" si="285"/>
        <v>0</v>
      </c>
      <c r="WEX42">
        <f t="shared" si="285"/>
        <v>0</v>
      </c>
      <c r="WEY42">
        <f t="shared" si="285"/>
        <v>0</v>
      </c>
      <c r="WEZ42">
        <f t="shared" si="285"/>
        <v>0</v>
      </c>
      <c r="WFA42">
        <f t="shared" si="285"/>
        <v>0</v>
      </c>
      <c r="WFB42">
        <f t="shared" si="285"/>
        <v>0</v>
      </c>
      <c r="WFC42">
        <f t="shared" si="285"/>
        <v>0</v>
      </c>
      <c r="WFD42">
        <f t="shared" si="285"/>
        <v>0</v>
      </c>
      <c r="WFE42">
        <f t="shared" si="285"/>
        <v>0</v>
      </c>
      <c r="WFF42">
        <f t="shared" si="285"/>
        <v>0</v>
      </c>
      <c r="WFG42">
        <f t="shared" si="285"/>
        <v>0</v>
      </c>
      <c r="WFH42">
        <f t="shared" si="285"/>
        <v>0</v>
      </c>
      <c r="WFI42">
        <f t="shared" si="285"/>
        <v>0</v>
      </c>
      <c r="WFJ42">
        <f t="shared" si="285"/>
        <v>0</v>
      </c>
      <c r="WFK42">
        <f t="shared" si="285"/>
        <v>0</v>
      </c>
      <c r="WFL42">
        <f t="shared" si="285"/>
        <v>0</v>
      </c>
      <c r="WFM42">
        <f t="shared" si="285"/>
        <v>0</v>
      </c>
      <c r="WFN42">
        <f t="shared" si="285"/>
        <v>0</v>
      </c>
      <c r="WFO42">
        <f t="shared" si="285"/>
        <v>0</v>
      </c>
      <c r="WFP42">
        <f t="shared" si="285"/>
        <v>0</v>
      </c>
      <c r="WFQ42">
        <f t="shared" si="285"/>
        <v>0</v>
      </c>
      <c r="WFR42">
        <f t="shared" si="285"/>
        <v>0</v>
      </c>
      <c r="WFS42">
        <f t="shared" si="285"/>
        <v>0</v>
      </c>
      <c r="WFT42">
        <f t="shared" si="285"/>
        <v>0</v>
      </c>
      <c r="WFU42">
        <f t="shared" si="285"/>
        <v>0</v>
      </c>
      <c r="WFV42">
        <f t="shared" si="285"/>
        <v>0</v>
      </c>
      <c r="WFW42">
        <f t="shared" si="285"/>
        <v>0</v>
      </c>
      <c r="WFX42">
        <f t="shared" si="285"/>
        <v>0</v>
      </c>
      <c r="WFY42">
        <f t="shared" si="285"/>
        <v>0</v>
      </c>
      <c r="WFZ42">
        <f t="shared" si="285"/>
        <v>0</v>
      </c>
      <c r="WGA42">
        <f t="shared" si="285"/>
        <v>0</v>
      </c>
      <c r="WGB42">
        <f t="shared" si="285"/>
        <v>0</v>
      </c>
      <c r="WGC42">
        <f t="shared" si="285"/>
        <v>0</v>
      </c>
      <c r="WGD42">
        <f t="shared" si="285"/>
        <v>0</v>
      </c>
      <c r="WGE42">
        <f t="shared" si="285"/>
        <v>0</v>
      </c>
      <c r="WGF42">
        <f t="shared" si="285"/>
        <v>0</v>
      </c>
      <c r="WGG42">
        <f t="shared" si="285"/>
        <v>0</v>
      </c>
      <c r="WGH42">
        <f t="shared" si="285"/>
        <v>0</v>
      </c>
      <c r="WGI42">
        <f t="shared" si="285"/>
        <v>0</v>
      </c>
      <c r="WGJ42">
        <f t="shared" si="285"/>
        <v>0</v>
      </c>
      <c r="WGK42">
        <f t="shared" si="285"/>
        <v>0</v>
      </c>
      <c r="WGL42">
        <f t="shared" ref="WGL42:WIW43" si="286">WGL41*1.6*1.2</f>
        <v>0</v>
      </c>
      <c r="WGM42">
        <f t="shared" si="286"/>
        <v>0</v>
      </c>
      <c r="WGN42">
        <f t="shared" si="286"/>
        <v>0</v>
      </c>
      <c r="WGO42">
        <f t="shared" si="286"/>
        <v>0</v>
      </c>
      <c r="WGP42">
        <f t="shared" si="286"/>
        <v>0</v>
      </c>
      <c r="WGQ42">
        <f t="shared" si="286"/>
        <v>0</v>
      </c>
      <c r="WGR42">
        <f t="shared" si="286"/>
        <v>0</v>
      </c>
      <c r="WGS42">
        <f t="shared" si="286"/>
        <v>0</v>
      </c>
      <c r="WGT42">
        <f t="shared" si="286"/>
        <v>0</v>
      </c>
      <c r="WGU42">
        <f t="shared" si="286"/>
        <v>0</v>
      </c>
      <c r="WGV42">
        <f t="shared" si="286"/>
        <v>0</v>
      </c>
      <c r="WGW42">
        <f t="shared" si="286"/>
        <v>0</v>
      </c>
      <c r="WGX42">
        <f t="shared" si="286"/>
        <v>0</v>
      </c>
      <c r="WGY42">
        <f t="shared" si="286"/>
        <v>0</v>
      </c>
      <c r="WGZ42">
        <f t="shared" si="286"/>
        <v>0</v>
      </c>
      <c r="WHA42">
        <f t="shared" si="286"/>
        <v>0</v>
      </c>
      <c r="WHB42">
        <f t="shared" si="286"/>
        <v>0</v>
      </c>
      <c r="WHC42">
        <f t="shared" si="286"/>
        <v>0</v>
      </c>
      <c r="WHD42">
        <f t="shared" si="286"/>
        <v>0</v>
      </c>
      <c r="WHE42">
        <f t="shared" si="286"/>
        <v>0</v>
      </c>
      <c r="WHF42">
        <f t="shared" si="286"/>
        <v>0</v>
      </c>
      <c r="WHG42">
        <f t="shared" si="286"/>
        <v>0</v>
      </c>
      <c r="WHH42">
        <f t="shared" si="286"/>
        <v>0</v>
      </c>
      <c r="WHI42">
        <f t="shared" si="286"/>
        <v>0</v>
      </c>
      <c r="WHJ42">
        <f t="shared" si="286"/>
        <v>0</v>
      </c>
      <c r="WHK42">
        <f t="shared" si="286"/>
        <v>0</v>
      </c>
      <c r="WHL42">
        <f t="shared" si="286"/>
        <v>0</v>
      </c>
      <c r="WHM42">
        <f t="shared" si="286"/>
        <v>0</v>
      </c>
      <c r="WHN42">
        <f t="shared" si="286"/>
        <v>0</v>
      </c>
      <c r="WHO42">
        <f t="shared" si="286"/>
        <v>0</v>
      </c>
      <c r="WHP42">
        <f t="shared" si="286"/>
        <v>0</v>
      </c>
      <c r="WHQ42">
        <f t="shared" si="286"/>
        <v>0</v>
      </c>
      <c r="WHR42">
        <f t="shared" si="286"/>
        <v>0</v>
      </c>
      <c r="WHS42">
        <f t="shared" si="286"/>
        <v>0</v>
      </c>
      <c r="WHT42">
        <f t="shared" si="286"/>
        <v>0</v>
      </c>
      <c r="WHU42">
        <f t="shared" si="286"/>
        <v>0</v>
      </c>
      <c r="WHV42">
        <f t="shared" si="286"/>
        <v>0</v>
      </c>
      <c r="WHW42">
        <f t="shared" si="286"/>
        <v>0</v>
      </c>
      <c r="WHX42">
        <f t="shared" si="286"/>
        <v>0</v>
      </c>
      <c r="WHY42">
        <f t="shared" si="286"/>
        <v>0</v>
      </c>
      <c r="WHZ42">
        <f t="shared" si="286"/>
        <v>0</v>
      </c>
      <c r="WIA42">
        <f t="shared" si="286"/>
        <v>0</v>
      </c>
      <c r="WIB42">
        <f t="shared" si="286"/>
        <v>0</v>
      </c>
      <c r="WIC42">
        <f t="shared" si="286"/>
        <v>0</v>
      </c>
      <c r="WID42">
        <f t="shared" si="286"/>
        <v>0</v>
      </c>
      <c r="WIE42">
        <f t="shared" si="286"/>
        <v>0</v>
      </c>
      <c r="WIF42">
        <f t="shared" si="286"/>
        <v>0</v>
      </c>
      <c r="WIG42">
        <f t="shared" si="286"/>
        <v>0</v>
      </c>
      <c r="WIH42">
        <f t="shared" si="286"/>
        <v>0</v>
      </c>
      <c r="WII42">
        <f t="shared" si="286"/>
        <v>0</v>
      </c>
      <c r="WIJ42">
        <f t="shared" si="286"/>
        <v>0</v>
      </c>
      <c r="WIK42">
        <f t="shared" si="286"/>
        <v>0</v>
      </c>
      <c r="WIL42">
        <f t="shared" si="286"/>
        <v>0</v>
      </c>
      <c r="WIM42">
        <f t="shared" si="286"/>
        <v>0</v>
      </c>
      <c r="WIN42">
        <f t="shared" si="286"/>
        <v>0</v>
      </c>
      <c r="WIO42">
        <f t="shared" si="286"/>
        <v>0</v>
      </c>
      <c r="WIP42">
        <f t="shared" si="286"/>
        <v>0</v>
      </c>
      <c r="WIQ42">
        <f t="shared" si="286"/>
        <v>0</v>
      </c>
      <c r="WIR42">
        <f t="shared" si="286"/>
        <v>0</v>
      </c>
      <c r="WIS42">
        <f t="shared" si="286"/>
        <v>0</v>
      </c>
      <c r="WIT42">
        <f t="shared" si="286"/>
        <v>0</v>
      </c>
      <c r="WIU42">
        <f t="shared" si="286"/>
        <v>0</v>
      </c>
      <c r="WIV42">
        <f t="shared" si="286"/>
        <v>0</v>
      </c>
      <c r="WIW42">
        <f t="shared" si="286"/>
        <v>0</v>
      </c>
      <c r="WIX42">
        <f t="shared" ref="WIX42:WLI43" si="287">WIX41*1.6*1.2</f>
        <v>0</v>
      </c>
      <c r="WIY42">
        <f t="shared" si="287"/>
        <v>0</v>
      </c>
      <c r="WIZ42">
        <f t="shared" si="287"/>
        <v>0</v>
      </c>
      <c r="WJA42">
        <f t="shared" si="287"/>
        <v>0</v>
      </c>
      <c r="WJB42">
        <f t="shared" si="287"/>
        <v>0</v>
      </c>
      <c r="WJC42">
        <f t="shared" si="287"/>
        <v>0</v>
      </c>
      <c r="WJD42">
        <f t="shared" si="287"/>
        <v>0</v>
      </c>
      <c r="WJE42">
        <f t="shared" si="287"/>
        <v>0</v>
      </c>
      <c r="WJF42">
        <f t="shared" si="287"/>
        <v>0</v>
      </c>
      <c r="WJG42">
        <f t="shared" si="287"/>
        <v>0</v>
      </c>
      <c r="WJH42">
        <f t="shared" si="287"/>
        <v>0</v>
      </c>
      <c r="WJI42">
        <f t="shared" si="287"/>
        <v>0</v>
      </c>
      <c r="WJJ42">
        <f t="shared" si="287"/>
        <v>0</v>
      </c>
      <c r="WJK42">
        <f t="shared" si="287"/>
        <v>0</v>
      </c>
      <c r="WJL42">
        <f t="shared" si="287"/>
        <v>0</v>
      </c>
      <c r="WJM42">
        <f t="shared" si="287"/>
        <v>0</v>
      </c>
      <c r="WJN42">
        <f t="shared" si="287"/>
        <v>0</v>
      </c>
      <c r="WJO42">
        <f t="shared" si="287"/>
        <v>0</v>
      </c>
      <c r="WJP42">
        <f t="shared" si="287"/>
        <v>0</v>
      </c>
      <c r="WJQ42">
        <f t="shared" si="287"/>
        <v>0</v>
      </c>
      <c r="WJR42">
        <f t="shared" si="287"/>
        <v>0</v>
      </c>
      <c r="WJS42">
        <f t="shared" si="287"/>
        <v>0</v>
      </c>
      <c r="WJT42">
        <f t="shared" si="287"/>
        <v>0</v>
      </c>
      <c r="WJU42">
        <f t="shared" si="287"/>
        <v>0</v>
      </c>
      <c r="WJV42">
        <f t="shared" si="287"/>
        <v>0</v>
      </c>
      <c r="WJW42">
        <f t="shared" si="287"/>
        <v>0</v>
      </c>
      <c r="WJX42">
        <f t="shared" si="287"/>
        <v>0</v>
      </c>
      <c r="WJY42">
        <f t="shared" si="287"/>
        <v>0</v>
      </c>
      <c r="WJZ42">
        <f t="shared" si="287"/>
        <v>0</v>
      </c>
      <c r="WKA42">
        <f t="shared" si="287"/>
        <v>0</v>
      </c>
      <c r="WKB42">
        <f t="shared" si="287"/>
        <v>0</v>
      </c>
      <c r="WKC42">
        <f t="shared" si="287"/>
        <v>0</v>
      </c>
      <c r="WKD42">
        <f t="shared" si="287"/>
        <v>0</v>
      </c>
      <c r="WKE42">
        <f t="shared" si="287"/>
        <v>0</v>
      </c>
      <c r="WKF42">
        <f t="shared" si="287"/>
        <v>0</v>
      </c>
      <c r="WKG42">
        <f t="shared" si="287"/>
        <v>0</v>
      </c>
      <c r="WKH42">
        <f t="shared" si="287"/>
        <v>0</v>
      </c>
      <c r="WKI42">
        <f t="shared" si="287"/>
        <v>0</v>
      </c>
      <c r="WKJ42">
        <f t="shared" si="287"/>
        <v>0</v>
      </c>
      <c r="WKK42">
        <f t="shared" si="287"/>
        <v>0</v>
      </c>
      <c r="WKL42">
        <f t="shared" si="287"/>
        <v>0</v>
      </c>
      <c r="WKM42">
        <f t="shared" si="287"/>
        <v>0</v>
      </c>
      <c r="WKN42">
        <f t="shared" si="287"/>
        <v>0</v>
      </c>
      <c r="WKO42">
        <f t="shared" si="287"/>
        <v>0</v>
      </c>
      <c r="WKP42">
        <f t="shared" si="287"/>
        <v>0</v>
      </c>
      <c r="WKQ42">
        <f t="shared" si="287"/>
        <v>0</v>
      </c>
      <c r="WKR42">
        <f t="shared" si="287"/>
        <v>0</v>
      </c>
      <c r="WKS42">
        <f t="shared" si="287"/>
        <v>0</v>
      </c>
      <c r="WKT42">
        <f t="shared" si="287"/>
        <v>0</v>
      </c>
      <c r="WKU42">
        <f t="shared" si="287"/>
        <v>0</v>
      </c>
      <c r="WKV42">
        <f t="shared" si="287"/>
        <v>0</v>
      </c>
      <c r="WKW42">
        <f t="shared" si="287"/>
        <v>0</v>
      </c>
      <c r="WKX42">
        <f t="shared" si="287"/>
        <v>0</v>
      </c>
      <c r="WKY42">
        <f t="shared" si="287"/>
        <v>0</v>
      </c>
      <c r="WKZ42">
        <f t="shared" si="287"/>
        <v>0</v>
      </c>
      <c r="WLA42">
        <f t="shared" si="287"/>
        <v>0</v>
      </c>
      <c r="WLB42">
        <f t="shared" si="287"/>
        <v>0</v>
      </c>
      <c r="WLC42">
        <f t="shared" si="287"/>
        <v>0</v>
      </c>
      <c r="WLD42">
        <f t="shared" si="287"/>
        <v>0</v>
      </c>
      <c r="WLE42">
        <f t="shared" si="287"/>
        <v>0</v>
      </c>
      <c r="WLF42">
        <f t="shared" si="287"/>
        <v>0</v>
      </c>
      <c r="WLG42">
        <f t="shared" si="287"/>
        <v>0</v>
      </c>
      <c r="WLH42">
        <f t="shared" si="287"/>
        <v>0</v>
      </c>
      <c r="WLI42">
        <f t="shared" si="287"/>
        <v>0</v>
      </c>
      <c r="WLJ42">
        <f t="shared" ref="WLJ42:WNU43" si="288">WLJ41*1.6*1.2</f>
        <v>0</v>
      </c>
      <c r="WLK42">
        <f t="shared" si="288"/>
        <v>0</v>
      </c>
      <c r="WLL42">
        <f t="shared" si="288"/>
        <v>0</v>
      </c>
      <c r="WLM42">
        <f t="shared" si="288"/>
        <v>0</v>
      </c>
      <c r="WLN42">
        <f t="shared" si="288"/>
        <v>0</v>
      </c>
      <c r="WLO42">
        <f t="shared" si="288"/>
        <v>0</v>
      </c>
      <c r="WLP42">
        <f t="shared" si="288"/>
        <v>0</v>
      </c>
      <c r="WLQ42">
        <f t="shared" si="288"/>
        <v>0</v>
      </c>
      <c r="WLR42">
        <f t="shared" si="288"/>
        <v>0</v>
      </c>
      <c r="WLS42">
        <f t="shared" si="288"/>
        <v>0</v>
      </c>
      <c r="WLT42">
        <f t="shared" si="288"/>
        <v>0</v>
      </c>
      <c r="WLU42">
        <f t="shared" si="288"/>
        <v>0</v>
      </c>
      <c r="WLV42">
        <f t="shared" si="288"/>
        <v>0</v>
      </c>
      <c r="WLW42">
        <f t="shared" si="288"/>
        <v>0</v>
      </c>
      <c r="WLX42">
        <f t="shared" si="288"/>
        <v>0</v>
      </c>
      <c r="WLY42">
        <f t="shared" si="288"/>
        <v>0</v>
      </c>
      <c r="WLZ42">
        <f t="shared" si="288"/>
        <v>0</v>
      </c>
      <c r="WMA42">
        <f t="shared" si="288"/>
        <v>0</v>
      </c>
      <c r="WMB42">
        <f t="shared" si="288"/>
        <v>0</v>
      </c>
      <c r="WMC42">
        <f t="shared" si="288"/>
        <v>0</v>
      </c>
      <c r="WMD42">
        <f t="shared" si="288"/>
        <v>0</v>
      </c>
      <c r="WME42">
        <f t="shared" si="288"/>
        <v>0</v>
      </c>
      <c r="WMF42">
        <f t="shared" si="288"/>
        <v>0</v>
      </c>
      <c r="WMG42">
        <f t="shared" si="288"/>
        <v>0</v>
      </c>
      <c r="WMH42">
        <f t="shared" si="288"/>
        <v>0</v>
      </c>
      <c r="WMI42">
        <f t="shared" si="288"/>
        <v>0</v>
      </c>
      <c r="WMJ42">
        <f t="shared" si="288"/>
        <v>0</v>
      </c>
      <c r="WMK42">
        <f t="shared" si="288"/>
        <v>0</v>
      </c>
      <c r="WML42">
        <f t="shared" si="288"/>
        <v>0</v>
      </c>
      <c r="WMM42">
        <f t="shared" si="288"/>
        <v>0</v>
      </c>
      <c r="WMN42">
        <f t="shared" si="288"/>
        <v>0</v>
      </c>
      <c r="WMO42">
        <f t="shared" si="288"/>
        <v>0</v>
      </c>
      <c r="WMP42">
        <f t="shared" si="288"/>
        <v>0</v>
      </c>
      <c r="WMQ42">
        <f t="shared" si="288"/>
        <v>0</v>
      </c>
      <c r="WMR42">
        <f t="shared" si="288"/>
        <v>0</v>
      </c>
      <c r="WMS42">
        <f t="shared" si="288"/>
        <v>0</v>
      </c>
      <c r="WMT42">
        <f t="shared" si="288"/>
        <v>0</v>
      </c>
      <c r="WMU42">
        <f t="shared" si="288"/>
        <v>0</v>
      </c>
      <c r="WMV42">
        <f t="shared" si="288"/>
        <v>0</v>
      </c>
      <c r="WMW42">
        <f t="shared" si="288"/>
        <v>0</v>
      </c>
      <c r="WMX42">
        <f t="shared" si="288"/>
        <v>0</v>
      </c>
      <c r="WMY42">
        <f t="shared" si="288"/>
        <v>0</v>
      </c>
      <c r="WMZ42">
        <f t="shared" si="288"/>
        <v>0</v>
      </c>
      <c r="WNA42">
        <f t="shared" si="288"/>
        <v>0</v>
      </c>
      <c r="WNB42">
        <f t="shared" si="288"/>
        <v>0</v>
      </c>
      <c r="WNC42">
        <f t="shared" si="288"/>
        <v>0</v>
      </c>
      <c r="WND42">
        <f t="shared" si="288"/>
        <v>0</v>
      </c>
      <c r="WNE42">
        <f t="shared" si="288"/>
        <v>0</v>
      </c>
      <c r="WNF42">
        <f t="shared" si="288"/>
        <v>0</v>
      </c>
      <c r="WNG42">
        <f t="shared" si="288"/>
        <v>0</v>
      </c>
      <c r="WNH42">
        <f t="shared" si="288"/>
        <v>0</v>
      </c>
      <c r="WNI42">
        <f t="shared" si="288"/>
        <v>0</v>
      </c>
      <c r="WNJ42">
        <f t="shared" si="288"/>
        <v>0</v>
      </c>
      <c r="WNK42">
        <f t="shared" si="288"/>
        <v>0</v>
      </c>
      <c r="WNL42">
        <f t="shared" si="288"/>
        <v>0</v>
      </c>
      <c r="WNM42">
        <f t="shared" si="288"/>
        <v>0</v>
      </c>
      <c r="WNN42">
        <f t="shared" si="288"/>
        <v>0</v>
      </c>
      <c r="WNO42">
        <f t="shared" si="288"/>
        <v>0</v>
      </c>
      <c r="WNP42">
        <f t="shared" si="288"/>
        <v>0</v>
      </c>
      <c r="WNQ42">
        <f t="shared" si="288"/>
        <v>0</v>
      </c>
      <c r="WNR42">
        <f t="shared" si="288"/>
        <v>0</v>
      </c>
      <c r="WNS42">
        <f t="shared" si="288"/>
        <v>0</v>
      </c>
      <c r="WNT42">
        <f t="shared" si="288"/>
        <v>0</v>
      </c>
      <c r="WNU42">
        <f t="shared" si="288"/>
        <v>0</v>
      </c>
      <c r="WNV42">
        <f t="shared" ref="WNV42:WQG43" si="289">WNV41*1.6*1.2</f>
        <v>0</v>
      </c>
      <c r="WNW42">
        <f t="shared" si="289"/>
        <v>0</v>
      </c>
      <c r="WNX42">
        <f t="shared" si="289"/>
        <v>0</v>
      </c>
      <c r="WNY42">
        <f t="shared" si="289"/>
        <v>0</v>
      </c>
      <c r="WNZ42">
        <f t="shared" si="289"/>
        <v>0</v>
      </c>
      <c r="WOA42">
        <f t="shared" si="289"/>
        <v>0</v>
      </c>
      <c r="WOB42">
        <f t="shared" si="289"/>
        <v>0</v>
      </c>
      <c r="WOC42">
        <f t="shared" si="289"/>
        <v>0</v>
      </c>
      <c r="WOD42">
        <f t="shared" si="289"/>
        <v>0</v>
      </c>
      <c r="WOE42">
        <f t="shared" si="289"/>
        <v>0</v>
      </c>
      <c r="WOF42">
        <f t="shared" si="289"/>
        <v>0</v>
      </c>
      <c r="WOG42">
        <f t="shared" si="289"/>
        <v>0</v>
      </c>
      <c r="WOH42">
        <f t="shared" si="289"/>
        <v>0</v>
      </c>
      <c r="WOI42">
        <f t="shared" si="289"/>
        <v>0</v>
      </c>
      <c r="WOJ42">
        <f t="shared" si="289"/>
        <v>0</v>
      </c>
      <c r="WOK42">
        <f t="shared" si="289"/>
        <v>0</v>
      </c>
      <c r="WOL42">
        <f t="shared" si="289"/>
        <v>0</v>
      </c>
      <c r="WOM42">
        <f t="shared" si="289"/>
        <v>0</v>
      </c>
      <c r="WON42">
        <f t="shared" si="289"/>
        <v>0</v>
      </c>
      <c r="WOO42">
        <f t="shared" si="289"/>
        <v>0</v>
      </c>
      <c r="WOP42">
        <f t="shared" si="289"/>
        <v>0</v>
      </c>
      <c r="WOQ42">
        <f t="shared" si="289"/>
        <v>0</v>
      </c>
      <c r="WOR42">
        <f t="shared" si="289"/>
        <v>0</v>
      </c>
      <c r="WOS42">
        <f t="shared" si="289"/>
        <v>0</v>
      </c>
      <c r="WOT42">
        <f t="shared" si="289"/>
        <v>0</v>
      </c>
      <c r="WOU42">
        <f t="shared" si="289"/>
        <v>0</v>
      </c>
      <c r="WOV42">
        <f t="shared" si="289"/>
        <v>0</v>
      </c>
      <c r="WOW42">
        <f t="shared" si="289"/>
        <v>0</v>
      </c>
      <c r="WOX42">
        <f t="shared" si="289"/>
        <v>0</v>
      </c>
      <c r="WOY42">
        <f t="shared" si="289"/>
        <v>0</v>
      </c>
      <c r="WOZ42">
        <f t="shared" si="289"/>
        <v>0</v>
      </c>
      <c r="WPA42">
        <f t="shared" si="289"/>
        <v>0</v>
      </c>
      <c r="WPB42">
        <f t="shared" si="289"/>
        <v>0</v>
      </c>
      <c r="WPC42">
        <f t="shared" si="289"/>
        <v>0</v>
      </c>
      <c r="WPD42">
        <f t="shared" si="289"/>
        <v>0</v>
      </c>
      <c r="WPE42">
        <f t="shared" si="289"/>
        <v>0</v>
      </c>
      <c r="WPF42">
        <f t="shared" si="289"/>
        <v>0</v>
      </c>
      <c r="WPG42">
        <f t="shared" si="289"/>
        <v>0</v>
      </c>
      <c r="WPH42">
        <f t="shared" si="289"/>
        <v>0</v>
      </c>
      <c r="WPI42">
        <f t="shared" si="289"/>
        <v>0</v>
      </c>
      <c r="WPJ42">
        <f t="shared" si="289"/>
        <v>0</v>
      </c>
      <c r="WPK42">
        <f t="shared" si="289"/>
        <v>0</v>
      </c>
      <c r="WPL42">
        <f t="shared" si="289"/>
        <v>0</v>
      </c>
      <c r="WPM42">
        <f t="shared" si="289"/>
        <v>0</v>
      </c>
      <c r="WPN42">
        <f t="shared" si="289"/>
        <v>0</v>
      </c>
      <c r="WPO42">
        <f t="shared" si="289"/>
        <v>0</v>
      </c>
      <c r="WPP42">
        <f t="shared" si="289"/>
        <v>0</v>
      </c>
      <c r="WPQ42">
        <f t="shared" si="289"/>
        <v>0</v>
      </c>
      <c r="WPR42">
        <f t="shared" si="289"/>
        <v>0</v>
      </c>
      <c r="WPS42">
        <f t="shared" si="289"/>
        <v>0</v>
      </c>
      <c r="WPT42">
        <f t="shared" si="289"/>
        <v>0</v>
      </c>
      <c r="WPU42">
        <f t="shared" si="289"/>
        <v>0</v>
      </c>
      <c r="WPV42">
        <f t="shared" si="289"/>
        <v>0</v>
      </c>
      <c r="WPW42">
        <f t="shared" si="289"/>
        <v>0</v>
      </c>
      <c r="WPX42">
        <f t="shared" si="289"/>
        <v>0</v>
      </c>
      <c r="WPY42">
        <f t="shared" si="289"/>
        <v>0</v>
      </c>
      <c r="WPZ42">
        <f t="shared" si="289"/>
        <v>0</v>
      </c>
      <c r="WQA42">
        <f t="shared" si="289"/>
        <v>0</v>
      </c>
      <c r="WQB42">
        <f t="shared" si="289"/>
        <v>0</v>
      </c>
      <c r="WQC42">
        <f t="shared" si="289"/>
        <v>0</v>
      </c>
      <c r="WQD42">
        <f t="shared" si="289"/>
        <v>0</v>
      </c>
      <c r="WQE42">
        <f t="shared" si="289"/>
        <v>0</v>
      </c>
      <c r="WQF42">
        <f t="shared" si="289"/>
        <v>0</v>
      </c>
      <c r="WQG42">
        <f t="shared" si="289"/>
        <v>0</v>
      </c>
      <c r="WQH42">
        <f t="shared" ref="WQH42:WSS43" si="290">WQH41*1.6*1.2</f>
        <v>0</v>
      </c>
      <c r="WQI42">
        <f t="shared" si="290"/>
        <v>0</v>
      </c>
      <c r="WQJ42">
        <f t="shared" si="290"/>
        <v>0</v>
      </c>
      <c r="WQK42">
        <f t="shared" si="290"/>
        <v>0</v>
      </c>
      <c r="WQL42">
        <f t="shared" si="290"/>
        <v>0</v>
      </c>
      <c r="WQM42">
        <f t="shared" si="290"/>
        <v>0</v>
      </c>
      <c r="WQN42">
        <f t="shared" si="290"/>
        <v>0</v>
      </c>
      <c r="WQO42">
        <f t="shared" si="290"/>
        <v>0</v>
      </c>
      <c r="WQP42">
        <f t="shared" si="290"/>
        <v>0</v>
      </c>
      <c r="WQQ42">
        <f t="shared" si="290"/>
        <v>0</v>
      </c>
      <c r="WQR42">
        <f t="shared" si="290"/>
        <v>0</v>
      </c>
      <c r="WQS42">
        <f t="shared" si="290"/>
        <v>0</v>
      </c>
      <c r="WQT42">
        <f t="shared" si="290"/>
        <v>0</v>
      </c>
      <c r="WQU42">
        <f t="shared" si="290"/>
        <v>0</v>
      </c>
      <c r="WQV42">
        <f t="shared" si="290"/>
        <v>0</v>
      </c>
      <c r="WQW42">
        <f t="shared" si="290"/>
        <v>0</v>
      </c>
      <c r="WQX42">
        <f t="shared" si="290"/>
        <v>0</v>
      </c>
      <c r="WQY42">
        <f t="shared" si="290"/>
        <v>0</v>
      </c>
      <c r="WQZ42">
        <f t="shared" si="290"/>
        <v>0</v>
      </c>
      <c r="WRA42">
        <f t="shared" si="290"/>
        <v>0</v>
      </c>
      <c r="WRB42">
        <f t="shared" si="290"/>
        <v>0</v>
      </c>
      <c r="WRC42">
        <f t="shared" si="290"/>
        <v>0</v>
      </c>
      <c r="WRD42">
        <f t="shared" si="290"/>
        <v>0</v>
      </c>
      <c r="WRE42">
        <f t="shared" si="290"/>
        <v>0</v>
      </c>
      <c r="WRF42">
        <f t="shared" si="290"/>
        <v>0</v>
      </c>
      <c r="WRG42">
        <f t="shared" si="290"/>
        <v>0</v>
      </c>
      <c r="WRH42">
        <f t="shared" si="290"/>
        <v>0</v>
      </c>
      <c r="WRI42">
        <f t="shared" si="290"/>
        <v>0</v>
      </c>
      <c r="WRJ42">
        <f t="shared" si="290"/>
        <v>0</v>
      </c>
      <c r="WRK42">
        <f t="shared" si="290"/>
        <v>0</v>
      </c>
      <c r="WRL42">
        <f t="shared" si="290"/>
        <v>0</v>
      </c>
      <c r="WRM42">
        <f t="shared" si="290"/>
        <v>0</v>
      </c>
      <c r="WRN42">
        <f t="shared" si="290"/>
        <v>0</v>
      </c>
      <c r="WRO42">
        <f t="shared" si="290"/>
        <v>0</v>
      </c>
      <c r="WRP42">
        <f t="shared" si="290"/>
        <v>0</v>
      </c>
      <c r="WRQ42">
        <f t="shared" si="290"/>
        <v>0</v>
      </c>
      <c r="WRR42">
        <f t="shared" si="290"/>
        <v>0</v>
      </c>
      <c r="WRS42">
        <f t="shared" si="290"/>
        <v>0</v>
      </c>
      <c r="WRT42">
        <f t="shared" si="290"/>
        <v>0</v>
      </c>
      <c r="WRU42">
        <f t="shared" si="290"/>
        <v>0</v>
      </c>
      <c r="WRV42">
        <f t="shared" si="290"/>
        <v>0</v>
      </c>
      <c r="WRW42">
        <f t="shared" si="290"/>
        <v>0</v>
      </c>
      <c r="WRX42">
        <f t="shared" si="290"/>
        <v>0</v>
      </c>
      <c r="WRY42">
        <f t="shared" si="290"/>
        <v>0</v>
      </c>
      <c r="WRZ42">
        <f t="shared" si="290"/>
        <v>0</v>
      </c>
      <c r="WSA42">
        <f t="shared" si="290"/>
        <v>0</v>
      </c>
      <c r="WSB42">
        <f t="shared" si="290"/>
        <v>0</v>
      </c>
      <c r="WSC42">
        <f t="shared" si="290"/>
        <v>0</v>
      </c>
      <c r="WSD42">
        <f t="shared" si="290"/>
        <v>0</v>
      </c>
      <c r="WSE42">
        <f t="shared" si="290"/>
        <v>0</v>
      </c>
      <c r="WSF42">
        <f t="shared" si="290"/>
        <v>0</v>
      </c>
      <c r="WSG42">
        <f t="shared" si="290"/>
        <v>0</v>
      </c>
      <c r="WSH42">
        <f t="shared" si="290"/>
        <v>0</v>
      </c>
      <c r="WSI42">
        <f t="shared" si="290"/>
        <v>0</v>
      </c>
      <c r="WSJ42">
        <f t="shared" si="290"/>
        <v>0</v>
      </c>
      <c r="WSK42">
        <f t="shared" si="290"/>
        <v>0</v>
      </c>
      <c r="WSL42">
        <f t="shared" si="290"/>
        <v>0</v>
      </c>
      <c r="WSM42">
        <f t="shared" si="290"/>
        <v>0</v>
      </c>
      <c r="WSN42">
        <f t="shared" si="290"/>
        <v>0</v>
      </c>
      <c r="WSO42">
        <f t="shared" si="290"/>
        <v>0</v>
      </c>
      <c r="WSP42">
        <f t="shared" si="290"/>
        <v>0</v>
      </c>
      <c r="WSQ42">
        <f t="shared" si="290"/>
        <v>0</v>
      </c>
      <c r="WSR42">
        <f t="shared" si="290"/>
        <v>0</v>
      </c>
      <c r="WSS42">
        <f t="shared" si="290"/>
        <v>0</v>
      </c>
      <c r="WST42">
        <f t="shared" ref="WST42:WVE43" si="291">WST41*1.6*1.2</f>
        <v>0</v>
      </c>
      <c r="WSU42">
        <f t="shared" si="291"/>
        <v>0</v>
      </c>
      <c r="WSV42">
        <f t="shared" si="291"/>
        <v>0</v>
      </c>
      <c r="WSW42">
        <f t="shared" si="291"/>
        <v>0</v>
      </c>
      <c r="WSX42">
        <f t="shared" si="291"/>
        <v>0</v>
      </c>
      <c r="WSY42">
        <f t="shared" si="291"/>
        <v>0</v>
      </c>
      <c r="WSZ42">
        <f t="shared" si="291"/>
        <v>0</v>
      </c>
      <c r="WTA42">
        <f t="shared" si="291"/>
        <v>0</v>
      </c>
      <c r="WTB42">
        <f t="shared" si="291"/>
        <v>0</v>
      </c>
      <c r="WTC42">
        <f t="shared" si="291"/>
        <v>0</v>
      </c>
      <c r="WTD42">
        <f t="shared" si="291"/>
        <v>0</v>
      </c>
      <c r="WTE42">
        <f t="shared" si="291"/>
        <v>0</v>
      </c>
      <c r="WTF42">
        <f t="shared" si="291"/>
        <v>0</v>
      </c>
      <c r="WTG42">
        <f t="shared" si="291"/>
        <v>0</v>
      </c>
      <c r="WTH42">
        <f t="shared" si="291"/>
        <v>0</v>
      </c>
      <c r="WTI42">
        <f t="shared" si="291"/>
        <v>0</v>
      </c>
      <c r="WTJ42">
        <f t="shared" si="291"/>
        <v>0</v>
      </c>
      <c r="WTK42">
        <f t="shared" si="291"/>
        <v>0</v>
      </c>
      <c r="WTL42">
        <f t="shared" si="291"/>
        <v>0</v>
      </c>
      <c r="WTM42">
        <f t="shared" si="291"/>
        <v>0</v>
      </c>
      <c r="WTN42">
        <f t="shared" si="291"/>
        <v>0</v>
      </c>
      <c r="WTO42">
        <f t="shared" si="291"/>
        <v>0</v>
      </c>
      <c r="WTP42">
        <f t="shared" si="291"/>
        <v>0</v>
      </c>
      <c r="WTQ42">
        <f t="shared" si="291"/>
        <v>0</v>
      </c>
      <c r="WTR42">
        <f t="shared" si="291"/>
        <v>0</v>
      </c>
      <c r="WTS42">
        <f t="shared" si="291"/>
        <v>0</v>
      </c>
      <c r="WTT42">
        <f t="shared" si="291"/>
        <v>0</v>
      </c>
      <c r="WTU42">
        <f t="shared" si="291"/>
        <v>0</v>
      </c>
      <c r="WTV42">
        <f t="shared" si="291"/>
        <v>0</v>
      </c>
      <c r="WTW42">
        <f t="shared" si="291"/>
        <v>0</v>
      </c>
      <c r="WTX42">
        <f t="shared" si="291"/>
        <v>0</v>
      </c>
      <c r="WTY42">
        <f t="shared" si="291"/>
        <v>0</v>
      </c>
      <c r="WTZ42">
        <f t="shared" si="291"/>
        <v>0</v>
      </c>
      <c r="WUA42">
        <f t="shared" si="291"/>
        <v>0</v>
      </c>
      <c r="WUB42">
        <f t="shared" si="291"/>
        <v>0</v>
      </c>
      <c r="WUC42">
        <f t="shared" si="291"/>
        <v>0</v>
      </c>
      <c r="WUD42">
        <f t="shared" si="291"/>
        <v>0</v>
      </c>
      <c r="WUE42">
        <f t="shared" si="291"/>
        <v>0</v>
      </c>
      <c r="WUF42">
        <f t="shared" si="291"/>
        <v>0</v>
      </c>
      <c r="WUG42">
        <f t="shared" si="291"/>
        <v>0</v>
      </c>
      <c r="WUH42">
        <f t="shared" si="291"/>
        <v>0</v>
      </c>
      <c r="WUI42">
        <f t="shared" si="291"/>
        <v>0</v>
      </c>
      <c r="WUJ42">
        <f t="shared" si="291"/>
        <v>0</v>
      </c>
      <c r="WUK42">
        <f t="shared" si="291"/>
        <v>0</v>
      </c>
      <c r="WUL42">
        <f t="shared" si="291"/>
        <v>0</v>
      </c>
      <c r="WUM42">
        <f t="shared" si="291"/>
        <v>0</v>
      </c>
      <c r="WUN42">
        <f t="shared" si="291"/>
        <v>0</v>
      </c>
      <c r="WUO42">
        <f t="shared" si="291"/>
        <v>0</v>
      </c>
      <c r="WUP42">
        <f t="shared" si="291"/>
        <v>0</v>
      </c>
      <c r="WUQ42">
        <f t="shared" si="291"/>
        <v>0</v>
      </c>
      <c r="WUR42">
        <f t="shared" si="291"/>
        <v>0</v>
      </c>
      <c r="WUS42">
        <f t="shared" si="291"/>
        <v>0</v>
      </c>
      <c r="WUT42">
        <f t="shared" si="291"/>
        <v>0</v>
      </c>
      <c r="WUU42">
        <f t="shared" si="291"/>
        <v>0</v>
      </c>
      <c r="WUV42">
        <f t="shared" si="291"/>
        <v>0</v>
      </c>
      <c r="WUW42">
        <f t="shared" si="291"/>
        <v>0</v>
      </c>
      <c r="WUX42">
        <f t="shared" si="291"/>
        <v>0</v>
      </c>
      <c r="WUY42">
        <f t="shared" si="291"/>
        <v>0</v>
      </c>
      <c r="WUZ42">
        <f t="shared" si="291"/>
        <v>0</v>
      </c>
      <c r="WVA42">
        <f t="shared" si="291"/>
        <v>0</v>
      </c>
      <c r="WVB42">
        <f t="shared" si="291"/>
        <v>0</v>
      </c>
      <c r="WVC42">
        <f t="shared" si="291"/>
        <v>0</v>
      </c>
      <c r="WVD42">
        <f t="shared" si="291"/>
        <v>0</v>
      </c>
      <c r="WVE42">
        <f t="shared" si="291"/>
        <v>0</v>
      </c>
      <c r="WVF42">
        <f t="shared" ref="WVF42:WXQ43" si="292">WVF41*1.6*1.2</f>
        <v>0</v>
      </c>
      <c r="WVG42">
        <f t="shared" si="292"/>
        <v>0</v>
      </c>
      <c r="WVH42">
        <f t="shared" si="292"/>
        <v>0</v>
      </c>
      <c r="WVI42">
        <f t="shared" si="292"/>
        <v>0</v>
      </c>
      <c r="WVJ42">
        <f t="shared" si="292"/>
        <v>0</v>
      </c>
      <c r="WVK42">
        <f t="shared" si="292"/>
        <v>0</v>
      </c>
      <c r="WVL42">
        <f t="shared" si="292"/>
        <v>0</v>
      </c>
      <c r="WVM42">
        <f t="shared" si="292"/>
        <v>0</v>
      </c>
      <c r="WVN42">
        <f t="shared" si="292"/>
        <v>0</v>
      </c>
      <c r="WVO42">
        <f t="shared" si="292"/>
        <v>0</v>
      </c>
      <c r="WVP42">
        <f t="shared" si="292"/>
        <v>0</v>
      </c>
      <c r="WVQ42">
        <f t="shared" si="292"/>
        <v>0</v>
      </c>
      <c r="WVR42">
        <f t="shared" si="292"/>
        <v>0</v>
      </c>
      <c r="WVS42">
        <f t="shared" si="292"/>
        <v>0</v>
      </c>
      <c r="WVT42">
        <f t="shared" si="292"/>
        <v>0</v>
      </c>
      <c r="WVU42">
        <f t="shared" si="292"/>
        <v>0</v>
      </c>
      <c r="WVV42">
        <f t="shared" si="292"/>
        <v>0</v>
      </c>
      <c r="WVW42">
        <f t="shared" si="292"/>
        <v>0</v>
      </c>
      <c r="WVX42">
        <f t="shared" si="292"/>
        <v>0</v>
      </c>
      <c r="WVY42">
        <f t="shared" si="292"/>
        <v>0</v>
      </c>
      <c r="WVZ42">
        <f t="shared" si="292"/>
        <v>0</v>
      </c>
      <c r="WWA42">
        <f t="shared" si="292"/>
        <v>0</v>
      </c>
      <c r="WWB42">
        <f t="shared" si="292"/>
        <v>0</v>
      </c>
      <c r="WWC42">
        <f t="shared" si="292"/>
        <v>0</v>
      </c>
      <c r="WWD42">
        <f t="shared" si="292"/>
        <v>0</v>
      </c>
      <c r="WWE42">
        <f t="shared" si="292"/>
        <v>0</v>
      </c>
      <c r="WWF42">
        <f t="shared" si="292"/>
        <v>0</v>
      </c>
      <c r="WWG42">
        <f t="shared" si="292"/>
        <v>0</v>
      </c>
      <c r="WWH42">
        <f t="shared" si="292"/>
        <v>0</v>
      </c>
      <c r="WWI42">
        <f t="shared" si="292"/>
        <v>0</v>
      </c>
      <c r="WWJ42">
        <f t="shared" si="292"/>
        <v>0</v>
      </c>
      <c r="WWK42">
        <f t="shared" si="292"/>
        <v>0</v>
      </c>
      <c r="WWL42">
        <f t="shared" si="292"/>
        <v>0</v>
      </c>
      <c r="WWM42">
        <f t="shared" si="292"/>
        <v>0</v>
      </c>
      <c r="WWN42">
        <f t="shared" si="292"/>
        <v>0</v>
      </c>
      <c r="WWO42">
        <f t="shared" si="292"/>
        <v>0</v>
      </c>
      <c r="WWP42">
        <f t="shared" si="292"/>
        <v>0</v>
      </c>
      <c r="WWQ42">
        <f t="shared" si="292"/>
        <v>0</v>
      </c>
      <c r="WWR42">
        <f t="shared" si="292"/>
        <v>0</v>
      </c>
      <c r="WWS42">
        <f t="shared" si="292"/>
        <v>0</v>
      </c>
      <c r="WWT42">
        <f t="shared" si="292"/>
        <v>0</v>
      </c>
      <c r="WWU42">
        <f t="shared" si="292"/>
        <v>0</v>
      </c>
      <c r="WWV42">
        <f t="shared" si="292"/>
        <v>0</v>
      </c>
      <c r="WWW42">
        <f t="shared" si="292"/>
        <v>0</v>
      </c>
      <c r="WWX42">
        <f t="shared" si="292"/>
        <v>0</v>
      </c>
      <c r="WWY42">
        <f t="shared" si="292"/>
        <v>0</v>
      </c>
      <c r="WWZ42">
        <f t="shared" si="292"/>
        <v>0</v>
      </c>
      <c r="WXA42">
        <f t="shared" si="292"/>
        <v>0</v>
      </c>
      <c r="WXB42">
        <f t="shared" si="292"/>
        <v>0</v>
      </c>
      <c r="WXC42">
        <f t="shared" si="292"/>
        <v>0</v>
      </c>
      <c r="WXD42">
        <f t="shared" si="292"/>
        <v>0</v>
      </c>
      <c r="WXE42">
        <f t="shared" si="292"/>
        <v>0</v>
      </c>
      <c r="WXF42">
        <f t="shared" si="292"/>
        <v>0</v>
      </c>
      <c r="WXG42">
        <f t="shared" si="292"/>
        <v>0</v>
      </c>
      <c r="WXH42">
        <f t="shared" si="292"/>
        <v>0</v>
      </c>
      <c r="WXI42">
        <f t="shared" si="292"/>
        <v>0</v>
      </c>
      <c r="WXJ42">
        <f t="shared" si="292"/>
        <v>0</v>
      </c>
      <c r="WXK42">
        <f t="shared" si="292"/>
        <v>0</v>
      </c>
      <c r="WXL42">
        <f t="shared" si="292"/>
        <v>0</v>
      </c>
      <c r="WXM42">
        <f t="shared" si="292"/>
        <v>0</v>
      </c>
      <c r="WXN42">
        <f t="shared" si="292"/>
        <v>0</v>
      </c>
      <c r="WXO42">
        <f t="shared" si="292"/>
        <v>0</v>
      </c>
      <c r="WXP42">
        <f t="shared" si="292"/>
        <v>0</v>
      </c>
      <c r="WXQ42">
        <f t="shared" si="292"/>
        <v>0</v>
      </c>
      <c r="WXR42">
        <f t="shared" ref="WXR42:XAC43" si="293">WXR41*1.6*1.2</f>
        <v>0</v>
      </c>
      <c r="WXS42">
        <f t="shared" si="293"/>
        <v>0</v>
      </c>
      <c r="WXT42">
        <f t="shared" si="293"/>
        <v>0</v>
      </c>
      <c r="WXU42">
        <f t="shared" si="293"/>
        <v>0</v>
      </c>
      <c r="WXV42">
        <f t="shared" si="293"/>
        <v>0</v>
      </c>
      <c r="WXW42">
        <f t="shared" si="293"/>
        <v>0</v>
      </c>
      <c r="WXX42">
        <f t="shared" si="293"/>
        <v>0</v>
      </c>
      <c r="WXY42">
        <f t="shared" si="293"/>
        <v>0</v>
      </c>
      <c r="WXZ42">
        <f t="shared" si="293"/>
        <v>0</v>
      </c>
      <c r="WYA42">
        <f t="shared" si="293"/>
        <v>0</v>
      </c>
      <c r="WYB42">
        <f t="shared" si="293"/>
        <v>0</v>
      </c>
      <c r="WYC42">
        <f t="shared" si="293"/>
        <v>0</v>
      </c>
      <c r="WYD42">
        <f t="shared" si="293"/>
        <v>0</v>
      </c>
      <c r="WYE42">
        <f t="shared" si="293"/>
        <v>0</v>
      </c>
      <c r="WYF42">
        <f t="shared" si="293"/>
        <v>0</v>
      </c>
      <c r="WYG42">
        <f t="shared" si="293"/>
        <v>0</v>
      </c>
      <c r="WYH42">
        <f t="shared" si="293"/>
        <v>0</v>
      </c>
      <c r="WYI42">
        <f t="shared" si="293"/>
        <v>0</v>
      </c>
      <c r="WYJ42">
        <f t="shared" si="293"/>
        <v>0</v>
      </c>
      <c r="WYK42">
        <f t="shared" si="293"/>
        <v>0</v>
      </c>
      <c r="WYL42">
        <f t="shared" si="293"/>
        <v>0</v>
      </c>
      <c r="WYM42">
        <f t="shared" si="293"/>
        <v>0</v>
      </c>
      <c r="WYN42">
        <f t="shared" si="293"/>
        <v>0</v>
      </c>
      <c r="WYO42">
        <f t="shared" si="293"/>
        <v>0</v>
      </c>
      <c r="WYP42">
        <f t="shared" si="293"/>
        <v>0</v>
      </c>
      <c r="WYQ42">
        <f t="shared" si="293"/>
        <v>0</v>
      </c>
      <c r="WYR42">
        <f t="shared" si="293"/>
        <v>0</v>
      </c>
      <c r="WYS42">
        <f t="shared" si="293"/>
        <v>0</v>
      </c>
      <c r="WYT42">
        <f t="shared" si="293"/>
        <v>0</v>
      </c>
      <c r="WYU42">
        <f t="shared" si="293"/>
        <v>0</v>
      </c>
      <c r="WYV42">
        <f t="shared" si="293"/>
        <v>0</v>
      </c>
      <c r="WYW42">
        <f t="shared" si="293"/>
        <v>0</v>
      </c>
      <c r="WYX42">
        <f t="shared" si="293"/>
        <v>0</v>
      </c>
      <c r="WYY42">
        <f t="shared" si="293"/>
        <v>0</v>
      </c>
      <c r="WYZ42">
        <f t="shared" si="293"/>
        <v>0</v>
      </c>
      <c r="WZA42">
        <f t="shared" si="293"/>
        <v>0</v>
      </c>
      <c r="WZB42">
        <f t="shared" si="293"/>
        <v>0</v>
      </c>
      <c r="WZC42">
        <f t="shared" si="293"/>
        <v>0</v>
      </c>
      <c r="WZD42">
        <f t="shared" si="293"/>
        <v>0</v>
      </c>
      <c r="WZE42">
        <f t="shared" si="293"/>
        <v>0</v>
      </c>
      <c r="WZF42">
        <f t="shared" si="293"/>
        <v>0</v>
      </c>
      <c r="WZG42">
        <f t="shared" si="293"/>
        <v>0</v>
      </c>
      <c r="WZH42">
        <f t="shared" si="293"/>
        <v>0</v>
      </c>
      <c r="WZI42">
        <f t="shared" si="293"/>
        <v>0</v>
      </c>
      <c r="WZJ42">
        <f t="shared" si="293"/>
        <v>0</v>
      </c>
      <c r="WZK42">
        <f t="shared" si="293"/>
        <v>0</v>
      </c>
      <c r="WZL42">
        <f t="shared" si="293"/>
        <v>0</v>
      </c>
      <c r="WZM42">
        <f t="shared" si="293"/>
        <v>0</v>
      </c>
      <c r="WZN42">
        <f t="shared" si="293"/>
        <v>0</v>
      </c>
      <c r="WZO42">
        <f t="shared" si="293"/>
        <v>0</v>
      </c>
      <c r="WZP42">
        <f t="shared" si="293"/>
        <v>0</v>
      </c>
      <c r="WZQ42">
        <f t="shared" si="293"/>
        <v>0</v>
      </c>
      <c r="WZR42">
        <f t="shared" si="293"/>
        <v>0</v>
      </c>
      <c r="WZS42">
        <f t="shared" si="293"/>
        <v>0</v>
      </c>
      <c r="WZT42">
        <f t="shared" si="293"/>
        <v>0</v>
      </c>
      <c r="WZU42">
        <f t="shared" si="293"/>
        <v>0</v>
      </c>
      <c r="WZV42">
        <f t="shared" si="293"/>
        <v>0</v>
      </c>
      <c r="WZW42">
        <f t="shared" si="293"/>
        <v>0</v>
      </c>
      <c r="WZX42">
        <f t="shared" si="293"/>
        <v>0</v>
      </c>
      <c r="WZY42">
        <f t="shared" si="293"/>
        <v>0</v>
      </c>
      <c r="WZZ42">
        <f t="shared" si="293"/>
        <v>0</v>
      </c>
      <c r="XAA42">
        <f t="shared" si="293"/>
        <v>0</v>
      </c>
      <c r="XAB42">
        <f t="shared" si="293"/>
        <v>0</v>
      </c>
      <c r="XAC42">
        <f t="shared" si="293"/>
        <v>0</v>
      </c>
      <c r="XAD42">
        <f t="shared" ref="XAD42:XCO43" si="294">XAD41*1.6*1.2</f>
        <v>0</v>
      </c>
      <c r="XAE42">
        <f t="shared" si="294"/>
        <v>0</v>
      </c>
      <c r="XAF42">
        <f t="shared" si="294"/>
        <v>0</v>
      </c>
      <c r="XAG42">
        <f t="shared" si="294"/>
        <v>0</v>
      </c>
      <c r="XAH42">
        <f t="shared" si="294"/>
        <v>0</v>
      </c>
      <c r="XAI42">
        <f t="shared" si="294"/>
        <v>0</v>
      </c>
      <c r="XAJ42">
        <f t="shared" si="294"/>
        <v>0</v>
      </c>
      <c r="XAK42">
        <f t="shared" si="294"/>
        <v>0</v>
      </c>
      <c r="XAL42">
        <f t="shared" si="294"/>
        <v>0</v>
      </c>
      <c r="XAM42">
        <f t="shared" si="294"/>
        <v>0</v>
      </c>
      <c r="XAN42">
        <f t="shared" si="294"/>
        <v>0</v>
      </c>
      <c r="XAO42">
        <f t="shared" si="294"/>
        <v>0</v>
      </c>
      <c r="XAP42">
        <f t="shared" si="294"/>
        <v>0</v>
      </c>
      <c r="XAQ42">
        <f t="shared" si="294"/>
        <v>0</v>
      </c>
      <c r="XAR42">
        <f t="shared" si="294"/>
        <v>0</v>
      </c>
      <c r="XAS42">
        <f t="shared" si="294"/>
        <v>0</v>
      </c>
      <c r="XAT42">
        <f t="shared" si="294"/>
        <v>0</v>
      </c>
      <c r="XAU42">
        <f t="shared" si="294"/>
        <v>0</v>
      </c>
      <c r="XAV42">
        <f t="shared" si="294"/>
        <v>0</v>
      </c>
      <c r="XAW42">
        <f t="shared" si="294"/>
        <v>0</v>
      </c>
      <c r="XAX42">
        <f t="shared" si="294"/>
        <v>0</v>
      </c>
      <c r="XAY42">
        <f t="shared" si="294"/>
        <v>0</v>
      </c>
      <c r="XAZ42">
        <f t="shared" si="294"/>
        <v>0</v>
      </c>
      <c r="XBA42">
        <f t="shared" si="294"/>
        <v>0</v>
      </c>
      <c r="XBB42">
        <f t="shared" si="294"/>
        <v>0</v>
      </c>
      <c r="XBC42">
        <f t="shared" si="294"/>
        <v>0</v>
      </c>
      <c r="XBD42">
        <f t="shared" si="294"/>
        <v>0</v>
      </c>
      <c r="XBE42">
        <f t="shared" si="294"/>
        <v>0</v>
      </c>
      <c r="XBF42">
        <f t="shared" si="294"/>
        <v>0</v>
      </c>
      <c r="XBG42">
        <f t="shared" si="294"/>
        <v>0</v>
      </c>
      <c r="XBH42">
        <f t="shared" si="294"/>
        <v>0</v>
      </c>
      <c r="XBI42">
        <f t="shared" si="294"/>
        <v>0</v>
      </c>
      <c r="XBJ42">
        <f t="shared" si="294"/>
        <v>0</v>
      </c>
      <c r="XBK42">
        <f t="shared" si="294"/>
        <v>0</v>
      </c>
      <c r="XBL42">
        <f t="shared" si="294"/>
        <v>0</v>
      </c>
      <c r="XBM42">
        <f t="shared" si="294"/>
        <v>0</v>
      </c>
      <c r="XBN42">
        <f t="shared" si="294"/>
        <v>0</v>
      </c>
      <c r="XBO42">
        <f t="shared" si="294"/>
        <v>0</v>
      </c>
      <c r="XBP42">
        <f t="shared" si="294"/>
        <v>0</v>
      </c>
      <c r="XBQ42">
        <f t="shared" si="294"/>
        <v>0</v>
      </c>
      <c r="XBR42">
        <f t="shared" si="294"/>
        <v>0</v>
      </c>
      <c r="XBS42">
        <f t="shared" si="294"/>
        <v>0</v>
      </c>
      <c r="XBT42">
        <f t="shared" si="294"/>
        <v>0</v>
      </c>
      <c r="XBU42">
        <f t="shared" si="294"/>
        <v>0</v>
      </c>
      <c r="XBV42">
        <f t="shared" si="294"/>
        <v>0</v>
      </c>
      <c r="XBW42">
        <f t="shared" si="294"/>
        <v>0</v>
      </c>
      <c r="XBX42">
        <f t="shared" si="294"/>
        <v>0</v>
      </c>
      <c r="XBY42">
        <f t="shared" si="294"/>
        <v>0</v>
      </c>
      <c r="XBZ42">
        <f t="shared" si="294"/>
        <v>0</v>
      </c>
      <c r="XCA42">
        <f t="shared" si="294"/>
        <v>0</v>
      </c>
      <c r="XCB42">
        <f t="shared" si="294"/>
        <v>0</v>
      </c>
      <c r="XCC42">
        <f t="shared" si="294"/>
        <v>0</v>
      </c>
      <c r="XCD42">
        <f t="shared" si="294"/>
        <v>0</v>
      </c>
      <c r="XCE42">
        <f t="shared" si="294"/>
        <v>0</v>
      </c>
      <c r="XCF42">
        <f t="shared" si="294"/>
        <v>0</v>
      </c>
      <c r="XCG42">
        <f t="shared" si="294"/>
        <v>0</v>
      </c>
      <c r="XCH42">
        <f t="shared" si="294"/>
        <v>0</v>
      </c>
      <c r="XCI42">
        <f t="shared" si="294"/>
        <v>0</v>
      </c>
      <c r="XCJ42">
        <f t="shared" si="294"/>
        <v>0</v>
      </c>
      <c r="XCK42">
        <f t="shared" si="294"/>
        <v>0</v>
      </c>
      <c r="XCL42">
        <f t="shared" si="294"/>
        <v>0</v>
      </c>
      <c r="XCM42">
        <f t="shared" si="294"/>
        <v>0</v>
      </c>
      <c r="XCN42">
        <f t="shared" si="294"/>
        <v>0</v>
      </c>
      <c r="XCO42">
        <f t="shared" si="294"/>
        <v>0</v>
      </c>
      <c r="XCP42">
        <f t="shared" ref="XCP42:XEU43" si="295">XCP41*1.6*1.2</f>
        <v>0</v>
      </c>
      <c r="XCQ42">
        <f t="shared" si="295"/>
        <v>0</v>
      </c>
      <c r="XCR42">
        <f t="shared" si="295"/>
        <v>0</v>
      </c>
      <c r="XCS42">
        <f t="shared" si="295"/>
        <v>0</v>
      </c>
      <c r="XCT42">
        <f t="shared" si="295"/>
        <v>0</v>
      </c>
      <c r="XCU42">
        <f t="shared" si="295"/>
        <v>0</v>
      </c>
      <c r="XCV42">
        <f t="shared" si="295"/>
        <v>0</v>
      </c>
      <c r="XCW42">
        <f t="shared" si="295"/>
        <v>0</v>
      </c>
      <c r="XCX42">
        <f t="shared" si="295"/>
        <v>0</v>
      </c>
      <c r="XCY42">
        <f t="shared" si="295"/>
        <v>0</v>
      </c>
      <c r="XCZ42">
        <f t="shared" si="295"/>
        <v>0</v>
      </c>
      <c r="XDA42">
        <f t="shared" si="295"/>
        <v>0</v>
      </c>
      <c r="XDB42">
        <f t="shared" si="295"/>
        <v>0</v>
      </c>
      <c r="XDC42">
        <f t="shared" si="295"/>
        <v>0</v>
      </c>
      <c r="XDD42">
        <f t="shared" si="295"/>
        <v>0</v>
      </c>
      <c r="XDE42">
        <f t="shared" si="295"/>
        <v>0</v>
      </c>
      <c r="XDF42">
        <f t="shared" si="295"/>
        <v>0</v>
      </c>
      <c r="XDG42">
        <f t="shared" si="295"/>
        <v>0</v>
      </c>
      <c r="XDH42">
        <f t="shared" si="295"/>
        <v>0</v>
      </c>
      <c r="XDI42">
        <f t="shared" si="295"/>
        <v>0</v>
      </c>
      <c r="XDJ42">
        <f t="shared" si="295"/>
        <v>0</v>
      </c>
      <c r="XDK42">
        <f t="shared" si="295"/>
        <v>0</v>
      </c>
      <c r="XDL42">
        <f t="shared" si="295"/>
        <v>0</v>
      </c>
      <c r="XDM42">
        <f t="shared" si="295"/>
        <v>0</v>
      </c>
      <c r="XDN42">
        <f t="shared" si="295"/>
        <v>0</v>
      </c>
      <c r="XDO42">
        <f t="shared" si="295"/>
        <v>0</v>
      </c>
      <c r="XDP42">
        <f t="shared" si="295"/>
        <v>0</v>
      </c>
      <c r="XDQ42">
        <f t="shared" si="295"/>
        <v>0</v>
      </c>
      <c r="XDR42">
        <f t="shared" si="295"/>
        <v>0</v>
      </c>
      <c r="XDS42">
        <f t="shared" si="295"/>
        <v>0</v>
      </c>
      <c r="XDT42">
        <f t="shared" si="295"/>
        <v>0</v>
      </c>
      <c r="XDU42">
        <f t="shared" si="295"/>
        <v>0</v>
      </c>
      <c r="XDV42">
        <f t="shared" si="295"/>
        <v>0</v>
      </c>
      <c r="XDW42">
        <f t="shared" si="295"/>
        <v>0</v>
      </c>
      <c r="XDX42">
        <f t="shared" si="295"/>
        <v>0</v>
      </c>
      <c r="XDY42">
        <f t="shared" si="295"/>
        <v>0</v>
      </c>
      <c r="XDZ42">
        <f t="shared" si="295"/>
        <v>0</v>
      </c>
      <c r="XEA42">
        <f t="shared" si="295"/>
        <v>0</v>
      </c>
      <c r="XEB42">
        <f t="shared" si="295"/>
        <v>0</v>
      </c>
      <c r="XEC42">
        <f t="shared" si="295"/>
        <v>0</v>
      </c>
      <c r="XED42">
        <f t="shared" si="295"/>
        <v>0</v>
      </c>
      <c r="XEE42">
        <f t="shared" si="295"/>
        <v>0</v>
      </c>
      <c r="XEF42">
        <f t="shared" si="295"/>
        <v>0</v>
      </c>
      <c r="XEG42">
        <f t="shared" si="295"/>
        <v>0</v>
      </c>
      <c r="XEH42">
        <f t="shared" si="295"/>
        <v>0</v>
      </c>
      <c r="XEI42">
        <f t="shared" si="295"/>
        <v>0</v>
      </c>
      <c r="XEJ42">
        <f t="shared" si="295"/>
        <v>0</v>
      </c>
      <c r="XEK42">
        <f t="shared" si="295"/>
        <v>0</v>
      </c>
      <c r="XEL42">
        <f t="shared" si="295"/>
        <v>0</v>
      </c>
      <c r="XEM42">
        <f t="shared" si="295"/>
        <v>0</v>
      </c>
      <c r="XEN42">
        <f t="shared" si="295"/>
        <v>0</v>
      </c>
      <c r="XEO42">
        <f t="shared" si="295"/>
        <v>0</v>
      </c>
      <c r="XEP42">
        <f t="shared" si="295"/>
        <v>0</v>
      </c>
      <c r="XEQ42">
        <f t="shared" si="295"/>
        <v>0</v>
      </c>
      <c r="XER42">
        <f t="shared" si="295"/>
        <v>0</v>
      </c>
      <c r="XES42">
        <f t="shared" si="295"/>
        <v>0</v>
      </c>
      <c r="XET42">
        <f t="shared" si="295"/>
        <v>0</v>
      </c>
      <c r="XEU42">
        <f t="shared" si="295"/>
        <v>0</v>
      </c>
    </row>
    <row r="43" spans="1:16375" s="74" customFormat="1" ht="6.6" hidden="1" customHeight="1" x14ac:dyDescent="0.25">
      <c r="A43">
        <f t="shared" si="38"/>
        <v>0</v>
      </c>
      <c r="B43">
        <f t="shared" si="38"/>
        <v>0</v>
      </c>
      <c r="C43">
        <f t="shared" si="38"/>
        <v>0</v>
      </c>
      <c r="D43">
        <f t="shared" si="38"/>
        <v>0</v>
      </c>
      <c r="E43">
        <f t="shared" si="38"/>
        <v>0</v>
      </c>
      <c r="F43">
        <f t="shared" si="38"/>
        <v>0</v>
      </c>
      <c r="G43">
        <f t="shared" si="38"/>
        <v>0</v>
      </c>
      <c r="H43">
        <f t="shared" si="38"/>
        <v>0</v>
      </c>
      <c r="I43">
        <f t="shared" si="38"/>
        <v>0</v>
      </c>
      <c r="J43">
        <v>0</v>
      </c>
      <c r="K43">
        <f t="shared" si="39"/>
        <v>0</v>
      </c>
      <c r="L43">
        <f t="shared" si="39"/>
        <v>0</v>
      </c>
      <c r="M43">
        <f t="shared" si="39"/>
        <v>0</v>
      </c>
      <c r="N43">
        <f t="shared" si="39"/>
        <v>0</v>
      </c>
      <c r="O43">
        <f t="shared" si="39"/>
        <v>0</v>
      </c>
      <c r="P43">
        <f t="shared" si="39"/>
        <v>0</v>
      </c>
      <c r="Q43">
        <f t="shared" si="39"/>
        <v>0</v>
      </c>
      <c r="R43">
        <f t="shared" si="39"/>
        <v>0</v>
      </c>
      <c r="S43">
        <f t="shared" si="39"/>
        <v>0</v>
      </c>
      <c r="T43">
        <f t="shared" si="39"/>
        <v>0</v>
      </c>
      <c r="U43">
        <f t="shared" si="39"/>
        <v>0</v>
      </c>
      <c r="V43">
        <f t="shared" si="39"/>
        <v>0</v>
      </c>
      <c r="W43">
        <f t="shared" si="39"/>
        <v>0</v>
      </c>
      <c r="X43">
        <f t="shared" si="39"/>
        <v>0</v>
      </c>
      <c r="Y43">
        <f t="shared" si="39"/>
        <v>0</v>
      </c>
      <c r="Z43">
        <f t="shared" si="39"/>
        <v>0</v>
      </c>
      <c r="AA43" t="e">
        <f>IF(AD43&lt;&gt;0,AJ43*1.2*(1+AX43)+AO43-AD43,AH43*(1-AG43)*1.2*(1+AV43)+AO43)</f>
        <v>#N/A</v>
      </c>
      <c r="AB43">
        <f t="shared" si="39"/>
        <v>0</v>
      </c>
      <c r="AC43">
        <f t="shared" si="39"/>
        <v>0</v>
      </c>
      <c r="AD43">
        <f t="shared" si="39"/>
        <v>0</v>
      </c>
      <c r="AE43" s="202">
        <f t="shared" si="39"/>
        <v>0</v>
      </c>
      <c r="AF43" s="203">
        <f t="shared" si="39"/>
        <v>0</v>
      </c>
      <c r="AG43">
        <f t="shared" si="39"/>
        <v>0</v>
      </c>
      <c r="AH43">
        <f t="shared" si="39"/>
        <v>0</v>
      </c>
      <c r="AI43">
        <f t="shared" si="39"/>
        <v>0</v>
      </c>
      <c r="AJ43">
        <f t="shared" si="39"/>
        <v>0</v>
      </c>
      <c r="AK43" s="204">
        <f t="shared" si="39"/>
        <v>0</v>
      </c>
      <c r="AL43">
        <f t="shared" si="39"/>
        <v>0</v>
      </c>
      <c r="AM43">
        <f t="shared" si="39"/>
        <v>0</v>
      </c>
      <c r="AN43">
        <f t="shared" si="39"/>
        <v>0</v>
      </c>
      <c r="AO43">
        <f t="shared" si="39"/>
        <v>0</v>
      </c>
      <c r="AP43" s="204">
        <f t="shared" si="39"/>
        <v>0</v>
      </c>
      <c r="AQ43">
        <f t="shared" si="39"/>
        <v>0</v>
      </c>
      <c r="AR43">
        <f t="shared" si="39"/>
        <v>0</v>
      </c>
      <c r="AS43">
        <f t="shared" si="39"/>
        <v>0</v>
      </c>
      <c r="AT43">
        <f t="shared" si="39"/>
        <v>0</v>
      </c>
      <c r="AU43">
        <f t="shared" si="39"/>
        <v>0</v>
      </c>
      <c r="AV43" s="67" t="e" cm="1">
        <f t="array" ref="AV43">_xlfn.IFS(
 AND(AY43="ICE",  AP43&lt;=1400,AND(AK43&gt;900000,  AK43&lt;=1100000)),                    80%,
 AND(AY43="ICE",  AP43&lt;=1400,AK43&gt;1100000),                                       90%,
 AND(AY43="ICE",  AND(AP43&gt;1400,AP43&lt;=1600),   AK43&lt;=850000),                      75%,
 AND(AY43="ICE",  AND(AP43&gt;1400,AP43&lt;=1600),   AND(AK43&gt;850000,AK43&lt;=1100000)),     80%,
 AND(AY43="ICE",  AND(AP43&gt;1400,AP43&lt;=1600),   AND(AK43&gt;1100000,AK43&lt;=1650000)),    90%,
 AND(AY43="ICE",  AND(AP43&gt;1400,AP43&lt;=1600),   AK43&gt;1650000),                      100%,
 AND(AY43="ICE",  AND(AP43&gt;1600,AP43&lt;=2000),   AK43&lt;=1650000),                     150%,
 AND(AY43="ICE",  AND(AP43&gt;1600,AP43&lt;=2000),   AK43&gt;1650000),                      170%,
 AND(AY43="ICE",  AP43&gt;2000),                                                    220%,
 AND(AY43="PHEV",  AP43&lt;=1600,                AK43&lt;=1350000),                     45%,
 AND(AY43="PHEV",  AP43&lt;=1600,                AK43&gt;1350000),                      75%,
 AND(AY43="PHEV",  AND(AP43&gt;1600,AP43&lt;=1800),  AK43&lt;=1350000),                     85%,
 AND(AY43="BEV",    AZ43&lt;=160,                 AK43&lt;=1650000),                     25%,
 AND(AY43="BEV",    AZ43&lt;=160,                 AK43&gt;1650000),                      55%,
 AND(AY43="BEV",    AZ43&gt; 160,                 AK43&lt;=1650000),                     65%,
 AND(AY43="BEV",    AZ43&gt; 160,                 AK43&gt;1650000),                      75%)</f>
        <v>#N/A</v>
      </c>
      <c r="AW43" s="67" t="e" cm="1">
        <f t="array" ref="AW43">_xlfn.IFS(
 X43=0,AV43,
 AND(AY43="ICE",  AP43&lt;=1400,AND((AJ43-BA43)&gt;900000,  (AJ43-BA43)&lt;=1100000)),                    80%,
 AND(AY43="ICE",  AP43&lt;=1400,(AJ43-BA43)&gt;1100000),                                       90%,
 AND(AY43="ICE",  AND(AP43&gt;1400,AP43&lt;=1600),   (AJ43-BA43)&lt;=850000),                      75%,
 AND(AY43="ICE",  AND(AP43&gt;1400,AP43&lt;=1600),   AND((AJ43-BA43)&gt;850000,(AJ43-BA43)&lt;=1100000)),     80%,
 AND(AY43="ICE",  AND(AP43&gt;1400,AP43&lt;=1600),   AND((AJ43-BA43)&gt;1100000,(AJ43-BA43)&lt;=1650000)),    90%,
 AND(AY43="ICE",  AND(AP43&gt;1400,AP43&lt;=1600),   (AJ43-BA43)&gt;1650000),                      100%,
 AND(AY43="ICE",  AND(AP43&gt;1600,AP43&lt;=2000),   (AJ43-BA43)&lt;=1650000),                     150%,
 AND(AY43="ICE",  AND(AP43&gt;1600,AP43&lt;=2000),   (AJ43-BA43)&gt;1650000),                      170%,
 AND(AY43="ICE",  AP43&gt;2000),                                                    220%,
 AND(AY43="PHEV",  AP43&lt;=1600,                (AJ43-BA43)&lt;=1350000),                     45%,
 AND(AY43="PHEV",  AP43&lt;=1600,                (AJ43-BA43)&gt;1350000),                      75%,
 AND(AY43="PHEV",  AND(AP43&gt;1600,AP43&lt;=1800),  (AJ43-BA43)&lt;=1350000),                     85%,
 AND(AY43="BEV",    AZ43&lt;=160,                 (AJ43-BA43)&lt;=1650000),                     25%,
 AND(AY43="BEV",    AZ43&lt;=160,                 (AJ43-BA43)&gt;1650000),                      55%,
 AND(AY43="BEV",    AZ43&gt; 160,                 (AJ43-BA43)&lt;=1650000),                     65%,
 AND(AY43="BEV",    AZ43&gt; 160,                 (AJ43-BA43)&gt;1650000),                      75%)</f>
        <v>#N/A</v>
      </c>
      <c r="AX43" s="67" t="e" cm="1">
        <f t="array" ref="AX43">_xlfn.IFS(
 AD43=0,AV43,
 AND(AY43="ICE",  AP43&lt;=1400,AND(AJ43&gt;900000,  AJ43&lt;=1100000)),                    80%,
 AND(AY43="ICE",  AP43&lt;=1400,AJ43&gt;1100000),                                       90%,
 AND(AY43="ICE",  AND(AP43&gt;1400,AP43&lt;=1600),   AJ43&lt;=850000),                      75%,
 AND(AY43="ICE",  AND(AP43&gt;1400,AP43&lt;=1600),   AND(AJ43&gt;850000,AJ43&lt;=1100000)),     80%,
 AND(AY43="ICE",  AND(AP43&gt;1400,AP43&lt;=1600),   AND(AJ43&gt;1100000,AJ43&lt;=1650000)),    90%,
 AND(AY43="ICE",  AND(AP43&gt;1400,AP43&lt;=1600),   AJ43&gt;1650000),                      100%,
 AND(AY43="ICE",  AND(AP43&gt;1600,AP43&lt;=2000),   AJ43&lt;=1650000),                     150%,
 AND(AY43="ICE",  AND(AP43&gt;1600,AP43&lt;=2000),   AJ43&gt;1650000),                      170%,
 AND(AY43="ICE",  AP43&gt;2000),                                                    220%,
 AND(AY43="PHEV",  AP43&lt;=1600,                AJ43&lt;=1350000),                     45%,
 AND(AY43="PHEV",  AP43&lt;=1600,                AJ43&gt;1350000),                      75%,
 AND(AY43="PHEV",  AND(AP43&gt;1600,AP43&lt;=1800),  AJ43&lt;=1350000),                     85%,
 AND(AY43="BEV",    AZ43&lt;=160,                 AJ43&lt;=1650000),                     25%,
 AND(AY43="BEV",    AZ43&lt;=160,                 AJ43&gt;1650000),                      55%,
 AND(AY43="BEV",    AZ43&gt; 160,                 AJ43&lt;=1650000),                     65%,
 AND(AY43="BEV",    AZ43&gt; 160,                 AJ43&gt;1650000),                      75%)</f>
        <v>#N/A</v>
      </c>
      <c r="AY43" s="80" t="e">
        <f>_xlfn.XLOOKUP(A43,'[1]My Input'!$B:$B,'[1]My Input'!$V:$V)</f>
        <v>#N/A</v>
      </c>
      <c r="AZ43" s="80" t="str">
        <f>_xlfn.IFNA(_xlfn.XLOOKUP(A43,'[1]kW Tescil'!$A:$A,'[1]kW Tescil'!$C:$C),"-")</f>
        <v>-</v>
      </c>
      <c r="BA43" s="81" t="e">
        <f>_xlfn.XLOOKUP(A43,'[1]My Input'!$B:$B,'[1]My Input'!$H:$H)</f>
        <v>#N/A</v>
      </c>
      <c r="BB43">
        <f t="shared" si="40"/>
        <v>0</v>
      </c>
      <c r="BC43" s="82">
        <v>0</v>
      </c>
      <c r="BD43" s="82">
        <v>0</v>
      </c>
      <c r="BE43">
        <f t="shared" si="40"/>
        <v>0</v>
      </c>
      <c r="BF43" s="83">
        <v>0</v>
      </c>
      <c r="BG43" s="83">
        <v>0</v>
      </c>
      <c r="BH43">
        <f t="shared" si="40"/>
        <v>0</v>
      </c>
      <c r="BI43" s="84" t="e">
        <v>#N/A</v>
      </c>
      <c r="BJ43">
        <f t="shared" si="41"/>
        <v>0</v>
      </c>
      <c r="BK43">
        <f t="shared" si="41"/>
        <v>0</v>
      </c>
      <c r="BL43" s="83">
        <v>0</v>
      </c>
      <c r="BM43">
        <f t="shared" si="41"/>
        <v>0</v>
      </c>
      <c r="BN43"/>
      <c r="BO43">
        <f t="shared" si="41"/>
        <v>0</v>
      </c>
      <c r="BP43">
        <f t="shared" si="41"/>
        <v>0</v>
      </c>
      <c r="BQ43">
        <f t="shared" si="41"/>
        <v>0</v>
      </c>
      <c r="BR43">
        <f t="shared" si="41"/>
        <v>0</v>
      </c>
      <c r="BS43">
        <f t="shared" si="41"/>
        <v>0</v>
      </c>
      <c r="BT43">
        <f t="shared" si="41"/>
        <v>0</v>
      </c>
      <c r="BU43">
        <f t="shared" si="41"/>
        <v>0</v>
      </c>
      <c r="BV43">
        <f t="shared" si="41"/>
        <v>0</v>
      </c>
      <c r="BW43">
        <f t="shared" si="41"/>
        <v>0</v>
      </c>
      <c r="BX43">
        <f t="shared" si="41"/>
        <v>0</v>
      </c>
      <c r="BY43">
        <f t="shared" si="41"/>
        <v>0</v>
      </c>
      <c r="BZ43">
        <f t="shared" si="41"/>
        <v>0</v>
      </c>
      <c r="CA43">
        <f t="shared" si="41"/>
        <v>0</v>
      </c>
      <c r="CB43">
        <f t="shared" si="41"/>
        <v>0</v>
      </c>
      <c r="CC43">
        <f t="shared" si="41"/>
        <v>0</v>
      </c>
      <c r="CD43">
        <f t="shared" si="41"/>
        <v>0</v>
      </c>
      <c r="CE43">
        <f t="shared" si="41"/>
        <v>0</v>
      </c>
      <c r="CF43">
        <f t="shared" si="41"/>
        <v>0</v>
      </c>
      <c r="CG43">
        <f t="shared" si="41"/>
        <v>0</v>
      </c>
      <c r="CH43">
        <f t="shared" si="41"/>
        <v>0</v>
      </c>
      <c r="CI43">
        <f t="shared" si="41"/>
        <v>0</v>
      </c>
      <c r="CJ43">
        <f t="shared" si="41"/>
        <v>0</v>
      </c>
      <c r="CK43">
        <f t="shared" si="41"/>
        <v>0</v>
      </c>
      <c r="CL43">
        <f t="shared" si="41"/>
        <v>0</v>
      </c>
      <c r="CM43">
        <f t="shared" si="41"/>
        <v>0</v>
      </c>
      <c r="CN43">
        <f t="shared" si="41"/>
        <v>0</v>
      </c>
      <c r="CO43">
        <f t="shared" si="41"/>
        <v>0</v>
      </c>
      <c r="CP43">
        <f t="shared" si="41"/>
        <v>0</v>
      </c>
      <c r="CQ43">
        <f t="shared" si="41"/>
        <v>0</v>
      </c>
      <c r="CR43">
        <f t="shared" si="41"/>
        <v>0</v>
      </c>
      <c r="CS43">
        <f t="shared" si="41"/>
        <v>0</v>
      </c>
      <c r="CT43">
        <f t="shared" si="41"/>
        <v>0</v>
      </c>
      <c r="CU43">
        <f t="shared" si="41"/>
        <v>0</v>
      </c>
      <c r="CV43">
        <f t="shared" si="41"/>
        <v>0</v>
      </c>
      <c r="CW43">
        <f t="shared" si="41"/>
        <v>0</v>
      </c>
      <c r="CX43">
        <f t="shared" si="41"/>
        <v>0</v>
      </c>
      <c r="CY43">
        <f t="shared" si="41"/>
        <v>0</v>
      </c>
      <c r="CZ43">
        <f t="shared" si="41"/>
        <v>0</v>
      </c>
      <c r="DA43">
        <f t="shared" si="41"/>
        <v>0</v>
      </c>
      <c r="DB43">
        <f t="shared" si="41"/>
        <v>0</v>
      </c>
      <c r="DC43">
        <f t="shared" si="41"/>
        <v>0</v>
      </c>
      <c r="DD43">
        <f t="shared" si="41"/>
        <v>0</v>
      </c>
      <c r="DE43">
        <f t="shared" si="41"/>
        <v>0</v>
      </c>
      <c r="DF43">
        <f t="shared" si="41"/>
        <v>0</v>
      </c>
      <c r="DG43">
        <f t="shared" si="41"/>
        <v>0</v>
      </c>
      <c r="DH43">
        <f t="shared" si="41"/>
        <v>0</v>
      </c>
      <c r="DI43">
        <f t="shared" si="41"/>
        <v>0</v>
      </c>
      <c r="DJ43">
        <f t="shared" si="41"/>
        <v>0</v>
      </c>
      <c r="DK43">
        <f t="shared" si="41"/>
        <v>0</v>
      </c>
      <c r="DL43">
        <f t="shared" si="41"/>
        <v>0</v>
      </c>
      <c r="DM43">
        <f t="shared" si="41"/>
        <v>0</v>
      </c>
      <c r="DN43">
        <f t="shared" si="41"/>
        <v>0</v>
      </c>
      <c r="DO43">
        <f t="shared" si="41"/>
        <v>0</v>
      </c>
      <c r="DP43">
        <f t="shared" si="41"/>
        <v>0</v>
      </c>
      <c r="DQ43">
        <f t="shared" si="41"/>
        <v>0</v>
      </c>
      <c r="DR43">
        <f t="shared" si="41"/>
        <v>0</v>
      </c>
      <c r="DS43">
        <f t="shared" si="41"/>
        <v>0</v>
      </c>
      <c r="DT43">
        <f t="shared" si="41"/>
        <v>0</v>
      </c>
      <c r="DU43">
        <f t="shared" si="41"/>
        <v>0</v>
      </c>
      <c r="DV43">
        <f t="shared" si="42"/>
        <v>0</v>
      </c>
      <c r="DW43">
        <f t="shared" si="42"/>
        <v>0</v>
      </c>
      <c r="DX43">
        <f t="shared" si="42"/>
        <v>0</v>
      </c>
      <c r="DY43">
        <f t="shared" si="42"/>
        <v>0</v>
      </c>
      <c r="DZ43">
        <f t="shared" si="42"/>
        <v>0</v>
      </c>
      <c r="EA43">
        <f t="shared" si="42"/>
        <v>0</v>
      </c>
      <c r="EB43">
        <f t="shared" si="42"/>
        <v>0</v>
      </c>
      <c r="EC43">
        <f t="shared" si="42"/>
        <v>0</v>
      </c>
      <c r="ED43">
        <f t="shared" si="42"/>
        <v>0</v>
      </c>
      <c r="EE43">
        <f t="shared" si="42"/>
        <v>0</v>
      </c>
      <c r="EF43">
        <f t="shared" si="42"/>
        <v>0</v>
      </c>
      <c r="EG43">
        <f t="shared" si="42"/>
        <v>0</v>
      </c>
      <c r="EH43">
        <f t="shared" si="42"/>
        <v>0</v>
      </c>
      <c r="EI43">
        <f t="shared" si="42"/>
        <v>0</v>
      </c>
      <c r="EJ43">
        <f t="shared" si="42"/>
        <v>0</v>
      </c>
      <c r="EK43">
        <f t="shared" si="42"/>
        <v>0</v>
      </c>
      <c r="EL43">
        <f t="shared" si="42"/>
        <v>0</v>
      </c>
      <c r="EM43">
        <f t="shared" si="42"/>
        <v>0</v>
      </c>
      <c r="EN43">
        <f t="shared" si="42"/>
        <v>0</v>
      </c>
      <c r="EO43">
        <f t="shared" si="42"/>
        <v>0</v>
      </c>
      <c r="EP43">
        <f t="shared" si="42"/>
        <v>0</v>
      </c>
      <c r="EQ43">
        <f t="shared" si="42"/>
        <v>0</v>
      </c>
      <c r="ER43">
        <f t="shared" si="42"/>
        <v>0</v>
      </c>
      <c r="ES43">
        <f t="shared" si="42"/>
        <v>0</v>
      </c>
      <c r="ET43">
        <f t="shared" si="42"/>
        <v>0</v>
      </c>
      <c r="EU43">
        <f t="shared" si="42"/>
        <v>0</v>
      </c>
      <c r="EV43">
        <f t="shared" si="42"/>
        <v>0</v>
      </c>
      <c r="EW43">
        <f t="shared" si="42"/>
        <v>0</v>
      </c>
      <c r="EX43">
        <f t="shared" si="42"/>
        <v>0</v>
      </c>
      <c r="EY43">
        <f t="shared" si="42"/>
        <v>0</v>
      </c>
      <c r="EZ43">
        <f t="shared" si="42"/>
        <v>0</v>
      </c>
      <c r="FA43">
        <f t="shared" si="42"/>
        <v>0</v>
      </c>
      <c r="FB43">
        <f t="shared" si="42"/>
        <v>0</v>
      </c>
      <c r="FC43">
        <f t="shared" si="42"/>
        <v>0</v>
      </c>
      <c r="FD43">
        <f t="shared" si="42"/>
        <v>0</v>
      </c>
      <c r="FE43">
        <f t="shared" si="42"/>
        <v>0</v>
      </c>
      <c r="FF43">
        <f t="shared" si="42"/>
        <v>0</v>
      </c>
      <c r="FG43">
        <f t="shared" si="42"/>
        <v>0</v>
      </c>
      <c r="FH43">
        <f t="shared" si="42"/>
        <v>0</v>
      </c>
      <c r="FI43">
        <f t="shared" si="42"/>
        <v>0</v>
      </c>
      <c r="FJ43">
        <f t="shared" si="42"/>
        <v>0</v>
      </c>
      <c r="FK43">
        <f t="shared" si="42"/>
        <v>0</v>
      </c>
      <c r="FL43">
        <f t="shared" si="42"/>
        <v>0</v>
      </c>
      <c r="FM43">
        <f t="shared" si="42"/>
        <v>0</v>
      </c>
      <c r="FN43">
        <f t="shared" si="42"/>
        <v>0</v>
      </c>
      <c r="FO43">
        <f t="shared" si="42"/>
        <v>0</v>
      </c>
      <c r="FP43">
        <f t="shared" si="42"/>
        <v>0</v>
      </c>
      <c r="FQ43">
        <f t="shared" si="42"/>
        <v>0</v>
      </c>
      <c r="FR43">
        <f t="shared" si="42"/>
        <v>0</v>
      </c>
      <c r="FS43">
        <f t="shared" si="42"/>
        <v>0</v>
      </c>
      <c r="FT43">
        <f t="shared" si="42"/>
        <v>0</v>
      </c>
      <c r="FU43">
        <f t="shared" si="42"/>
        <v>0</v>
      </c>
      <c r="FV43">
        <f t="shared" si="42"/>
        <v>0</v>
      </c>
      <c r="FW43">
        <f t="shared" si="42"/>
        <v>0</v>
      </c>
      <c r="FX43">
        <f t="shared" si="42"/>
        <v>0</v>
      </c>
      <c r="FY43">
        <f t="shared" si="42"/>
        <v>0</v>
      </c>
      <c r="FZ43">
        <f t="shared" si="42"/>
        <v>0</v>
      </c>
      <c r="GA43">
        <f t="shared" si="42"/>
        <v>0</v>
      </c>
      <c r="GB43">
        <f t="shared" si="42"/>
        <v>0</v>
      </c>
      <c r="GC43">
        <f t="shared" si="42"/>
        <v>0</v>
      </c>
      <c r="GD43">
        <f t="shared" si="42"/>
        <v>0</v>
      </c>
      <c r="GE43">
        <f t="shared" si="42"/>
        <v>0</v>
      </c>
      <c r="GF43">
        <f t="shared" si="42"/>
        <v>0</v>
      </c>
      <c r="GG43">
        <f t="shared" si="42"/>
        <v>0</v>
      </c>
      <c r="GH43">
        <f t="shared" si="43"/>
        <v>0</v>
      </c>
      <c r="GI43">
        <f t="shared" si="43"/>
        <v>0</v>
      </c>
      <c r="GJ43">
        <f t="shared" si="43"/>
        <v>0</v>
      </c>
      <c r="GK43">
        <f t="shared" si="43"/>
        <v>0</v>
      </c>
      <c r="GL43">
        <f t="shared" si="43"/>
        <v>0</v>
      </c>
      <c r="GM43">
        <f t="shared" si="43"/>
        <v>0</v>
      </c>
      <c r="GN43">
        <f t="shared" si="43"/>
        <v>0</v>
      </c>
      <c r="GO43">
        <f t="shared" si="43"/>
        <v>0</v>
      </c>
      <c r="GP43">
        <f t="shared" si="43"/>
        <v>0</v>
      </c>
      <c r="GQ43">
        <f t="shared" si="43"/>
        <v>0</v>
      </c>
      <c r="GR43">
        <f t="shared" si="43"/>
        <v>0</v>
      </c>
      <c r="GS43">
        <f t="shared" si="43"/>
        <v>0</v>
      </c>
      <c r="GT43">
        <f t="shared" si="43"/>
        <v>0</v>
      </c>
      <c r="GU43">
        <f t="shared" si="43"/>
        <v>0</v>
      </c>
      <c r="GV43">
        <f t="shared" si="43"/>
        <v>0</v>
      </c>
      <c r="GW43">
        <f t="shared" si="43"/>
        <v>0</v>
      </c>
      <c r="GX43">
        <f t="shared" si="43"/>
        <v>0</v>
      </c>
      <c r="GY43">
        <f t="shared" si="43"/>
        <v>0</v>
      </c>
      <c r="GZ43">
        <f t="shared" si="43"/>
        <v>0</v>
      </c>
      <c r="HA43">
        <f t="shared" si="43"/>
        <v>0</v>
      </c>
      <c r="HB43">
        <f t="shared" si="43"/>
        <v>0</v>
      </c>
      <c r="HC43">
        <f t="shared" si="43"/>
        <v>0</v>
      </c>
      <c r="HD43">
        <f t="shared" si="43"/>
        <v>0</v>
      </c>
      <c r="HE43">
        <f t="shared" si="43"/>
        <v>0</v>
      </c>
      <c r="HF43">
        <f t="shared" si="43"/>
        <v>0</v>
      </c>
      <c r="HG43">
        <f t="shared" si="43"/>
        <v>0</v>
      </c>
      <c r="HH43">
        <f t="shared" si="43"/>
        <v>0</v>
      </c>
      <c r="HI43">
        <f t="shared" si="43"/>
        <v>0</v>
      </c>
      <c r="HJ43">
        <f t="shared" si="43"/>
        <v>0</v>
      </c>
      <c r="HK43">
        <f t="shared" si="43"/>
        <v>0</v>
      </c>
      <c r="HL43">
        <f t="shared" si="43"/>
        <v>0</v>
      </c>
      <c r="HM43">
        <f t="shared" si="43"/>
        <v>0</v>
      </c>
      <c r="HN43">
        <f t="shared" si="43"/>
        <v>0</v>
      </c>
      <c r="HO43">
        <f t="shared" si="43"/>
        <v>0</v>
      </c>
      <c r="HP43">
        <f t="shared" si="43"/>
        <v>0</v>
      </c>
      <c r="HQ43">
        <f t="shared" si="43"/>
        <v>0</v>
      </c>
      <c r="HR43">
        <f t="shared" si="43"/>
        <v>0</v>
      </c>
      <c r="HS43">
        <f t="shared" si="43"/>
        <v>0</v>
      </c>
      <c r="HT43">
        <f t="shared" si="43"/>
        <v>0</v>
      </c>
      <c r="HU43">
        <f t="shared" si="43"/>
        <v>0</v>
      </c>
      <c r="HV43">
        <f t="shared" si="43"/>
        <v>0</v>
      </c>
      <c r="HW43">
        <f t="shared" si="43"/>
        <v>0</v>
      </c>
      <c r="HX43">
        <f t="shared" si="43"/>
        <v>0</v>
      </c>
      <c r="HY43">
        <f t="shared" si="43"/>
        <v>0</v>
      </c>
      <c r="HZ43">
        <f t="shared" si="43"/>
        <v>0</v>
      </c>
      <c r="IA43">
        <f t="shared" si="43"/>
        <v>0</v>
      </c>
      <c r="IB43">
        <f t="shared" si="43"/>
        <v>0</v>
      </c>
      <c r="IC43">
        <f t="shared" si="43"/>
        <v>0</v>
      </c>
      <c r="ID43">
        <f t="shared" si="43"/>
        <v>0</v>
      </c>
      <c r="IE43">
        <f t="shared" si="43"/>
        <v>0</v>
      </c>
      <c r="IF43">
        <f t="shared" si="43"/>
        <v>0</v>
      </c>
      <c r="IG43">
        <f t="shared" si="43"/>
        <v>0</v>
      </c>
      <c r="IH43">
        <f t="shared" si="43"/>
        <v>0</v>
      </c>
      <c r="II43">
        <f t="shared" si="43"/>
        <v>0</v>
      </c>
      <c r="IJ43">
        <f t="shared" si="43"/>
        <v>0</v>
      </c>
      <c r="IK43">
        <f t="shared" si="43"/>
        <v>0</v>
      </c>
      <c r="IL43">
        <f t="shared" si="43"/>
        <v>0</v>
      </c>
      <c r="IM43">
        <f t="shared" si="43"/>
        <v>0</v>
      </c>
      <c r="IN43">
        <f t="shared" si="43"/>
        <v>0</v>
      </c>
      <c r="IO43">
        <f t="shared" si="43"/>
        <v>0</v>
      </c>
      <c r="IP43">
        <f t="shared" si="43"/>
        <v>0</v>
      </c>
      <c r="IQ43">
        <f t="shared" si="43"/>
        <v>0</v>
      </c>
      <c r="IR43">
        <f t="shared" si="43"/>
        <v>0</v>
      </c>
      <c r="IS43">
        <f t="shared" si="43"/>
        <v>0</v>
      </c>
      <c r="IT43">
        <f t="shared" si="44"/>
        <v>0</v>
      </c>
      <c r="IU43">
        <f t="shared" si="44"/>
        <v>0</v>
      </c>
      <c r="IV43">
        <f t="shared" si="44"/>
        <v>0</v>
      </c>
      <c r="IW43">
        <f t="shared" si="44"/>
        <v>0</v>
      </c>
      <c r="IX43">
        <f t="shared" si="44"/>
        <v>0</v>
      </c>
      <c r="IY43">
        <f t="shared" si="44"/>
        <v>0</v>
      </c>
      <c r="IZ43">
        <f t="shared" si="44"/>
        <v>0</v>
      </c>
      <c r="JA43">
        <f t="shared" si="44"/>
        <v>0</v>
      </c>
      <c r="JB43">
        <f t="shared" si="44"/>
        <v>0</v>
      </c>
      <c r="JC43">
        <f t="shared" si="44"/>
        <v>0</v>
      </c>
      <c r="JD43">
        <f t="shared" si="44"/>
        <v>0</v>
      </c>
      <c r="JE43">
        <f t="shared" si="44"/>
        <v>0</v>
      </c>
      <c r="JF43">
        <f t="shared" si="44"/>
        <v>0</v>
      </c>
      <c r="JG43">
        <f t="shared" si="44"/>
        <v>0</v>
      </c>
      <c r="JH43">
        <f t="shared" si="44"/>
        <v>0</v>
      </c>
      <c r="JI43">
        <f t="shared" si="44"/>
        <v>0</v>
      </c>
      <c r="JJ43">
        <f t="shared" si="44"/>
        <v>0</v>
      </c>
      <c r="JK43">
        <f t="shared" si="44"/>
        <v>0</v>
      </c>
      <c r="JL43">
        <f t="shared" si="44"/>
        <v>0</v>
      </c>
      <c r="JM43">
        <f t="shared" si="44"/>
        <v>0</v>
      </c>
      <c r="JN43">
        <f t="shared" si="44"/>
        <v>0</v>
      </c>
      <c r="JO43">
        <f t="shared" si="44"/>
        <v>0</v>
      </c>
      <c r="JP43">
        <f t="shared" si="44"/>
        <v>0</v>
      </c>
      <c r="JQ43">
        <f t="shared" si="44"/>
        <v>0</v>
      </c>
      <c r="JR43">
        <f t="shared" si="44"/>
        <v>0</v>
      </c>
      <c r="JS43">
        <f t="shared" si="44"/>
        <v>0</v>
      </c>
      <c r="JT43">
        <f t="shared" si="44"/>
        <v>0</v>
      </c>
      <c r="JU43">
        <f t="shared" si="44"/>
        <v>0</v>
      </c>
      <c r="JV43">
        <f t="shared" si="44"/>
        <v>0</v>
      </c>
      <c r="JW43">
        <f t="shared" si="44"/>
        <v>0</v>
      </c>
      <c r="JX43">
        <f t="shared" si="44"/>
        <v>0</v>
      </c>
      <c r="JY43">
        <f t="shared" si="44"/>
        <v>0</v>
      </c>
      <c r="JZ43">
        <f t="shared" si="44"/>
        <v>0</v>
      </c>
      <c r="KA43">
        <f t="shared" si="44"/>
        <v>0</v>
      </c>
      <c r="KB43">
        <f t="shared" si="44"/>
        <v>0</v>
      </c>
      <c r="KC43">
        <f t="shared" si="44"/>
        <v>0</v>
      </c>
      <c r="KD43">
        <f t="shared" si="44"/>
        <v>0</v>
      </c>
      <c r="KE43">
        <f t="shared" si="44"/>
        <v>0</v>
      </c>
      <c r="KF43">
        <f t="shared" si="44"/>
        <v>0</v>
      </c>
      <c r="KG43">
        <f t="shared" si="44"/>
        <v>0</v>
      </c>
      <c r="KH43">
        <f t="shared" si="44"/>
        <v>0</v>
      </c>
      <c r="KI43">
        <f t="shared" si="44"/>
        <v>0</v>
      </c>
      <c r="KJ43">
        <f t="shared" si="44"/>
        <v>0</v>
      </c>
      <c r="KK43">
        <f t="shared" si="44"/>
        <v>0</v>
      </c>
      <c r="KL43">
        <f t="shared" si="44"/>
        <v>0</v>
      </c>
      <c r="KM43">
        <f t="shared" si="44"/>
        <v>0</v>
      </c>
      <c r="KN43">
        <f t="shared" si="44"/>
        <v>0</v>
      </c>
      <c r="KO43">
        <f t="shared" si="44"/>
        <v>0</v>
      </c>
      <c r="KP43">
        <f t="shared" si="44"/>
        <v>0</v>
      </c>
      <c r="KQ43">
        <f t="shared" si="44"/>
        <v>0</v>
      </c>
      <c r="KR43">
        <f t="shared" si="44"/>
        <v>0</v>
      </c>
      <c r="KS43">
        <f t="shared" si="44"/>
        <v>0</v>
      </c>
      <c r="KT43">
        <f t="shared" si="44"/>
        <v>0</v>
      </c>
      <c r="KU43">
        <f t="shared" si="44"/>
        <v>0</v>
      </c>
      <c r="KV43">
        <f t="shared" si="44"/>
        <v>0</v>
      </c>
      <c r="KW43">
        <f t="shared" si="44"/>
        <v>0</v>
      </c>
      <c r="KX43">
        <f t="shared" si="44"/>
        <v>0</v>
      </c>
      <c r="KY43">
        <f t="shared" si="44"/>
        <v>0</v>
      </c>
      <c r="KZ43">
        <f t="shared" si="44"/>
        <v>0</v>
      </c>
      <c r="LA43">
        <f t="shared" si="44"/>
        <v>0</v>
      </c>
      <c r="LB43">
        <f t="shared" si="44"/>
        <v>0</v>
      </c>
      <c r="LC43">
        <f t="shared" si="44"/>
        <v>0</v>
      </c>
      <c r="LD43">
        <f t="shared" si="44"/>
        <v>0</v>
      </c>
      <c r="LE43">
        <f t="shared" si="44"/>
        <v>0</v>
      </c>
      <c r="LF43">
        <f t="shared" si="45"/>
        <v>0</v>
      </c>
      <c r="LG43">
        <f t="shared" si="45"/>
        <v>0</v>
      </c>
      <c r="LH43">
        <f t="shared" si="45"/>
        <v>0</v>
      </c>
      <c r="LI43">
        <f t="shared" si="45"/>
        <v>0</v>
      </c>
      <c r="LJ43">
        <f t="shared" si="45"/>
        <v>0</v>
      </c>
      <c r="LK43">
        <f t="shared" si="45"/>
        <v>0</v>
      </c>
      <c r="LL43">
        <f t="shared" si="45"/>
        <v>0</v>
      </c>
      <c r="LM43">
        <f t="shared" si="45"/>
        <v>0</v>
      </c>
      <c r="LN43">
        <f t="shared" si="45"/>
        <v>0</v>
      </c>
      <c r="LO43">
        <f t="shared" si="45"/>
        <v>0</v>
      </c>
      <c r="LP43">
        <f t="shared" si="45"/>
        <v>0</v>
      </c>
      <c r="LQ43">
        <f t="shared" si="45"/>
        <v>0</v>
      </c>
      <c r="LR43">
        <f t="shared" si="45"/>
        <v>0</v>
      </c>
      <c r="LS43">
        <f t="shared" si="45"/>
        <v>0</v>
      </c>
      <c r="LT43">
        <f t="shared" si="45"/>
        <v>0</v>
      </c>
      <c r="LU43">
        <f t="shared" si="45"/>
        <v>0</v>
      </c>
      <c r="LV43">
        <f t="shared" si="45"/>
        <v>0</v>
      </c>
      <c r="LW43">
        <f t="shared" si="45"/>
        <v>0</v>
      </c>
      <c r="LX43">
        <f t="shared" si="45"/>
        <v>0</v>
      </c>
      <c r="LY43">
        <f t="shared" si="45"/>
        <v>0</v>
      </c>
      <c r="LZ43">
        <f t="shared" si="45"/>
        <v>0</v>
      </c>
      <c r="MA43">
        <f t="shared" si="45"/>
        <v>0</v>
      </c>
      <c r="MB43">
        <f t="shared" si="45"/>
        <v>0</v>
      </c>
      <c r="MC43">
        <f t="shared" si="45"/>
        <v>0</v>
      </c>
      <c r="MD43">
        <f t="shared" si="45"/>
        <v>0</v>
      </c>
      <c r="ME43">
        <f t="shared" si="45"/>
        <v>0</v>
      </c>
      <c r="MF43">
        <f t="shared" si="45"/>
        <v>0</v>
      </c>
      <c r="MG43">
        <f t="shared" si="45"/>
        <v>0</v>
      </c>
      <c r="MH43">
        <f t="shared" si="45"/>
        <v>0</v>
      </c>
      <c r="MI43">
        <f t="shared" si="45"/>
        <v>0</v>
      </c>
      <c r="MJ43">
        <f t="shared" si="45"/>
        <v>0</v>
      </c>
      <c r="MK43">
        <f t="shared" si="45"/>
        <v>0</v>
      </c>
      <c r="ML43">
        <f t="shared" si="45"/>
        <v>0</v>
      </c>
      <c r="MM43">
        <f t="shared" si="45"/>
        <v>0</v>
      </c>
      <c r="MN43">
        <f t="shared" si="45"/>
        <v>0</v>
      </c>
      <c r="MO43">
        <f t="shared" si="45"/>
        <v>0</v>
      </c>
      <c r="MP43">
        <f t="shared" si="45"/>
        <v>0</v>
      </c>
      <c r="MQ43">
        <f t="shared" si="45"/>
        <v>0</v>
      </c>
      <c r="MR43">
        <f t="shared" si="45"/>
        <v>0</v>
      </c>
      <c r="MS43">
        <f t="shared" si="45"/>
        <v>0</v>
      </c>
      <c r="MT43">
        <f t="shared" si="45"/>
        <v>0</v>
      </c>
      <c r="MU43">
        <f t="shared" si="45"/>
        <v>0</v>
      </c>
      <c r="MV43">
        <f t="shared" si="45"/>
        <v>0</v>
      </c>
      <c r="MW43">
        <f t="shared" si="45"/>
        <v>0</v>
      </c>
      <c r="MX43">
        <f t="shared" si="45"/>
        <v>0</v>
      </c>
      <c r="MY43">
        <f t="shared" si="45"/>
        <v>0</v>
      </c>
      <c r="MZ43">
        <f t="shared" si="45"/>
        <v>0</v>
      </c>
      <c r="NA43">
        <f t="shared" si="45"/>
        <v>0</v>
      </c>
      <c r="NB43">
        <f t="shared" si="45"/>
        <v>0</v>
      </c>
      <c r="NC43">
        <f t="shared" si="45"/>
        <v>0</v>
      </c>
      <c r="ND43">
        <f t="shared" si="45"/>
        <v>0</v>
      </c>
      <c r="NE43">
        <f t="shared" si="45"/>
        <v>0</v>
      </c>
      <c r="NF43">
        <f t="shared" si="45"/>
        <v>0</v>
      </c>
      <c r="NG43">
        <f t="shared" si="45"/>
        <v>0</v>
      </c>
      <c r="NH43">
        <f t="shared" si="45"/>
        <v>0</v>
      </c>
      <c r="NI43">
        <f t="shared" si="45"/>
        <v>0</v>
      </c>
      <c r="NJ43">
        <f t="shared" si="45"/>
        <v>0</v>
      </c>
      <c r="NK43">
        <f t="shared" si="45"/>
        <v>0</v>
      </c>
      <c r="NL43">
        <f t="shared" si="45"/>
        <v>0</v>
      </c>
      <c r="NM43">
        <f t="shared" si="45"/>
        <v>0</v>
      </c>
      <c r="NN43">
        <f t="shared" si="45"/>
        <v>0</v>
      </c>
      <c r="NO43">
        <f t="shared" si="45"/>
        <v>0</v>
      </c>
      <c r="NP43">
        <f t="shared" si="45"/>
        <v>0</v>
      </c>
      <c r="NQ43">
        <f t="shared" si="45"/>
        <v>0</v>
      </c>
      <c r="NR43">
        <f t="shared" si="46"/>
        <v>0</v>
      </c>
      <c r="NS43">
        <f t="shared" si="46"/>
        <v>0</v>
      </c>
      <c r="NT43">
        <f t="shared" si="46"/>
        <v>0</v>
      </c>
      <c r="NU43">
        <f t="shared" si="46"/>
        <v>0</v>
      </c>
      <c r="NV43">
        <f t="shared" si="46"/>
        <v>0</v>
      </c>
      <c r="NW43">
        <f t="shared" si="46"/>
        <v>0</v>
      </c>
      <c r="NX43">
        <f t="shared" si="46"/>
        <v>0</v>
      </c>
      <c r="NY43">
        <f t="shared" si="46"/>
        <v>0</v>
      </c>
      <c r="NZ43">
        <f t="shared" si="46"/>
        <v>0</v>
      </c>
      <c r="OA43">
        <f t="shared" si="46"/>
        <v>0</v>
      </c>
      <c r="OB43">
        <f t="shared" si="46"/>
        <v>0</v>
      </c>
      <c r="OC43">
        <f t="shared" si="46"/>
        <v>0</v>
      </c>
      <c r="OD43">
        <f t="shared" si="46"/>
        <v>0</v>
      </c>
      <c r="OE43">
        <f t="shared" si="46"/>
        <v>0</v>
      </c>
      <c r="OF43">
        <f t="shared" si="46"/>
        <v>0</v>
      </c>
      <c r="OG43">
        <f t="shared" si="46"/>
        <v>0</v>
      </c>
      <c r="OH43">
        <f t="shared" si="46"/>
        <v>0</v>
      </c>
      <c r="OI43">
        <f t="shared" si="46"/>
        <v>0</v>
      </c>
      <c r="OJ43">
        <f t="shared" si="46"/>
        <v>0</v>
      </c>
      <c r="OK43">
        <f t="shared" si="46"/>
        <v>0</v>
      </c>
      <c r="OL43">
        <f t="shared" si="46"/>
        <v>0</v>
      </c>
      <c r="OM43">
        <f t="shared" si="46"/>
        <v>0</v>
      </c>
      <c r="ON43">
        <f t="shared" si="46"/>
        <v>0</v>
      </c>
      <c r="OO43">
        <f t="shared" si="46"/>
        <v>0</v>
      </c>
      <c r="OP43">
        <f t="shared" si="46"/>
        <v>0</v>
      </c>
      <c r="OQ43">
        <f t="shared" si="46"/>
        <v>0</v>
      </c>
      <c r="OR43">
        <f t="shared" si="46"/>
        <v>0</v>
      </c>
      <c r="OS43">
        <f t="shared" si="46"/>
        <v>0</v>
      </c>
      <c r="OT43">
        <f t="shared" si="46"/>
        <v>0</v>
      </c>
      <c r="OU43">
        <f t="shared" si="46"/>
        <v>0</v>
      </c>
      <c r="OV43">
        <f t="shared" si="46"/>
        <v>0</v>
      </c>
      <c r="OW43">
        <f t="shared" si="46"/>
        <v>0</v>
      </c>
      <c r="OX43">
        <f t="shared" si="46"/>
        <v>0</v>
      </c>
      <c r="OY43">
        <f t="shared" si="46"/>
        <v>0</v>
      </c>
      <c r="OZ43">
        <f t="shared" si="46"/>
        <v>0</v>
      </c>
      <c r="PA43">
        <f t="shared" si="46"/>
        <v>0</v>
      </c>
      <c r="PB43">
        <f t="shared" si="46"/>
        <v>0</v>
      </c>
      <c r="PC43">
        <f t="shared" si="46"/>
        <v>0</v>
      </c>
      <c r="PD43">
        <f t="shared" si="46"/>
        <v>0</v>
      </c>
      <c r="PE43">
        <f t="shared" si="46"/>
        <v>0</v>
      </c>
      <c r="PF43">
        <f t="shared" si="46"/>
        <v>0</v>
      </c>
      <c r="PG43">
        <f t="shared" si="46"/>
        <v>0</v>
      </c>
      <c r="PH43">
        <f t="shared" si="46"/>
        <v>0</v>
      </c>
      <c r="PI43">
        <f t="shared" si="46"/>
        <v>0</v>
      </c>
      <c r="PJ43">
        <f t="shared" si="46"/>
        <v>0</v>
      </c>
      <c r="PK43">
        <f t="shared" si="46"/>
        <v>0</v>
      </c>
      <c r="PL43">
        <f t="shared" si="46"/>
        <v>0</v>
      </c>
      <c r="PM43">
        <f t="shared" si="46"/>
        <v>0</v>
      </c>
      <c r="PN43">
        <f t="shared" si="46"/>
        <v>0</v>
      </c>
      <c r="PO43">
        <f t="shared" si="46"/>
        <v>0</v>
      </c>
      <c r="PP43">
        <f t="shared" si="46"/>
        <v>0</v>
      </c>
      <c r="PQ43">
        <f t="shared" si="46"/>
        <v>0</v>
      </c>
      <c r="PR43">
        <f t="shared" si="46"/>
        <v>0</v>
      </c>
      <c r="PS43">
        <f t="shared" si="46"/>
        <v>0</v>
      </c>
      <c r="PT43">
        <f t="shared" si="46"/>
        <v>0</v>
      </c>
      <c r="PU43">
        <f t="shared" si="46"/>
        <v>0</v>
      </c>
      <c r="PV43">
        <f t="shared" si="46"/>
        <v>0</v>
      </c>
      <c r="PW43">
        <f t="shared" si="46"/>
        <v>0</v>
      </c>
      <c r="PX43">
        <f t="shared" si="46"/>
        <v>0</v>
      </c>
      <c r="PY43">
        <f t="shared" si="46"/>
        <v>0</v>
      </c>
      <c r="PZ43">
        <f t="shared" si="46"/>
        <v>0</v>
      </c>
      <c r="QA43">
        <f t="shared" si="46"/>
        <v>0</v>
      </c>
      <c r="QB43">
        <f t="shared" si="46"/>
        <v>0</v>
      </c>
      <c r="QC43">
        <f t="shared" si="46"/>
        <v>0</v>
      </c>
      <c r="QD43">
        <f t="shared" si="47"/>
        <v>0</v>
      </c>
      <c r="QE43">
        <f t="shared" si="47"/>
        <v>0</v>
      </c>
      <c r="QF43">
        <f t="shared" si="47"/>
        <v>0</v>
      </c>
      <c r="QG43">
        <f t="shared" si="47"/>
        <v>0</v>
      </c>
      <c r="QH43">
        <f t="shared" si="47"/>
        <v>0</v>
      </c>
      <c r="QI43">
        <f t="shared" si="47"/>
        <v>0</v>
      </c>
      <c r="QJ43">
        <f t="shared" si="47"/>
        <v>0</v>
      </c>
      <c r="QK43">
        <f t="shared" si="47"/>
        <v>0</v>
      </c>
      <c r="QL43">
        <f t="shared" si="47"/>
        <v>0</v>
      </c>
      <c r="QM43">
        <f t="shared" si="47"/>
        <v>0</v>
      </c>
      <c r="QN43">
        <f t="shared" si="47"/>
        <v>0</v>
      </c>
      <c r="QO43">
        <f t="shared" si="47"/>
        <v>0</v>
      </c>
      <c r="QP43">
        <f t="shared" si="47"/>
        <v>0</v>
      </c>
      <c r="QQ43">
        <f t="shared" si="47"/>
        <v>0</v>
      </c>
      <c r="QR43">
        <f t="shared" si="47"/>
        <v>0</v>
      </c>
      <c r="QS43">
        <f t="shared" si="47"/>
        <v>0</v>
      </c>
      <c r="QT43">
        <f t="shared" si="47"/>
        <v>0</v>
      </c>
      <c r="QU43">
        <f t="shared" si="47"/>
        <v>0</v>
      </c>
      <c r="QV43">
        <f t="shared" si="47"/>
        <v>0</v>
      </c>
      <c r="QW43">
        <f t="shared" si="47"/>
        <v>0</v>
      </c>
      <c r="QX43">
        <f t="shared" si="47"/>
        <v>0</v>
      </c>
      <c r="QY43">
        <f t="shared" si="47"/>
        <v>0</v>
      </c>
      <c r="QZ43">
        <f t="shared" si="47"/>
        <v>0</v>
      </c>
      <c r="RA43">
        <f t="shared" si="47"/>
        <v>0</v>
      </c>
      <c r="RB43">
        <f t="shared" si="47"/>
        <v>0</v>
      </c>
      <c r="RC43">
        <f t="shared" si="47"/>
        <v>0</v>
      </c>
      <c r="RD43">
        <f t="shared" si="47"/>
        <v>0</v>
      </c>
      <c r="RE43">
        <f t="shared" si="47"/>
        <v>0</v>
      </c>
      <c r="RF43">
        <f t="shared" si="47"/>
        <v>0</v>
      </c>
      <c r="RG43">
        <f t="shared" si="47"/>
        <v>0</v>
      </c>
      <c r="RH43">
        <f t="shared" si="47"/>
        <v>0</v>
      </c>
      <c r="RI43">
        <f t="shared" si="47"/>
        <v>0</v>
      </c>
      <c r="RJ43">
        <f t="shared" si="47"/>
        <v>0</v>
      </c>
      <c r="RK43">
        <f t="shared" si="47"/>
        <v>0</v>
      </c>
      <c r="RL43">
        <f t="shared" si="47"/>
        <v>0</v>
      </c>
      <c r="RM43">
        <f t="shared" si="47"/>
        <v>0</v>
      </c>
      <c r="RN43">
        <f t="shared" si="47"/>
        <v>0</v>
      </c>
      <c r="RO43">
        <f t="shared" si="47"/>
        <v>0</v>
      </c>
      <c r="RP43">
        <f t="shared" si="47"/>
        <v>0</v>
      </c>
      <c r="RQ43">
        <f t="shared" si="47"/>
        <v>0</v>
      </c>
      <c r="RR43">
        <f t="shared" si="47"/>
        <v>0</v>
      </c>
      <c r="RS43">
        <f t="shared" si="47"/>
        <v>0</v>
      </c>
      <c r="RT43">
        <f t="shared" si="47"/>
        <v>0</v>
      </c>
      <c r="RU43">
        <f t="shared" si="47"/>
        <v>0</v>
      </c>
      <c r="RV43">
        <f t="shared" si="47"/>
        <v>0</v>
      </c>
      <c r="RW43">
        <f t="shared" si="47"/>
        <v>0</v>
      </c>
      <c r="RX43">
        <f t="shared" si="47"/>
        <v>0</v>
      </c>
      <c r="RY43">
        <f t="shared" si="47"/>
        <v>0</v>
      </c>
      <c r="RZ43">
        <f t="shared" si="47"/>
        <v>0</v>
      </c>
      <c r="SA43">
        <f t="shared" si="47"/>
        <v>0</v>
      </c>
      <c r="SB43">
        <f t="shared" si="47"/>
        <v>0</v>
      </c>
      <c r="SC43">
        <f t="shared" si="47"/>
        <v>0</v>
      </c>
      <c r="SD43">
        <f t="shared" si="47"/>
        <v>0</v>
      </c>
      <c r="SE43">
        <f t="shared" si="47"/>
        <v>0</v>
      </c>
      <c r="SF43">
        <f t="shared" si="47"/>
        <v>0</v>
      </c>
      <c r="SG43">
        <f t="shared" si="47"/>
        <v>0</v>
      </c>
      <c r="SH43">
        <f t="shared" si="47"/>
        <v>0</v>
      </c>
      <c r="SI43">
        <f t="shared" si="47"/>
        <v>0</v>
      </c>
      <c r="SJ43">
        <f t="shared" si="47"/>
        <v>0</v>
      </c>
      <c r="SK43">
        <f t="shared" si="47"/>
        <v>0</v>
      </c>
      <c r="SL43">
        <f t="shared" si="47"/>
        <v>0</v>
      </c>
      <c r="SM43">
        <f t="shared" si="47"/>
        <v>0</v>
      </c>
      <c r="SN43">
        <f t="shared" si="47"/>
        <v>0</v>
      </c>
      <c r="SO43">
        <f t="shared" si="47"/>
        <v>0</v>
      </c>
      <c r="SP43">
        <f t="shared" si="48"/>
        <v>0</v>
      </c>
      <c r="SQ43">
        <f t="shared" si="48"/>
        <v>0</v>
      </c>
      <c r="SR43">
        <f t="shared" si="48"/>
        <v>0</v>
      </c>
      <c r="SS43">
        <f t="shared" si="48"/>
        <v>0</v>
      </c>
      <c r="ST43">
        <f t="shared" si="48"/>
        <v>0</v>
      </c>
      <c r="SU43">
        <f t="shared" si="48"/>
        <v>0</v>
      </c>
      <c r="SV43">
        <f t="shared" si="48"/>
        <v>0</v>
      </c>
      <c r="SW43">
        <f t="shared" si="48"/>
        <v>0</v>
      </c>
      <c r="SX43">
        <f t="shared" si="48"/>
        <v>0</v>
      </c>
      <c r="SY43">
        <f t="shared" si="48"/>
        <v>0</v>
      </c>
      <c r="SZ43">
        <f t="shared" si="48"/>
        <v>0</v>
      </c>
      <c r="TA43">
        <f t="shared" si="48"/>
        <v>0</v>
      </c>
      <c r="TB43">
        <f t="shared" si="48"/>
        <v>0</v>
      </c>
      <c r="TC43">
        <f t="shared" si="48"/>
        <v>0</v>
      </c>
      <c r="TD43">
        <f t="shared" si="48"/>
        <v>0</v>
      </c>
      <c r="TE43">
        <f t="shared" si="48"/>
        <v>0</v>
      </c>
      <c r="TF43">
        <f t="shared" si="48"/>
        <v>0</v>
      </c>
      <c r="TG43">
        <f t="shared" si="48"/>
        <v>0</v>
      </c>
      <c r="TH43">
        <f t="shared" si="48"/>
        <v>0</v>
      </c>
      <c r="TI43">
        <f t="shared" si="48"/>
        <v>0</v>
      </c>
      <c r="TJ43">
        <f t="shared" si="48"/>
        <v>0</v>
      </c>
      <c r="TK43">
        <f t="shared" si="48"/>
        <v>0</v>
      </c>
      <c r="TL43">
        <f t="shared" si="48"/>
        <v>0</v>
      </c>
      <c r="TM43">
        <f t="shared" si="48"/>
        <v>0</v>
      </c>
      <c r="TN43">
        <f t="shared" si="48"/>
        <v>0</v>
      </c>
      <c r="TO43">
        <f t="shared" si="48"/>
        <v>0</v>
      </c>
      <c r="TP43">
        <f t="shared" si="48"/>
        <v>0</v>
      </c>
      <c r="TQ43">
        <f t="shared" si="48"/>
        <v>0</v>
      </c>
      <c r="TR43">
        <f t="shared" si="48"/>
        <v>0</v>
      </c>
      <c r="TS43">
        <f t="shared" si="48"/>
        <v>0</v>
      </c>
      <c r="TT43">
        <f t="shared" si="48"/>
        <v>0</v>
      </c>
      <c r="TU43">
        <f t="shared" si="48"/>
        <v>0</v>
      </c>
      <c r="TV43">
        <f t="shared" si="48"/>
        <v>0</v>
      </c>
      <c r="TW43">
        <f t="shared" si="48"/>
        <v>0</v>
      </c>
      <c r="TX43">
        <f t="shared" si="48"/>
        <v>0</v>
      </c>
      <c r="TY43">
        <f t="shared" si="48"/>
        <v>0</v>
      </c>
      <c r="TZ43">
        <f t="shared" si="48"/>
        <v>0</v>
      </c>
      <c r="UA43">
        <f t="shared" si="48"/>
        <v>0</v>
      </c>
      <c r="UB43">
        <f t="shared" si="48"/>
        <v>0</v>
      </c>
      <c r="UC43">
        <f t="shared" si="48"/>
        <v>0</v>
      </c>
      <c r="UD43">
        <f t="shared" si="48"/>
        <v>0</v>
      </c>
      <c r="UE43">
        <f t="shared" si="48"/>
        <v>0</v>
      </c>
      <c r="UF43">
        <f t="shared" si="48"/>
        <v>0</v>
      </c>
      <c r="UG43">
        <f t="shared" si="48"/>
        <v>0</v>
      </c>
      <c r="UH43">
        <f t="shared" si="48"/>
        <v>0</v>
      </c>
      <c r="UI43">
        <f t="shared" si="48"/>
        <v>0</v>
      </c>
      <c r="UJ43">
        <f t="shared" si="48"/>
        <v>0</v>
      </c>
      <c r="UK43">
        <f t="shared" si="48"/>
        <v>0</v>
      </c>
      <c r="UL43">
        <f t="shared" si="48"/>
        <v>0</v>
      </c>
      <c r="UM43">
        <f t="shared" si="48"/>
        <v>0</v>
      </c>
      <c r="UN43">
        <f t="shared" si="48"/>
        <v>0</v>
      </c>
      <c r="UO43">
        <f t="shared" si="48"/>
        <v>0</v>
      </c>
      <c r="UP43">
        <f t="shared" si="48"/>
        <v>0</v>
      </c>
      <c r="UQ43">
        <f t="shared" si="48"/>
        <v>0</v>
      </c>
      <c r="UR43">
        <f t="shared" si="48"/>
        <v>0</v>
      </c>
      <c r="US43">
        <f t="shared" si="48"/>
        <v>0</v>
      </c>
      <c r="UT43">
        <f t="shared" si="48"/>
        <v>0</v>
      </c>
      <c r="UU43">
        <f t="shared" si="48"/>
        <v>0</v>
      </c>
      <c r="UV43">
        <f t="shared" si="48"/>
        <v>0</v>
      </c>
      <c r="UW43">
        <f t="shared" si="48"/>
        <v>0</v>
      </c>
      <c r="UX43">
        <f t="shared" si="48"/>
        <v>0</v>
      </c>
      <c r="UY43">
        <f t="shared" si="48"/>
        <v>0</v>
      </c>
      <c r="UZ43">
        <f t="shared" si="48"/>
        <v>0</v>
      </c>
      <c r="VA43">
        <f t="shared" si="48"/>
        <v>0</v>
      </c>
      <c r="VB43">
        <f t="shared" si="49"/>
        <v>0</v>
      </c>
      <c r="VC43">
        <f t="shared" si="49"/>
        <v>0</v>
      </c>
      <c r="VD43">
        <f t="shared" si="49"/>
        <v>0</v>
      </c>
      <c r="VE43">
        <f t="shared" si="49"/>
        <v>0</v>
      </c>
      <c r="VF43">
        <f t="shared" si="49"/>
        <v>0</v>
      </c>
      <c r="VG43">
        <f t="shared" si="49"/>
        <v>0</v>
      </c>
      <c r="VH43">
        <f t="shared" si="49"/>
        <v>0</v>
      </c>
      <c r="VI43">
        <f t="shared" si="49"/>
        <v>0</v>
      </c>
      <c r="VJ43">
        <f t="shared" si="49"/>
        <v>0</v>
      </c>
      <c r="VK43">
        <f t="shared" si="49"/>
        <v>0</v>
      </c>
      <c r="VL43">
        <f t="shared" si="49"/>
        <v>0</v>
      </c>
      <c r="VM43">
        <f t="shared" si="49"/>
        <v>0</v>
      </c>
      <c r="VN43">
        <f t="shared" si="49"/>
        <v>0</v>
      </c>
      <c r="VO43">
        <f t="shared" si="49"/>
        <v>0</v>
      </c>
      <c r="VP43">
        <f t="shared" si="49"/>
        <v>0</v>
      </c>
      <c r="VQ43">
        <f t="shared" si="49"/>
        <v>0</v>
      </c>
      <c r="VR43">
        <f t="shared" si="49"/>
        <v>0</v>
      </c>
      <c r="VS43">
        <f t="shared" si="49"/>
        <v>0</v>
      </c>
      <c r="VT43">
        <f t="shared" si="49"/>
        <v>0</v>
      </c>
      <c r="VU43">
        <f t="shared" si="49"/>
        <v>0</v>
      </c>
      <c r="VV43">
        <f t="shared" si="49"/>
        <v>0</v>
      </c>
      <c r="VW43">
        <f t="shared" si="49"/>
        <v>0</v>
      </c>
      <c r="VX43">
        <f t="shared" si="49"/>
        <v>0</v>
      </c>
      <c r="VY43">
        <f t="shared" si="49"/>
        <v>0</v>
      </c>
      <c r="VZ43">
        <f t="shared" si="49"/>
        <v>0</v>
      </c>
      <c r="WA43">
        <f t="shared" si="49"/>
        <v>0</v>
      </c>
      <c r="WB43">
        <f t="shared" si="49"/>
        <v>0</v>
      </c>
      <c r="WC43">
        <f t="shared" si="49"/>
        <v>0</v>
      </c>
      <c r="WD43">
        <f t="shared" si="49"/>
        <v>0</v>
      </c>
      <c r="WE43">
        <f t="shared" si="49"/>
        <v>0</v>
      </c>
      <c r="WF43">
        <f t="shared" si="49"/>
        <v>0</v>
      </c>
      <c r="WG43">
        <f t="shared" si="49"/>
        <v>0</v>
      </c>
      <c r="WH43">
        <f t="shared" si="49"/>
        <v>0</v>
      </c>
      <c r="WI43">
        <f t="shared" si="49"/>
        <v>0</v>
      </c>
      <c r="WJ43">
        <f t="shared" si="49"/>
        <v>0</v>
      </c>
      <c r="WK43">
        <f t="shared" si="49"/>
        <v>0</v>
      </c>
      <c r="WL43">
        <f t="shared" si="49"/>
        <v>0</v>
      </c>
      <c r="WM43">
        <f t="shared" si="49"/>
        <v>0</v>
      </c>
      <c r="WN43">
        <f t="shared" si="49"/>
        <v>0</v>
      </c>
      <c r="WO43">
        <f t="shared" si="49"/>
        <v>0</v>
      </c>
      <c r="WP43">
        <f t="shared" si="49"/>
        <v>0</v>
      </c>
      <c r="WQ43">
        <f t="shared" si="49"/>
        <v>0</v>
      </c>
      <c r="WR43">
        <f t="shared" si="49"/>
        <v>0</v>
      </c>
      <c r="WS43">
        <f t="shared" si="49"/>
        <v>0</v>
      </c>
      <c r="WT43">
        <f t="shared" si="49"/>
        <v>0</v>
      </c>
      <c r="WU43">
        <f t="shared" si="49"/>
        <v>0</v>
      </c>
      <c r="WV43">
        <f t="shared" si="49"/>
        <v>0</v>
      </c>
      <c r="WW43">
        <f t="shared" si="49"/>
        <v>0</v>
      </c>
      <c r="WX43">
        <f t="shared" si="49"/>
        <v>0</v>
      </c>
      <c r="WY43">
        <f t="shared" si="49"/>
        <v>0</v>
      </c>
      <c r="WZ43">
        <f t="shared" si="49"/>
        <v>0</v>
      </c>
      <c r="XA43">
        <f t="shared" si="49"/>
        <v>0</v>
      </c>
      <c r="XB43">
        <f t="shared" si="49"/>
        <v>0</v>
      </c>
      <c r="XC43">
        <f t="shared" si="49"/>
        <v>0</v>
      </c>
      <c r="XD43">
        <f t="shared" si="49"/>
        <v>0</v>
      </c>
      <c r="XE43">
        <f t="shared" si="49"/>
        <v>0</v>
      </c>
      <c r="XF43">
        <f t="shared" si="49"/>
        <v>0</v>
      </c>
      <c r="XG43">
        <f t="shared" si="49"/>
        <v>0</v>
      </c>
      <c r="XH43">
        <f t="shared" si="49"/>
        <v>0</v>
      </c>
      <c r="XI43">
        <f t="shared" si="49"/>
        <v>0</v>
      </c>
      <c r="XJ43">
        <f t="shared" si="49"/>
        <v>0</v>
      </c>
      <c r="XK43">
        <f t="shared" si="49"/>
        <v>0</v>
      </c>
      <c r="XL43">
        <f t="shared" si="49"/>
        <v>0</v>
      </c>
      <c r="XM43">
        <f t="shared" si="49"/>
        <v>0</v>
      </c>
      <c r="XN43">
        <f t="shared" si="50"/>
        <v>0</v>
      </c>
      <c r="XO43">
        <f t="shared" si="50"/>
        <v>0</v>
      </c>
      <c r="XP43">
        <f t="shared" si="50"/>
        <v>0</v>
      </c>
      <c r="XQ43">
        <f t="shared" si="50"/>
        <v>0</v>
      </c>
      <c r="XR43">
        <f t="shared" si="50"/>
        <v>0</v>
      </c>
      <c r="XS43">
        <f t="shared" si="50"/>
        <v>0</v>
      </c>
      <c r="XT43">
        <f t="shared" si="50"/>
        <v>0</v>
      </c>
      <c r="XU43">
        <f t="shared" si="50"/>
        <v>0</v>
      </c>
      <c r="XV43">
        <f t="shared" si="50"/>
        <v>0</v>
      </c>
      <c r="XW43">
        <f t="shared" si="50"/>
        <v>0</v>
      </c>
      <c r="XX43">
        <f t="shared" si="50"/>
        <v>0</v>
      </c>
      <c r="XY43">
        <f t="shared" si="50"/>
        <v>0</v>
      </c>
      <c r="XZ43">
        <f t="shared" si="50"/>
        <v>0</v>
      </c>
      <c r="YA43">
        <f t="shared" si="50"/>
        <v>0</v>
      </c>
      <c r="YB43">
        <f t="shared" si="50"/>
        <v>0</v>
      </c>
      <c r="YC43">
        <f t="shared" si="50"/>
        <v>0</v>
      </c>
      <c r="YD43">
        <f t="shared" si="50"/>
        <v>0</v>
      </c>
      <c r="YE43">
        <f t="shared" si="50"/>
        <v>0</v>
      </c>
      <c r="YF43">
        <f t="shared" si="50"/>
        <v>0</v>
      </c>
      <c r="YG43">
        <f t="shared" si="50"/>
        <v>0</v>
      </c>
      <c r="YH43">
        <f t="shared" si="50"/>
        <v>0</v>
      </c>
      <c r="YI43">
        <f t="shared" si="50"/>
        <v>0</v>
      </c>
      <c r="YJ43">
        <f t="shared" si="50"/>
        <v>0</v>
      </c>
      <c r="YK43">
        <f t="shared" si="50"/>
        <v>0</v>
      </c>
      <c r="YL43">
        <f t="shared" si="50"/>
        <v>0</v>
      </c>
      <c r="YM43">
        <f t="shared" si="50"/>
        <v>0</v>
      </c>
      <c r="YN43">
        <f t="shared" si="50"/>
        <v>0</v>
      </c>
      <c r="YO43">
        <f t="shared" si="50"/>
        <v>0</v>
      </c>
      <c r="YP43">
        <f t="shared" si="50"/>
        <v>0</v>
      </c>
      <c r="YQ43">
        <f t="shared" si="50"/>
        <v>0</v>
      </c>
      <c r="YR43">
        <f t="shared" si="50"/>
        <v>0</v>
      </c>
      <c r="YS43">
        <f t="shared" si="50"/>
        <v>0</v>
      </c>
      <c r="YT43">
        <f t="shared" si="50"/>
        <v>0</v>
      </c>
      <c r="YU43">
        <f t="shared" si="50"/>
        <v>0</v>
      </c>
      <c r="YV43">
        <f t="shared" si="50"/>
        <v>0</v>
      </c>
      <c r="YW43">
        <f t="shared" si="50"/>
        <v>0</v>
      </c>
      <c r="YX43">
        <f t="shared" si="50"/>
        <v>0</v>
      </c>
      <c r="YY43">
        <f t="shared" si="50"/>
        <v>0</v>
      </c>
      <c r="YZ43">
        <f t="shared" si="50"/>
        <v>0</v>
      </c>
      <c r="ZA43">
        <f t="shared" si="50"/>
        <v>0</v>
      </c>
      <c r="ZB43">
        <f t="shared" si="50"/>
        <v>0</v>
      </c>
      <c r="ZC43">
        <f t="shared" si="50"/>
        <v>0</v>
      </c>
      <c r="ZD43">
        <f t="shared" si="50"/>
        <v>0</v>
      </c>
      <c r="ZE43">
        <f t="shared" si="50"/>
        <v>0</v>
      </c>
      <c r="ZF43">
        <f t="shared" si="50"/>
        <v>0</v>
      </c>
      <c r="ZG43">
        <f t="shared" si="50"/>
        <v>0</v>
      </c>
      <c r="ZH43">
        <f t="shared" si="50"/>
        <v>0</v>
      </c>
      <c r="ZI43">
        <f t="shared" si="50"/>
        <v>0</v>
      </c>
      <c r="ZJ43">
        <f t="shared" si="50"/>
        <v>0</v>
      </c>
      <c r="ZK43">
        <f t="shared" si="50"/>
        <v>0</v>
      </c>
      <c r="ZL43">
        <f t="shared" si="50"/>
        <v>0</v>
      </c>
      <c r="ZM43">
        <f t="shared" si="50"/>
        <v>0</v>
      </c>
      <c r="ZN43">
        <f t="shared" si="50"/>
        <v>0</v>
      </c>
      <c r="ZO43">
        <f t="shared" si="50"/>
        <v>0</v>
      </c>
      <c r="ZP43">
        <f t="shared" si="50"/>
        <v>0</v>
      </c>
      <c r="ZQ43">
        <f t="shared" si="50"/>
        <v>0</v>
      </c>
      <c r="ZR43">
        <f t="shared" si="50"/>
        <v>0</v>
      </c>
      <c r="ZS43">
        <f t="shared" si="50"/>
        <v>0</v>
      </c>
      <c r="ZT43">
        <f t="shared" si="50"/>
        <v>0</v>
      </c>
      <c r="ZU43">
        <f t="shared" si="50"/>
        <v>0</v>
      </c>
      <c r="ZV43">
        <f t="shared" si="50"/>
        <v>0</v>
      </c>
      <c r="ZW43">
        <f t="shared" si="50"/>
        <v>0</v>
      </c>
      <c r="ZX43">
        <f t="shared" si="50"/>
        <v>0</v>
      </c>
      <c r="ZY43">
        <f t="shared" si="50"/>
        <v>0</v>
      </c>
      <c r="ZZ43">
        <f t="shared" si="51"/>
        <v>0</v>
      </c>
      <c r="AAA43">
        <f t="shared" si="51"/>
        <v>0</v>
      </c>
      <c r="AAB43">
        <f t="shared" si="51"/>
        <v>0</v>
      </c>
      <c r="AAC43">
        <f t="shared" si="51"/>
        <v>0</v>
      </c>
      <c r="AAD43">
        <f t="shared" si="51"/>
        <v>0</v>
      </c>
      <c r="AAE43">
        <f t="shared" si="51"/>
        <v>0</v>
      </c>
      <c r="AAF43">
        <f t="shared" si="51"/>
        <v>0</v>
      </c>
      <c r="AAG43">
        <f t="shared" si="51"/>
        <v>0</v>
      </c>
      <c r="AAH43">
        <f t="shared" si="51"/>
        <v>0</v>
      </c>
      <c r="AAI43">
        <f t="shared" si="51"/>
        <v>0</v>
      </c>
      <c r="AAJ43">
        <f t="shared" si="51"/>
        <v>0</v>
      </c>
      <c r="AAK43">
        <f t="shared" si="51"/>
        <v>0</v>
      </c>
      <c r="AAL43">
        <f t="shared" si="51"/>
        <v>0</v>
      </c>
      <c r="AAM43">
        <f t="shared" si="51"/>
        <v>0</v>
      </c>
      <c r="AAN43">
        <f t="shared" si="51"/>
        <v>0</v>
      </c>
      <c r="AAO43">
        <f t="shared" si="51"/>
        <v>0</v>
      </c>
      <c r="AAP43">
        <f t="shared" si="51"/>
        <v>0</v>
      </c>
      <c r="AAQ43">
        <f t="shared" si="51"/>
        <v>0</v>
      </c>
      <c r="AAR43">
        <f t="shared" si="51"/>
        <v>0</v>
      </c>
      <c r="AAS43">
        <f t="shared" si="51"/>
        <v>0</v>
      </c>
      <c r="AAT43">
        <f t="shared" si="51"/>
        <v>0</v>
      </c>
      <c r="AAU43">
        <f t="shared" si="51"/>
        <v>0</v>
      </c>
      <c r="AAV43">
        <f t="shared" si="51"/>
        <v>0</v>
      </c>
      <c r="AAW43">
        <f t="shared" si="51"/>
        <v>0</v>
      </c>
      <c r="AAX43">
        <f t="shared" si="51"/>
        <v>0</v>
      </c>
      <c r="AAY43">
        <f t="shared" si="51"/>
        <v>0</v>
      </c>
      <c r="AAZ43">
        <f t="shared" si="51"/>
        <v>0</v>
      </c>
      <c r="ABA43">
        <f t="shared" si="51"/>
        <v>0</v>
      </c>
      <c r="ABB43">
        <f t="shared" si="51"/>
        <v>0</v>
      </c>
      <c r="ABC43">
        <f t="shared" si="51"/>
        <v>0</v>
      </c>
      <c r="ABD43">
        <f t="shared" si="51"/>
        <v>0</v>
      </c>
      <c r="ABE43">
        <f t="shared" si="51"/>
        <v>0</v>
      </c>
      <c r="ABF43">
        <f t="shared" si="51"/>
        <v>0</v>
      </c>
      <c r="ABG43">
        <f t="shared" si="51"/>
        <v>0</v>
      </c>
      <c r="ABH43">
        <f t="shared" si="51"/>
        <v>0</v>
      </c>
      <c r="ABI43">
        <f t="shared" si="51"/>
        <v>0</v>
      </c>
      <c r="ABJ43">
        <f t="shared" si="51"/>
        <v>0</v>
      </c>
      <c r="ABK43">
        <f t="shared" si="51"/>
        <v>0</v>
      </c>
      <c r="ABL43">
        <f t="shared" si="51"/>
        <v>0</v>
      </c>
      <c r="ABM43">
        <f t="shared" si="51"/>
        <v>0</v>
      </c>
      <c r="ABN43">
        <f t="shared" si="51"/>
        <v>0</v>
      </c>
      <c r="ABO43">
        <f t="shared" si="51"/>
        <v>0</v>
      </c>
      <c r="ABP43">
        <f t="shared" si="51"/>
        <v>0</v>
      </c>
      <c r="ABQ43">
        <f t="shared" si="51"/>
        <v>0</v>
      </c>
      <c r="ABR43">
        <f t="shared" si="51"/>
        <v>0</v>
      </c>
      <c r="ABS43">
        <f t="shared" si="51"/>
        <v>0</v>
      </c>
      <c r="ABT43">
        <f t="shared" si="51"/>
        <v>0</v>
      </c>
      <c r="ABU43">
        <f t="shared" si="51"/>
        <v>0</v>
      </c>
      <c r="ABV43">
        <f t="shared" si="51"/>
        <v>0</v>
      </c>
      <c r="ABW43">
        <f t="shared" si="51"/>
        <v>0</v>
      </c>
      <c r="ABX43">
        <f t="shared" si="51"/>
        <v>0</v>
      </c>
      <c r="ABY43">
        <f t="shared" si="51"/>
        <v>0</v>
      </c>
      <c r="ABZ43">
        <f t="shared" si="51"/>
        <v>0</v>
      </c>
      <c r="ACA43">
        <f t="shared" si="51"/>
        <v>0</v>
      </c>
      <c r="ACB43">
        <f t="shared" si="51"/>
        <v>0</v>
      </c>
      <c r="ACC43">
        <f t="shared" si="51"/>
        <v>0</v>
      </c>
      <c r="ACD43">
        <f t="shared" si="51"/>
        <v>0</v>
      </c>
      <c r="ACE43">
        <f t="shared" si="51"/>
        <v>0</v>
      </c>
      <c r="ACF43">
        <f t="shared" si="51"/>
        <v>0</v>
      </c>
      <c r="ACG43">
        <f t="shared" si="51"/>
        <v>0</v>
      </c>
      <c r="ACH43">
        <f t="shared" si="51"/>
        <v>0</v>
      </c>
      <c r="ACI43">
        <f t="shared" si="51"/>
        <v>0</v>
      </c>
      <c r="ACJ43">
        <f t="shared" si="51"/>
        <v>0</v>
      </c>
      <c r="ACK43">
        <f t="shared" si="51"/>
        <v>0</v>
      </c>
      <c r="ACL43">
        <f t="shared" si="52"/>
        <v>0</v>
      </c>
      <c r="ACM43">
        <f t="shared" si="52"/>
        <v>0</v>
      </c>
      <c r="ACN43">
        <f t="shared" si="52"/>
        <v>0</v>
      </c>
      <c r="ACO43">
        <f t="shared" si="52"/>
        <v>0</v>
      </c>
      <c r="ACP43">
        <f t="shared" si="52"/>
        <v>0</v>
      </c>
      <c r="ACQ43">
        <f t="shared" si="52"/>
        <v>0</v>
      </c>
      <c r="ACR43">
        <f t="shared" si="52"/>
        <v>0</v>
      </c>
      <c r="ACS43">
        <f t="shared" si="52"/>
        <v>0</v>
      </c>
      <c r="ACT43">
        <f t="shared" si="52"/>
        <v>0</v>
      </c>
      <c r="ACU43">
        <f t="shared" si="52"/>
        <v>0</v>
      </c>
      <c r="ACV43">
        <f t="shared" si="52"/>
        <v>0</v>
      </c>
      <c r="ACW43">
        <f t="shared" si="52"/>
        <v>0</v>
      </c>
      <c r="ACX43">
        <f t="shared" si="52"/>
        <v>0</v>
      </c>
      <c r="ACY43">
        <f t="shared" si="52"/>
        <v>0</v>
      </c>
      <c r="ACZ43">
        <f t="shared" si="52"/>
        <v>0</v>
      </c>
      <c r="ADA43">
        <f t="shared" si="52"/>
        <v>0</v>
      </c>
      <c r="ADB43">
        <f t="shared" si="52"/>
        <v>0</v>
      </c>
      <c r="ADC43">
        <f t="shared" si="52"/>
        <v>0</v>
      </c>
      <c r="ADD43">
        <f t="shared" si="52"/>
        <v>0</v>
      </c>
      <c r="ADE43">
        <f t="shared" si="52"/>
        <v>0</v>
      </c>
      <c r="ADF43">
        <f t="shared" si="52"/>
        <v>0</v>
      </c>
      <c r="ADG43">
        <f t="shared" si="52"/>
        <v>0</v>
      </c>
      <c r="ADH43">
        <f t="shared" si="52"/>
        <v>0</v>
      </c>
      <c r="ADI43">
        <f t="shared" si="52"/>
        <v>0</v>
      </c>
      <c r="ADJ43">
        <f t="shared" si="52"/>
        <v>0</v>
      </c>
      <c r="ADK43">
        <f t="shared" si="52"/>
        <v>0</v>
      </c>
      <c r="ADL43">
        <f t="shared" si="52"/>
        <v>0</v>
      </c>
      <c r="ADM43">
        <f t="shared" si="52"/>
        <v>0</v>
      </c>
      <c r="ADN43">
        <f t="shared" si="52"/>
        <v>0</v>
      </c>
      <c r="ADO43">
        <f t="shared" si="52"/>
        <v>0</v>
      </c>
      <c r="ADP43">
        <f t="shared" si="52"/>
        <v>0</v>
      </c>
      <c r="ADQ43">
        <f t="shared" si="52"/>
        <v>0</v>
      </c>
      <c r="ADR43">
        <f t="shared" si="52"/>
        <v>0</v>
      </c>
      <c r="ADS43">
        <f t="shared" si="52"/>
        <v>0</v>
      </c>
      <c r="ADT43">
        <f t="shared" si="52"/>
        <v>0</v>
      </c>
      <c r="ADU43">
        <f t="shared" si="52"/>
        <v>0</v>
      </c>
      <c r="ADV43">
        <f t="shared" si="52"/>
        <v>0</v>
      </c>
      <c r="ADW43">
        <f t="shared" si="52"/>
        <v>0</v>
      </c>
      <c r="ADX43">
        <f t="shared" si="52"/>
        <v>0</v>
      </c>
      <c r="ADY43">
        <f t="shared" si="52"/>
        <v>0</v>
      </c>
      <c r="ADZ43">
        <f t="shared" si="52"/>
        <v>0</v>
      </c>
      <c r="AEA43">
        <f t="shared" si="52"/>
        <v>0</v>
      </c>
      <c r="AEB43">
        <f t="shared" si="52"/>
        <v>0</v>
      </c>
      <c r="AEC43">
        <f t="shared" si="52"/>
        <v>0</v>
      </c>
      <c r="AED43">
        <f t="shared" si="52"/>
        <v>0</v>
      </c>
      <c r="AEE43">
        <f t="shared" si="52"/>
        <v>0</v>
      </c>
      <c r="AEF43">
        <f t="shared" si="52"/>
        <v>0</v>
      </c>
      <c r="AEG43">
        <f t="shared" si="52"/>
        <v>0</v>
      </c>
      <c r="AEH43">
        <f t="shared" si="52"/>
        <v>0</v>
      </c>
      <c r="AEI43">
        <f t="shared" si="52"/>
        <v>0</v>
      </c>
      <c r="AEJ43">
        <f t="shared" si="52"/>
        <v>0</v>
      </c>
      <c r="AEK43">
        <f t="shared" si="52"/>
        <v>0</v>
      </c>
      <c r="AEL43">
        <f t="shared" si="52"/>
        <v>0</v>
      </c>
      <c r="AEM43">
        <f t="shared" si="52"/>
        <v>0</v>
      </c>
      <c r="AEN43">
        <f t="shared" si="52"/>
        <v>0</v>
      </c>
      <c r="AEO43">
        <f t="shared" si="52"/>
        <v>0</v>
      </c>
      <c r="AEP43">
        <f t="shared" si="52"/>
        <v>0</v>
      </c>
      <c r="AEQ43">
        <f t="shared" si="52"/>
        <v>0</v>
      </c>
      <c r="AER43">
        <f t="shared" si="52"/>
        <v>0</v>
      </c>
      <c r="AES43">
        <f t="shared" si="52"/>
        <v>0</v>
      </c>
      <c r="AET43">
        <f t="shared" si="52"/>
        <v>0</v>
      </c>
      <c r="AEU43">
        <f t="shared" si="52"/>
        <v>0</v>
      </c>
      <c r="AEV43">
        <f t="shared" si="52"/>
        <v>0</v>
      </c>
      <c r="AEW43">
        <f t="shared" si="52"/>
        <v>0</v>
      </c>
      <c r="AEX43">
        <f t="shared" si="53"/>
        <v>0</v>
      </c>
      <c r="AEY43">
        <f t="shared" si="53"/>
        <v>0</v>
      </c>
      <c r="AEZ43">
        <f t="shared" si="53"/>
        <v>0</v>
      </c>
      <c r="AFA43">
        <f t="shared" si="53"/>
        <v>0</v>
      </c>
      <c r="AFB43">
        <f t="shared" si="53"/>
        <v>0</v>
      </c>
      <c r="AFC43">
        <f t="shared" si="53"/>
        <v>0</v>
      </c>
      <c r="AFD43">
        <f t="shared" si="53"/>
        <v>0</v>
      </c>
      <c r="AFE43">
        <f t="shared" si="53"/>
        <v>0</v>
      </c>
      <c r="AFF43">
        <f t="shared" si="53"/>
        <v>0</v>
      </c>
      <c r="AFG43">
        <f t="shared" si="53"/>
        <v>0</v>
      </c>
      <c r="AFH43">
        <f t="shared" si="53"/>
        <v>0</v>
      </c>
      <c r="AFI43">
        <f t="shared" si="53"/>
        <v>0</v>
      </c>
      <c r="AFJ43">
        <f t="shared" si="53"/>
        <v>0</v>
      </c>
      <c r="AFK43">
        <f t="shared" si="53"/>
        <v>0</v>
      </c>
      <c r="AFL43">
        <f t="shared" si="53"/>
        <v>0</v>
      </c>
      <c r="AFM43">
        <f t="shared" si="53"/>
        <v>0</v>
      </c>
      <c r="AFN43">
        <f t="shared" si="53"/>
        <v>0</v>
      </c>
      <c r="AFO43">
        <f t="shared" si="53"/>
        <v>0</v>
      </c>
      <c r="AFP43">
        <f t="shared" si="53"/>
        <v>0</v>
      </c>
      <c r="AFQ43">
        <f t="shared" si="53"/>
        <v>0</v>
      </c>
      <c r="AFR43">
        <f t="shared" si="53"/>
        <v>0</v>
      </c>
      <c r="AFS43">
        <f t="shared" si="53"/>
        <v>0</v>
      </c>
      <c r="AFT43">
        <f t="shared" si="53"/>
        <v>0</v>
      </c>
      <c r="AFU43">
        <f t="shared" si="53"/>
        <v>0</v>
      </c>
      <c r="AFV43">
        <f t="shared" si="53"/>
        <v>0</v>
      </c>
      <c r="AFW43">
        <f t="shared" si="53"/>
        <v>0</v>
      </c>
      <c r="AFX43">
        <f t="shared" si="53"/>
        <v>0</v>
      </c>
      <c r="AFY43">
        <f t="shared" si="53"/>
        <v>0</v>
      </c>
      <c r="AFZ43">
        <f t="shared" si="53"/>
        <v>0</v>
      </c>
      <c r="AGA43">
        <f t="shared" si="53"/>
        <v>0</v>
      </c>
      <c r="AGB43">
        <f t="shared" si="53"/>
        <v>0</v>
      </c>
      <c r="AGC43">
        <f t="shared" si="53"/>
        <v>0</v>
      </c>
      <c r="AGD43">
        <f t="shared" si="53"/>
        <v>0</v>
      </c>
      <c r="AGE43">
        <f t="shared" si="53"/>
        <v>0</v>
      </c>
      <c r="AGF43">
        <f t="shared" si="53"/>
        <v>0</v>
      </c>
      <c r="AGG43">
        <f t="shared" si="53"/>
        <v>0</v>
      </c>
      <c r="AGH43">
        <f t="shared" si="53"/>
        <v>0</v>
      </c>
      <c r="AGI43">
        <f t="shared" si="53"/>
        <v>0</v>
      </c>
      <c r="AGJ43">
        <f t="shared" si="53"/>
        <v>0</v>
      </c>
      <c r="AGK43">
        <f t="shared" si="53"/>
        <v>0</v>
      </c>
      <c r="AGL43">
        <f t="shared" si="53"/>
        <v>0</v>
      </c>
      <c r="AGM43">
        <f t="shared" si="53"/>
        <v>0</v>
      </c>
      <c r="AGN43">
        <f t="shared" si="53"/>
        <v>0</v>
      </c>
      <c r="AGO43">
        <f t="shared" si="53"/>
        <v>0</v>
      </c>
      <c r="AGP43">
        <f t="shared" si="53"/>
        <v>0</v>
      </c>
      <c r="AGQ43">
        <f t="shared" si="53"/>
        <v>0</v>
      </c>
      <c r="AGR43">
        <f t="shared" si="53"/>
        <v>0</v>
      </c>
      <c r="AGS43">
        <f t="shared" si="53"/>
        <v>0</v>
      </c>
      <c r="AGT43">
        <f t="shared" si="53"/>
        <v>0</v>
      </c>
      <c r="AGU43">
        <f t="shared" si="53"/>
        <v>0</v>
      </c>
      <c r="AGV43">
        <f t="shared" si="53"/>
        <v>0</v>
      </c>
      <c r="AGW43">
        <f t="shared" si="53"/>
        <v>0</v>
      </c>
      <c r="AGX43">
        <f t="shared" si="53"/>
        <v>0</v>
      </c>
      <c r="AGY43">
        <f t="shared" si="53"/>
        <v>0</v>
      </c>
      <c r="AGZ43">
        <f t="shared" si="53"/>
        <v>0</v>
      </c>
      <c r="AHA43">
        <f t="shared" si="53"/>
        <v>0</v>
      </c>
      <c r="AHB43">
        <f t="shared" si="53"/>
        <v>0</v>
      </c>
      <c r="AHC43">
        <f t="shared" si="53"/>
        <v>0</v>
      </c>
      <c r="AHD43">
        <f t="shared" si="53"/>
        <v>0</v>
      </c>
      <c r="AHE43">
        <f t="shared" si="53"/>
        <v>0</v>
      </c>
      <c r="AHF43">
        <f t="shared" si="53"/>
        <v>0</v>
      </c>
      <c r="AHG43">
        <f t="shared" si="53"/>
        <v>0</v>
      </c>
      <c r="AHH43">
        <f t="shared" si="53"/>
        <v>0</v>
      </c>
      <c r="AHI43">
        <f t="shared" si="53"/>
        <v>0</v>
      </c>
      <c r="AHJ43">
        <f t="shared" si="54"/>
        <v>0</v>
      </c>
      <c r="AHK43">
        <f t="shared" si="54"/>
        <v>0</v>
      </c>
      <c r="AHL43">
        <f t="shared" si="54"/>
        <v>0</v>
      </c>
      <c r="AHM43">
        <f t="shared" si="54"/>
        <v>0</v>
      </c>
      <c r="AHN43">
        <f t="shared" si="54"/>
        <v>0</v>
      </c>
      <c r="AHO43">
        <f t="shared" si="54"/>
        <v>0</v>
      </c>
      <c r="AHP43">
        <f t="shared" si="54"/>
        <v>0</v>
      </c>
      <c r="AHQ43">
        <f t="shared" si="54"/>
        <v>0</v>
      </c>
      <c r="AHR43">
        <f t="shared" si="54"/>
        <v>0</v>
      </c>
      <c r="AHS43">
        <f t="shared" si="54"/>
        <v>0</v>
      </c>
      <c r="AHT43">
        <f t="shared" si="54"/>
        <v>0</v>
      </c>
      <c r="AHU43">
        <f t="shared" si="54"/>
        <v>0</v>
      </c>
      <c r="AHV43">
        <f t="shared" si="54"/>
        <v>0</v>
      </c>
      <c r="AHW43">
        <f t="shared" si="54"/>
        <v>0</v>
      </c>
      <c r="AHX43">
        <f t="shared" si="54"/>
        <v>0</v>
      </c>
      <c r="AHY43">
        <f t="shared" si="54"/>
        <v>0</v>
      </c>
      <c r="AHZ43">
        <f t="shared" si="54"/>
        <v>0</v>
      </c>
      <c r="AIA43">
        <f t="shared" si="54"/>
        <v>0</v>
      </c>
      <c r="AIB43">
        <f t="shared" si="54"/>
        <v>0</v>
      </c>
      <c r="AIC43">
        <f t="shared" si="54"/>
        <v>0</v>
      </c>
      <c r="AID43">
        <f t="shared" si="54"/>
        <v>0</v>
      </c>
      <c r="AIE43">
        <f t="shared" si="54"/>
        <v>0</v>
      </c>
      <c r="AIF43">
        <f t="shared" si="54"/>
        <v>0</v>
      </c>
      <c r="AIG43">
        <f t="shared" si="54"/>
        <v>0</v>
      </c>
      <c r="AIH43">
        <f t="shared" si="54"/>
        <v>0</v>
      </c>
      <c r="AII43">
        <f t="shared" si="54"/>
        <v>0</v>
      </c>
      <c r="AIJ43">
        <f t="shared" si="54"/>
        <v>0</v>
      </c>
      <c r="AIK43">
        <f t="shared" si="54"/>
        <v>0</v>
      </c>
      <c r="AIL43">
        <f t="shared" si="54"/>
        <v>0</v>
      </c>
      <c r="AIM43">
        <f t="shared" si="54"/>
        <v>0</v>
      </c>
      <c r="AIN43">
        <f t="shared" si="54"/>
        <v>0</v>
      </c>
      <c r="AIO43">
        <f t="shared" si="54"/>
        <v>0</v>
      </c>
      <c r="AIP43">
        <f t="shared" si="54"/>
        <v>0</v>
      </c>
      <c r="AIQ43">
        <f t="shared" si="54"/>
        <v>0</v>
      </c>
      <c r="AIR43">
        <f t="shared" si="54"/>
        <v>0</v>
      </c>
      <c r="AIS43">
        <f t="shared" si="54"/>
        <v>0</v>
      </c>
      <c r="AIT43">
        <f t="shared" si="54"/>
        <v>0</v>
      </c>
      <c r="AIU43">
        <f t="shared" si="54"/>
        <v>0</v>
      </c>
      <c r="AIV43">
        <f t="shared" si="54"/>
        <v>0</v>
      </c>
      <c r="AIW43">
        <f t="shared" si="54"/>
        <v>0</v>
      </c>
      <c r="AIX43">
        <f t="shared" si="54"/>
        <v>0</v>
      </c>
      <c r="AIY43">
        <f t="shared" si="54"/>
        <v>0</v>
      </c>
      <c r="AIZ43">
        <f t="shared" si="54"/>
        <v>0</v>
      </c>
      <c r="AJA43">
        <f t="shared" si="54"/>
        <v>0</v>
      </c>
      <c r="AJB43">
        <f t="shared" si="54"/>
        <v>0</v>
      </c>
      <c r="AJC43">
        <f t="shared" si="54"/>
        <v>0</v>
      </c>
      <c r="AJD43">
        <f t="shared" si="54"/>
        <v>0</v>
      </c>
      <c r="AJE43">
        <f t="shared" si="54"/>
        <v>0</v>
      </c>
      <c r="AJF43">
        <f t="shared" si="54"/>
        <v>0</v>
      </c>
      <c r="AJG43">
        <f t="shared" si="54"/>
        <v>0</v>
      </c>
      <c r="AJH43">
        <f t="shared" si="54"/>
        <v>0</v>
      </c>
      <c r="AJI43">
        <f t="shared" si="54"/>
        <v>0</v>
      </c>
      <c r="AJJ43">
        <f t="shared" si="54"/>
        <v>0</v>
      </c>
      <c r="AJK43">
        <f t="shared" si="54"/>
        <v>0</v>
      </c>
      <c r="AJL43">
        <f t="shared" si="54"/>
        <v>0</v>
      </c>
      <c r="AJM43">
        <f t="shared" si="54"/>
        <v>0</v>
      </c>
      <c r="AJN43">
        <f t="shared" si="54"/>
        <v>0</v>
      </c>
      <c r="AJO43">
        <f t="shared" si="54"/>
        <v>0</v>
      </c>
      <c r="AJP43">
        <f t="shared" si="54"/>
        <v>0</v>
      </c>
      <c r="AJQ43">
        <f t="shared" si="54"/>
        <v>0</v>
      </c>
      <c r="AJR43">
        <f t="shared" si="54"/>
        <v>0</v>
      </c>
      <c r="AJS43">
        <f t="shared" si="54"/>
        <v>0</v>
      </c>
      <c r="AJT43">
        <f t="shared" si="54"/>
        <v>0</v>
      </c>
      <c r="AJU43">
        <f t="shared" si="54"/>
        <v>0</v>
      </c>
      <c r="AJV43">
        <f t="shared" si="55"/>
        <v>0</v>
      </c>
      <c r="AJW43">
        <f t="shared" si="55"/>
        <v>0</v>
      </c>
      <c r="AJX43">
        <f t="shared" si="55"/>
        <v>0</v>
      </c>
      <c r="AJY43">
        <f t="shared" si="55"/>
        <v>0</v>
      </c>
      <c r="AJZ43">
        <f t="shared" si="55"/>
        <v>0</v>
      </c>
      <c r="AKA43">
        <f t="shared" si="55"/>
        <v>0</v>
      </c>
      <c r="AKB43">
        <f t="shared" si="55"/>
        <v>0</v>
      </c>
      <c r="AKC43">
        <f t="shared" si="55"/>
        <v>0</v>
      </c>
      <c r="AKD43">
        <f t="shared" si="55"/>
        <v>0</v>
      </c>
      <c r="AKE43">
        <f t="shared" si="55"/>
        <v>0</v>
      </c>
      <c r="AKF43">
        <f t="shared" si="55"/>
        <v>0</v>
      </c>
      <c r="AKG43">
        <f t="shared" si="55"/>
        <v>0</v>
      </c>
      <c r="AKH43">
        <f t="shared" si="55"/>
        <v>0</v>
      </c>
      <c r="AKI43">
        <f t="shared" si="55"/>
        <v>0</v>
      </c>
      <c r="AKJ43">
        <f t="shared" si="55"/>
        <v>0</v>
      </c>
      <c r="AKK43">
        <f t="shared" si="55"/>
        <v>0</v>
      </c>
      <c r="AKL43">
        <f t="shared" si="55"/>
        <v>0</v>
      </c>
      <c r="AKM43">
        <f t="shared" si="55"/>
        <v>0</v>
      </c>
      <c r="AKN43">
        <f t="shared" si="55"/>
        <v>0</v>
      </c>
      <c r="AKO43">
        <f t="shared" si="55"/>
        <v>0</v>
      </c>
      <c r="AKP43">
        <f t="shared" si="55"/>
        <v>0</v>
      </c>
      <c r="AKQ43">
        <f t="shared" si="55"/>
        <v>0</v>
      </c>
      <c r="AKR43">
        <f t="shared" si="55"/>
        <v>0</v>
      </c>
      <c r="AKS43">
        <f t="shared" si="55"/>
        <v>0</v>
      </c>
      <c r="AKT43">
        <f t="shared" si="55"/>
        <v>0</v>
      </c>
      <c r="AKU43">
        <f t="shared" si="55"/>
        <v>0</v>
      </c>
      <c r="AKV43">
        <f t="shared" si="55"/>
        <v>0</v>
      </c>
      <c r="AKW43">
        <f t="shared" si="55"/>
        <v>0</v>
      </c>
      <c r="AKX43">
        <f t="shared" si="55"/>
        <v>0</v>
      </c>
      <c r="AKY43">
        <f t="shared" si="55"/>
        <v>0</v>
      </c>
      <c r="AKZ43">
        <f t="shared" si="55"/>
        <v>0</v>
      </c>
      <c r="ALA43">
        <f t="shared" si="55"/>
        <v>0</v>
      </c>
      <c r="ALB43">
        <f t="shared" si="55"/>
        <v>0</v>
      </c>
      <c r="ALC43">
        <f t="shared" si="55"/>
        <v>0</v>
      </c>
      <c r="ALD43">
        <f t="shared" si="55"/>
        <v>0</v>
      </c>
      <c r="ALE43">
        <f t="shared" si="55"/>
        <v>0</v>
      </c>
      <c r="ALF43">
        <f t="shared" si="55"/>
        <v>0</v>
      </c>
      <c r="ALG43">
        <f t="shared" si="55"/>
        <v>0</v>
      </c>
      <c r="ALH43">
        <f t="shared" si="55"/>
        <v>0</v>
      </c>
      <c r="ALI43">
        <f t="shared" si="55"/>
        <v>0</v>
      </c>
      <c r="ALJ43">
        <f t="shared" si="55"/>
        <v>0</v>
      </c>
      <c r="ALK43">
        <f t="shared" si="55"/>
        <v>0</v>
      </c>
      <c r="ALL43">
        <f t="shared" si="55"/>
        <v>0</v>
      </c>
      <c r="ALM43">
        <f t="shared" si="55"/>
        <v>0</v>
      </c>
      <c r="ALN43">
        <f t="shared" si="55"/>
        <v>0</v>
      </c>
      <c r="ALO43">
        <f t="shared" si="55"/>
        <v>0</v>
      </c>
      <c r="ALP43">
        <f t="shared" si="55"/>
        <v>0</v>
      </c>
      <c r="ALQ43">
        <f t="shared" si="55"/>
        <v>0</v>
      </c>
      <c r="ALR43">
        <f t="shared" si="55"/>
        <v>0</v>
      </c>
      <c r="ALS43">
        <f t="shared" si="55"/>
        <v>0</v>
      </c>
      <c r="ALT43">
        <f t="shared" si="55"/>
        <v>0</v>
      </c>
      <c r="ALU43">
        <f t="shared" si="55"/>
        <v>0</v>
      </c>
      <c r="ALV43">
        <f t="shared" si="55"/>
        <v>0</v>
      </c>
      <c r="ALW43">
        <f t="shared" si="55"/>
        <v>0</v>
      </c>
      <c r="ALX43">
        <f t="shared" si="55"/>
        <v>0</v>
      </c>
      <c r="ALY43">
        <f t="shared" si="55"/>
        <v>0</v>
      </c>
      <c r="ALZ43">
        <f t="shared" si="55"/>
        <v>0</v>
      </c>
      <c r="AMA43">
        <f t="shared" si="55"/>
        <v>0</v>
      </c>
      <c r="AMB43">
        <f t="shared" si="55"/>
        <v>0</v>
      </c>
      <c r="AMC43">
        <f t="shared" si="55"/>
        <v>0</v>
      </c>
      <c r="AMD43">
        <f t="shared" si="55"/>
        <v>0</v>
      </c>
      <c r="AME43">
        <f t="shared" si="55"/>
        <v>0</v>
      </c>
      <c r="AMF43">
        <f t="shared" si="55"/>
        <v>0</v>
      </c>
      <c r="AMG43">
        <f t="shared" si="55"/>
        <v>0</v>
      </c>
      <c r="AMH43">
        <f t="shared" si="56"/>
        <v>0</v>
      </c>
      <c r="AMI43">
        <f t="shared" si="56"/>
        <v>0</v>
      </c>
      <c r="AMJ43">
        <f t="shared" si="56"/>
        <v>0</v>
      </c>
      <c r="AMK43">
        <f t="shared" si="56"/>
        <v>0</v>
      </c>
      <c r="AML43">
        <f t="shared" si="56"/>
        <v>0</v>
      </c>
      <c r="AMM43">
        <f t="shared" si="56"/>
        <v>0</v>
      </c>
      <c r="AMN43">
        <f t="shared" si="56"/>
        <v>0</v>
      </c>
      <c r="AMO43">
        <f t="shared" si="56"/>
        <v>0</v>
      </c>
      <c r="AMP43">
        <f t="shared" si="56"/>
        <v>0</v>
      </c>
      <c r="AMQ43">
        <f t="shared" si="56"/>
        <v>0</v>
      </c>
      <c r="AMR43">
        <f t="shared" si="56"/>
        <v>0</v>
      </c>
      <c r="AMS43">
        <f t="shared" si="56"/>
        <v>0</v>
      </c>
      <c r="AMT43">
        <f t="shared" si="56"/>
        <v>0</v>
      </c>
      <c r="AMU43">
        <f t="shared" si="56"/>
        <v>0</v>
      </c>
      <c r="AMV43">
        <f t="shared" si="56"/>
        <v>0</v>
      </c>
      <c r="AMW43">
        <f t="shared" si="56"/>
        <v>0</v>
      </c>
      <c r="AMX43">
        <f t="shared" si="56"/>
        <v>0</v>
      </c>
      <c r="AMY43">
        <f t="shared" si="56"/>
        <v>0</v>
      </c>
      <c r="AMZ43">
        <f t="shared" si="56"/>
        <v>0</v>
      </c>
      <c r="ANA43">
        <f t="shared" si="56"/>
        <v>0</v>
      </c>
      <c r="ANB43">
        <f t="shared" si="56"/>
        <v>0</v>
      </c>
      <c r="ANC43">
        <f t="shared" si="56"/>
        <v>0</v>
      </c>
      <c r="AND43">
        <f t="shared" si="56"/>
        <v>0</v>
      </c>
      <c r="ANE43">
        <f t="shared" si="56"/>
        <v>0</v>
      </c>
      <c r="ANF43">
        <f t="shared" si="56"/>
        <v>0</v>
      </c>
      <c r="ANG43">
        <f t="shared" si="56"/>
        <v>0</v>
      </c>
      <c r="ANH43">
        <f t="shared" si="56"/>
        <v>0</v>
      </c>
      <c r="ANI43">
        <f t="shared" si="56"/>
        <v>0</v>
      </c>
      <c r="ANJ43">
        <f t="shared" si="56"/>
        <v>0</v>
      </c>
      <c r="ANK43">
        <f t="shared" si="56"/>
        <v>0</v>
      </c>
      <c r="ANL43">
        <f t="shared" si="56"/>
        <v>0</v>
      </c>
      <c r="ANM43">
        <f t="shared" si="56"/>
        <v>0</v>
      </c>
      <c r="ANN43">
        <f t="shared" si="56"/>
        <v>0</v>
      </c>
      <c r="ANO43">
        <f t="shared" si="56"/>
        <v>0</v>
      </c>
      <c r="ANP43">
        <f t="shared" si="56"/>
        <v>0</v>
      </c>
      <c r="ANQ43">
        <f t="shared" si="56"/>
        <v>0</v>
      </c>
      <c r="ANR43">
        <f t="shared" si="56"/>
        <v>0</v>
      </c>
      <c r="ANS43">
        <f t="shared" si="56"/>
        <v>0</v>
      </c>
      <c r="ANT43">
        <f t="shared" si="56"/>
        <v>0</v>
      </c>
      <c r="ANU43">
        <f t="shared" si="56"/>
        <v>0</v>
      </c>
      <c r="ANV43">
        <f t="shared" si="56"/>
        <v>0</v>
      </c>
      <c r="ANW43">
        <f t="shared" si="56"/>
        <v>0</v>
      </c>
      <c r="ANX43">
        <f t="shared" si="56"/>
        <v>0</v>
      </c>
      <c r="ANY43">
        <f t="shared" si="56"/>
        <v>0</v>
      </c>
      <c r="ANZ43">
        <f t="shared" si="56"/>
        <v>0</v>
      </c>
      <c r="AOA43">
        <f t="shared" si="56"/>
        <v>0</v>
      </c>
      <c r="AOB43">
        <f t="shared" si="56"/>
        <v>0</v>
      </c>
      <c r="AOC43">
        <f t="shared" si="56"/>
        <v>0</v>
      </c>
      <c r="AOD43">
        <f t="shared" si="56"/>
        <v>0</v>
      </c>
      <c r="AOE43">
        <f t="shared" si="56"/>
        <v>0</v>
      </c>
      <c r="AOF43">
        <f t="shared" si="56"/>
        <v>0</v>
      </c>
      <c r="AOG43">
        <f t="shared" si="56"/>
        <v>0</v>
      </c>
      <c r="AOH43">
        <f t="shared" si="56"/>
        <v>0</v>
      </c>
      <c r="AOI43">
        <f t="shared" si="56"/>
        <v>0</v>
      </c>
      <c r="AOJ43">
        <f t="shared" si="56"/>
        <v>0</v>
      </c>
      <c r="AOK43">
        <f t="shared" si="56"/>
        <v>0</v>
      </c>
      <c r="AOL43">
        <f t="shared" si="56"/>
        <v>0</v>
      </c>
      <c r="AOM43">
        <f t="shared" si="56"/>
        <v>0</v>
      </c>
      <c r="AON43">
        <f t="shared" si="56"/>
        <v>0</v>
      </c>
      <c r="AOO43">
        <f t="shared" si="56"/>
        <v>0</v>
      </c>
      <c r="AOP43">
        <f t="shared" si="56"/>
        <v>0</v>
      </c>
      <c r="AOQ43">
        <f t="shared" si="56"/>
        <v>0</v>
      </c>
      <c r="AOR43">
        <f t="shared" si="56"/>
        <v>0</v>
      </c>
      <c r="AOS43">
        <f t="shared" si="56"/>
        <v>0</v>
      </c>
      <c r="AOT43">
        <f t="shared" si="57"/>
        <v>0</v>
      </c>
      <c r="AOU43">
        <f t="shared" si="57"/>
        <v>0</v>
      </c>
      <c r="AOV43">
        <f t="shared" si="57"/>
        <v>0</v>
      </c>
      <c r="AOW43">
        <f t="shared" si="57"/>
        <v>0</v>
      </c>
      <c r="AOX43">
        <f t="shared" si="57"/>
        <v>0</v>
      </c>
      <c r="AOY43">
        <f t="shared" si="57"/>
        <v>0</v>
      </c>
      <c r="AOZ43">
        <f t="shared" si="57"/>
        <v>0</v>
      </c>
      <c r="APA43">
        <f t="shared" si="57"/>
        <v>0</v>
      </c>
      <c r="APB43">
        <f t="shared" si="57"/>
        <v>0</v>
      </c>
      <c r="APC43">
        <f t="shared" si="57"/>
        <v>0</v>
      </c>
      <c r="APD43">
        <f t="shared" si="57"/>
        <v>0</v>
      </c>
      <c r="APE43">
        <f t="shared" si="57"/>
        <v>0</v>
      </c>
      <c r="APF43">
        <f t="shared" si="57"/>
        <v>0</v>
      </c>
      <c r="APG43">
        <f t="shared" si="57"/>
        <v>0</v>
      </c>
      <c r="APH43">
        <f t="shared" si="57"/>
        <v>0</v>
      </c>
      <c r="API43">
        <f t="shared" si="57"/>
        <v>0</v>
      </c>
      <c r="APJ43">
        <f t="shared" si="57"/>
        <v>0</v>
      </c>
      <c r="APK43">
        <f t="shared" si="57"/>
        <v>0</v>
      </c>
      <c r="APL43">
        <f t="shared" si="57"/>
        <v>0</v>
      </c>
      <c r="APM43">
        <f t="shared" si="57"/>
        <v>0</v>
      </c>
      <c r="APN43">
        <f t="shared" si="57"/>
        <v>0</v>
      </c>
      <c r="APO43">
        <f t="shared" si="57"/>
        <v>0</v>
      </c>
      <c r="APP43">
        <f t="shared" si="57"/>
        <v>0</v>
      </c>
      <c r="APQ43">
        <f t="shared" si="57"/>
        <v>0</v>
      </c>
      <c r="APR43">
        <f t="shared" si="57"/>
        <v>0</v>
      </c>
      <c r="APS43">
        <f t="shared" si="57"/>
        <v>0</v>
      </c>
      <c r="APT43">
        <f t="shared" si="57"/>
        <v>0</v>
      </c>
      <c r="APU43">
        <f t="shared" si="57"/>
        <v>0</v>
      </c>
      <c r="APV43">
        <f t="shared" si="57"/>
        <v>0</v>
      </c>
      <c r="APW43">
        <f t="shared" si="57"/>
        <v>0</v>
      </c>
      <c r="APX43">
        <f t="shared" si="57"/>
        <v>0</v>
      </c>
      <c r="APY43">
        <f t="shared" si="57"/>
        <v>0</v>
      </c>
      <c r="APZ43">
        <f t="shared" si="57"/>
        <v>0</v>
      </c>
      <c r="AQA43">
        <f t="shared" si="57"/>
        <v>0</v>
      </c>
      <c r="AQB43">
        <f t="shared" si="57"/>
        <v>0</v>
      </c>
      <c r="AQC43">
        <f t="shared" si="57"/>
        <v>0</v>
      </c>
      <c r="AQD43">
        <f t="shared" si="57"/>
        <v>0</v>
      </c>
      <c r="AQE43">
        <f t="shared" si="57"/>
        <v>0</v>
      </c>
      <c r="AQF43">
        <f t="shared" si="57"/>
        <v>0</v>
      </c>
      <c r="AQG43">
        <f t="shared" si="57"/>
        <v>0</v>
      </c>
      <c r="AQH43">
        <f t="shared" si="57"/>
        <v>0</v>
      </c>
      <c r="AQI43">
        <f t="shared" si="57"/>
        <v>0</v>
      </c>
      <c r="AQJ43">
        <f t="shared" si="57"/>
        <v>0</v>
      </c>
      <c r="AQK43">
        <f t="shared" si="57"/>
        <v>0</v>
      </c>
      <c r="AQL43">
        <f t="shared" si="57"/>
        <v>0</v>
      </c>
      <c r="AQM43">
        <f t="shared" si="57"/>
        <v>0</v>
      </c>
      <c r="AQN43">
        <f t="shared" si="57"/>
        <v>0</v>
      </c>
      <c r="AQO43">
        <f t="shared" si="57"/>
        <v>0</v>
      </c>
      <c r="AQP43">
        <f t="shared" si="57"/>
        <v>0</v>
      </c>
      <c r="AQQ43">
        <f t="shared" si="57"/>
        <v>0</v>
      </c>
      <c r="AQR43">
        <f t="shared" si="57"/>
        <v>0</v>
      </c>
      <c r="AQS43">
        <f t="shared" si="57"/>
        <v>0</v>
      </c>
      <c r="AQT43">
        <f t="shared" si="57"/>
        <v>0</v>
      </c>
      <c r="AQU43">
        <f t="shared" si="57"/>
        <v>0</v>
      </c>
      <c r="AQV43">
        <f t="shared" si="57"/>
        <v>0</v>
      </c>
      <c r="AQW43">
        <f t="shared" si="57"/>
        <v>0</v>
      </c>
      <c r="AQX43">
        <f t="shared" si="57"/>
        <v>0</v>
      </c>
      <c r="AQY43">
        <f t="shared" si="57"/>
        <v>0</v>
      </c>
      <c r="AQZ43">
        <f t="shared" si="57"/>
        <v>0</v>
      </c>
      <c r="ARA43">
        <f t="shared" si="57"/>
        <v>0</v>
      </c>
      <c r="ARB43">
        <f t="shared" si="57"/>
        <v>0</v>
      </c>
      <c r="ARC43">
        <f t="shared" si="57"/>
        <v>0</v>
      </c>
      <c r="ARD43">
        <f t="shared" si="57"/>
        <v>0</v>
      </c>
      <c r="ARE43">
        <f t="shared" si="57"/>
        <v>0</v>
      </c>
      <c r="ARF43">
        <f t="shared" si="58"/>
        <v>0</v>
      </c>
      <c r="ARG43">
        <f t="shared" si="58"/>
        <v>0</v>
      </c>
      <c r="ARH43">
        <f t="shared" si="58"/>
        <v>0</v>
      </c>
      <c r="ARI43">
        <f t="shared" si="58"/>
        <v>0</v>
      </c>
      <c r="ARJ43">
        <f t="shared" si="58"/>
        <v>0</v>
      </c>
      <c r="ARK43">
        <f t="shared" si="58"/>
        <v>0</v>
      </c>
      <c r="ARL43">
        <f t="shared" si="58"/>
        <v>0</v>
      </c>
      <c r="ARM43">
        <f t="shared" si="58"/>
        <v>0</v>
      </c>
      <c r="ARN43">
        <f t="shared" si="58"/>
        <v>0</v>
      </c>
      <c r="ARO43">
        <f t="shared" si="58"/>
        <v>0</v>
      </c>
      <c r="ARP43">
        <f t="shared" si="58"/>
        <v>0</v>
      </c>
      <c r="ARQ43">
        <f t="shared" si="58"/>
        <v>0</v>
      </c>
      <c r="ARR43">
        <f t="shared" si="58"/>
        <v>0</v>
      </c>
      <c r="ARS43">
        <f t="shared" si="58"/>
        <v>0</v>
      </c>
      <c r="ART43">
        <f t="shared" si="58"/>
        <v>0</v>
      </c>
      <c r="ARU43">
        <f t="shared" si="58"/>
        <v>0</v>
      </c>
      <c r="ARV43">
        <f t="shared" si="58"/>
        <v>0</v>
      </c>
      <c r="ARW43">
        <f t="shared" si="58"/>
        <v>0</v>
      </c>
      <c r="ARX43">
        <f t="shared" si="58"/>
        <v>0</v>
      </c>
      <c r="ARY43">
        <f t="shared" si="58"/>
        <v>0</v>
      </c>
      <c r="ARZ43">
        <f t="shared" si="58"/>
        <v>0</v>
      </c>
      <c r="ASA43">
        <f t="shared" si="58"/>
        <v>0</v>
      </c>
      <c r="ASB43">
        <f t="shared" si="58"/>
        <v>0</v>
      </c>
      <c r="ASC43">
        <f t="shared" si="58"/>
        <v>0</v>
      </c>
      <c r="ASD43">
        <f t="shared" si="58"/>
        <v>0</v>
      </c>
      <c r="ASE43">
        <f t="shared" si="58"/>
        <v>0</v>
      </c>
      <c r="ASF43">
        <f t="shared" si="58"/>
        <v>0</v>
      </c>
      <c r="ASG43">
        <f t="shared" si="58"/>
        <v>0</v>
      </c>
      <c r="ASH43">
        <f t="shared" si="58"/>
        <v>0</v>
      </c>
      <c r="ASI43">
        <f t="shared" si="58"/>
        <v>0</v>
      </c>
      <c r="ASJ43">
        <f t="shared" si="58"/>
        <v>0</v>
      </c>
      <c r="ASK43">
        <f t="shared" si="58"/>
        <v>0</v>
      </c>
      <c r="ASL43">
        <f t="shared" si="58"/>
        <v>0</v>
      </c>
      <c r="ASM43">
        <f t="shared" si="58"/>
        <v>0</v>
      </c>
      <c r="ASN43">
        <f t="shared" si="58"/>
        <v>0</v>
      </c>
      <c r="ASO43">
        <f t="shared" si="58"/>
        <v>0</v>
      </c>
      <c r="ASP43">
        <f t="shared" si="58"/>
        <v>0</v>
      </c>
      <c r="ASQ43">
        <f t="shared" si="58"/>
        <v>0</v>
      </c>
      <c r="ASR43">
        <f t="shared" si="58"/>
        <v>0</v>
      </c>
      <c r="ASS43">
        <f t="shared" si="58"/>
        <v>0</v>
      </c>
      <c r="AST43">
        <f t="shared" si="58"/>
        <v>0</v>
      </c>
      <c r="ASU43">
        <f t="shared" si="58"/>
        <v>0</v>
      </c>
      <c r="ASV43">
        <f t="shared" si="58"/>
        <v>0</v>
      </c>
      <c r="ASW43">
        <f t="shared" si="58"/>
        <v>0</v>
      </c>
      <c r="ASX43">
        <f t="shared" si="58"/>
        <v>0</v>
      </c>
      <c r="ASY43">
        <f t="shared" si="58"/>
        <v>0</v>
      </c>
      <c r="ASZ43">
        <f t="shared" si="58"/>
        <v>0</v>
      </c>
      <c r="ATA43">
        <f t="shared" si="58"/>
        <v>0</v>
      </c>
      <c r="ATB43">
        <f t="shared" si="58"/>
        <v>0</v>
      </c>
      <c r="ATC43">
        <f t="shared" si="58"/>
        <v>0</v>
      </c>
      <c r="ATD43">
        <f t="shared" si="58"/>
        <v>0</v>
      </c>
      <c r="ATE43">
        <f t="shared" si="58"/>
        <v>0</v>
      </c>
      <c r="ATF43">
        <f t="shared" si="58"/>
        <v>0</v>
      </c>
      <c r="ATG43">
        <f t="shared" si="58"/>
        <v>0</v>
      </c>
      <c r="ATH43">
        <f t="shared" si="58"/>
        <v>0</v>
      </c>
      <c r="ATI43">
        <f t="shared" si="58"/>
        <v>0</v>
      </c>
      <c r="ATJ43">
        <f t="shared" si="58"/>
        <v>0</v>
      </c>
      <c r="ATK43">
        <f t="shared" si="58"/>
        <v>0</v>
      </c>
      <c r="ATL43">
        <f t="shared" si="58"/>
        <v>0</v>
      </c>
      <c r="ATM43">
        <f t="shared" si="58"/>
        <v>0</v>
      </c>
      <c r="ATN43">
        <f t="shared" si="58"/>
        <v>0</v>
      </c>
      <c r="ATO43">
        <f t="shared" si="58"/>
        <v>0</v>
      </c>
      <c r="ATP43">
        <f t="shared" si="58"/>
        <v>0</v>
      </c>
      <c r="ATQ43">
        <f t="shared" si="58"/>
        <v>0</v>
      </c>
      <c r="ATR43">
        <f t="shared" si="59"/>
        <v>0</v>
      </c>
      <c r="ATS43">
        <f t="shared" si="59"/>
        <v>0</v>
      </c>
      <c r="ATT43">
        <f t="shared" si="59"/>
        <v>0</v>
      </c>
      <c r="ATU43">
        <f t="shared" si="59"/>
        <v>0</v>
      </c>
      <c r="ATV43">
        <f t="shared" si="59"/>
        <v>0</v>
      </c>
      <c r="ATW43">
        <f t="shared" si="59"/>
        <v>0</v>
      </c>
      <c r="ATX43">
        <f t="shared" si="59"/>
        <v>0</v>
      </c>
      <c r="ATY43">
        <f t="shared" si="59"/>
        <v>0</v>
      </c>
      <c r="ATZ43">
        <f t="shared" si="59"/>
        <v>0</v>
      </c>
      <c r="AUA43">
        <f t="shared" si="59"/>
        <v>0</v>
      </c>
      <c r="AUB43">
        <f t="shared" si="59"/>
        <v>0</v>
      </c>
      <c r="AUC43">
        <f t="shared" si="59"/>
        <v>0</v>
      </c>
      <c r="AUD43">
        <f t="shared" si="59"/>
        <v>0</v>
      </c>
      <c r="AUE43">
        <f t="shared" si="59"/>
        <v>0</v>
      </c>
      <c r="AUF43">
        <f t="shared" si="59"/>
        <v>0</v>
      </c>
      <c r="AUG43">
        <f t="shared" si="59"/>
        <v>0</v>
      </c>
      <c r="AUH43">
        <f t="shared" si="59"/>
        <v>0</v>
      </c>
      <c r="AUI43">
        <f t="shared" si="59"/>
        <v>0</v>
      </c>
      <c r="AUJ43">
        <f t="shared" si="59"/>
        <v>0</v>
      </c>
      <c r="AUK43">
        <f t="shared" si="59"/>
        <v>0</v>
      </c>
      <c r="AUL43">
        <f t="shared" si="59"/>
        <v>0</v>
      </c>
      <c r="AUM43">
        <f t="shared" si="59"/>
        <v>0</v>
      </c>
      <c r="AUN43">
        <f t="shared" si="59"/>
        <v>0</v>
      </c>
      <c r="AUO43">
        <f t="shared" si="59"/>
        <v>0</v>
      </c>
      <c r="AUP43">
        <f t="shared" si="59"/>
        <v>0</v>
      </c>
      <c r="AUQ43">
        <f t="shared" si="59"/>
        <v>0</v>
      </c>
      <c r="AUR43">
        <f t="shared" si="59"/>
        <v>0</v>
      </c>
      <c r="AUS43">
        <f t="shared" si="59"/>
        <v>0</v>
      </c>
      <c r="AUT43">
        <f t="shared" si="59"/>
        <v>0</v>
      </c>
      <c r="AUU43">
        <f t="shared" si="59"/>
        <v>0</v>
      </c>
      <c r="AUV43">
        <f t="shared" si="59"/>
        <v>0</v>
      </c>
      <c r="AUW43">
        <f t="shared" si="59"/>
        <v>0</v>
      </c>
      <c r="AUX43">
        <f t="shared" si="59"/>
        <v>0</v>
      </c>
      <c r="AUY43">
        <f t="shared" si="59"/>
        <v>0</v>
      </c>
      <c r="AUZ43">
        <f t="shared" si="59"/>
        <v>0</v>
      </c>
      <c r="AVA43">
        <f t="shared" si="59"/>
        <v>0</v>
      </c>
      <c r="AVB43">
        <f t="shared" si="59"/>
        <v>0</v>
      </c>
      <c r="AVC43">
        <f t="shared" si="59"/>
        <v>0</v>
      </c>
      <c r="AVD43">
        <f t="shared" si="59"/>
        <v>0</v>
      </c>
      <c r="AVE43">
        <f t="shared" si="59"/>
        <v>0</v>
      </c>
      <c r="AVF43">
        <f t="shared" si="59"/>
        <v>0</v>
      </c>
      <c r="AVG43">
        <f t="shared" si="59"/>
        <v>0</v>
      </c>
      <c r="AVH43">
        <f t="shared" si="59"/>
        <v>0</v>
      </c>
      <c r="AVI43">
        <f t="shared" si="59"/>
        <v>0</v>
      </c>
      <c r="AVJ43">
        <f t="shared" si="59"/>
        <v>0</v>
      </c>
      <c r="AVK43">
        <f t="shared" si="59"/>
        <v>0</v>
      </c>
      <c r="AVL43">
        <f t="shared" si="59"/>
        <v>0</v>
      </c>
      <c r="AVM43">
        <f t="shared" si="59"/>
        <v>0</v>
      </c>
      <c r="AVN43">
        <f t="shared" si="59"/>
        <v>0</v>
      </c>
      <c r="AVO43">
        <f t="shared" si="59"/>
        <v>0</v>
      </c>
      <c r="AVP43">
        <f t="shared" si="59"/>
        <v>0</v>
      </c>
      <c r="AVQ43">
        <f t="shared" si="59"/>
        <v>0</v>
      </c>
      <c r="AVR43">
        <f t="shared" si="59"/>
        <v>0</v>
      </c>
      <c r="AVS43">
        <f t="shared" si="59"/>
        <v>0</v>
      </c>
      <c r="AVT43">
        <f t="shared" si="59"/>
        <v>0</v>
      </c>
      <c r="AVU43">
        <f t="shared" si="59"/>
        <v>0</v>
      </c>
      <c r="AVV43">
        <f t="shared" si="59"/>
        <v>0</v>
      </c>
      <c r="AVW43">
        <f t="shared" si="59"/>
        <v>0</v>
      </c>
      <c r="AVX43">
        <f t="shared" si="59"/>
        <v>0</v>
      </c>
      <c r="AVY43">
        <f t="shared" si="59"/>
        <v>0</v>
      </c>
      <c r="AVZ43">
        <f t="shared" si="59"/>
        <v>0</v>
      </c>
      <c r="AWA43">
        <f t="shared" si="59"/>
        <v>0</v>
      </c>
      <c r="AWB43">
        <f t="shared" si="59"/>
        <v>0</v>
      </c>
      <c r="AWC43">
        <f t="shared" si="59"/>
        <v>0</v>
      </c>
      <c r="AWD43">
        <f t="shared" si="60"/>
        <v>0</v>
      </c>
      <c r="AWE43">
        <f t="shared" si="60"/>
        <v>0</v>
      </c>
      <c r="AWF43">
        <f t="shared" si="60"/>
        <v>0</v>
      </c>
      <c r="AWG43">
        <f t="shared" si="60"/>
        <v>0</v>
      </c>
      <c r="AWH43">
        <f t="shared" si="60"/>
        <v>0</v>
      </c>
      <c r="AWI43">
        <f t="shared" si="60"/>
        <v>0</v>
      </c>
      <c r="AWJ43">
        <f t="shared" si="60"/>
        <v>0</v>
      </c>
      <c r="AWK43">
        <f t="shared" si="60"/>
        <v>0</v>
      </c>
      <c r="AWL43">
        <f t="shared" si="60"/>
        <v>0</v>
      </c>
      <c r="AWM43">
        <f t="shared" si="60"/>
        <v>0</v>
      </c>
      <c r="AWN43">
        <f t="shared" si="60"/>
        <v>0</v>
      </c>
      <c r="AWO43">
        <f t="shared" si="60"/>
        <v>0</v>
      </c>
      <c r="AWP43">
        <f t="shared" si="60"/>
        <v>0</v>
      </c>
      <c r="AWQ43">
        <f t="shared" si="60"/>
        <v>0</v>
      </c>
      <c r="AWR43">
        <f t="shared" si="60"/>
        <v>0</v>
      </c>
      <c r="AWS43">
        <f t="shared" si="60"/>
        <v>0</v>
      </c>
      <c r="AWT43">
        <f t="shared" si="60"/>
        <v>0</v>
      </c>
      <c r="AWU43">
        <f t="shared" si="60"/>
        <v>0</v>
      </c>
      <c r="AWV43">
        <f t="shared" si="60"/>
        <v>0</v>
      </c>
      <c r="AWW43">
        <f t="shared" si="60"/>
        <v>0</v>
      </c>
      <c r="AWX43">
        <f t="shared" si="60"/>
        <v>0</v>
      </c>
      <c r="AWY43">
        <f t="shared" si="60"/>
        <v>0</v>
      </c>
      <c r="AWZ43">
        <f t="shared" si="60"/>
        <v>0</v>
      </c>
      <c r="AXA43">
        <f t="shared" si="60"/>
        <v>0</v>
      </c>
      <c r="AXB43">
        <f t="shared" si="60"/>
        <v>0</v>
      </c>
      <c r="AXC43">
        <f t="shared" si="60"/>
        <v>0</v>
      </c>
      <c r="AXD43">
        <f t="shared" si="60"/>
        <v>0</v>
      </c>
      <c r="AXE43">
        <f t="shared" si="60"/>
        <v>0</v>
      </c>
      <c r="AXF43">
        <f t="shared" si="60"/>
        <v>0</v>
      </c>
      <c r="AXG43">
        <f t="shared" si="60"/>
        <v>0</v>
      </c>
      <c r="AXH43">
        <f t="shared" si="60"/>
        <v>0</v>
      </c>
      <c r="AXI43">
        <f t="shared" si="60"/>
        <v>0</v>
      </c>
      <c r="AXJ43">
        <f t="shared" si="60"/>
        <v>0</v>
      </c>
      <c r="AXK43">
        <f t="shared" si="60"/>
        <v>0</v>
      </c>
      <c r="AXL43">
        <f t="shared" si="60"/>
        <v>0</v>
      </c>
      <c r="AXM43">
        <f t="shared" si="60"/>
        <v>0</v>
      </c>
      <c r="AXN43">
        <f t="shared" si="60"/>
        <v>0</v>
      </c>
      <c r="AXO43">
        <f t="shared" si="60"/>
        <v>0</v>
      </c>
      <c r="AXP43">
        <f t="shared" si="60"/>
        <v>0</v>
      </c>
      <c r="AXQ43">
        <f t="shared" si="60"/>
        <v>0</v>
      </c>
      <c r="AXR43">
        <f t="shared" si="60"/>
        <v>0</v>
      </c>
      <c r="AXS43">
        <f t="shared" si="60"/>
        <v>0</v>
      </c>
      <c r="AXT43">
        <f t="shared" si="60"/>
        <v>0</v>
      </c>
      <c r="AXU43">
        <f t="shared" si="60"/>
        <v>0</v>
      </c>
      <c r="AXV43">
        <f t="shared" si="60"/>
        <v>0</v>
      </c>
      <c r="AXW43">
        <f t="shared" si="60"/>
        <v>0</v>
      </c>
      <c r="AXX43">
        <f t="shared" si="60"/>
        <v>0</v>
      </c>
      <c r="AXY43">
        <f t="shared" si="60"/>
        <v>0</v>
      </c>
      <c r="AXZ43">
        <f t="shared" si="60"/>
        <v>0</v>
      </c>
      <c r="AYA43">
        <f t="shared" si="60"/>
        <v>0</v>
      </c>
      <c r="AYB43">
        <f t="shared" si="60"/>
        <v>0</v>
      </c>
      <c r="AYC43">
        <f t="shared" si="60"/>
        <v>0</v>
      </c>
      <c r="AYD43">
        <f t="shared" si="60"/>
        <v>0</v>
      </c>
      <c r="AYE43">
        <f t="shared" si="60"/>
        <v>0</v>
      </c>
      <c r="AYF43">
        <f t="shared" si="60"/>
        <v>0</v>
      </c>
      <c r="AYG43">
        <f t="shared" si="60"/>
        <v>0</v>
      </c>
      <c r="AYH43">
        <f t="shared" si="60"/>
        <v>0</v>
      </c>
      <c r="AYI43">
        <f t="shared" si="60"/>
        <v>0</v>
      </c>
      <c r="AYJ43">
        <f t="shared" si="60"/>
        <v>0</v>
      </c>
      <c r="AYK43">
        <f t="shared" si="60"/>
        <v>0</v>
      </c>
      <c r="AYL43">
        <f t="shared" si="60"/>
        <v>0</v>
      </c>
      <c r="AYM43">
        <f t="shared" si="60"/>
        <v>0</v>
      </c>
      <c r="AYN43">
        <f t="shared" si="60"/>
        <v>0</v>
      </c>
      <c r="AYO43">
        <f t="shared" si="60"/>
        <v>0</v>
      </c>
      <c r="AYP43">
        <f t="shared" si="61"/>
        <v>0</v>
      </c>
      <c r="AYQ43">
        <f t="shared" si="61"/>
        <v>0</v>
      </c>
      <c r="AYR43">
        <f t="shared" si="61"/>
        <v>0</v>
      </c>
      <c r="AYS43">
        <f t="shared" si="61"/>
        <v>0</v>
      </c>
      <c r="AYT43">
        <f t="shared" si="61"/>
        <v>0</v>
      </c>
      <c r="AYU43">
        <f t="shared" si="61"/>
        <v>0</v>
      </c>
      <c r="AYV43">
        <f t="shared" si="61"/>
        <v>0</v>
      </c>
      <c r="AYW43">
        <f t="shared" si="61"/>
        <v>0</v>
      </c>
      <c r="AYX43">
        <f t="shared" si="61"/>
        <v>0</v>
      </c>
      <c r="AYY43">
        <f t="shared" si="61"/>
        <v>0</v>
      </c>
      <c r="AYZ43">
        <f t="shared" si="61"/>
        <v>0</v>
      </c>
      <c r="AZA43">
        <f t="shared" si="61"/>
        <v>0</v>
      </c>
      <c r="AZB43">
        <f t="shared" si="61"/>
        <v>0</v>
      </c>
      <c r="AZC43">
        <f t="shared" si="61"/>
        <v>0</v>
      </c>
      <c r="AZD43">
        <f t="shared" si="61"/>
        <v>0</v>
      </c>
      <c r="AZE43">
        <f t="shared" si="61"/>
        <v>0</v>
      </c>
      <c r="AZF43">
        <f t="shared" si="61"/>
        <v>0</v>
      </c>
      <c r="AZG43">
        <f t="shared" si="61"/>
        <v>0</v>
      </c>
      <c r="AZH43">
        <f t="shared" si="61"/>
        <v>0</v>
      </c>
      <c r="AZI43">
        <f t="shared" si="61"/>
        <v>0</v>
      </c>
      <c r="AZJ43">
        <f t="shared" si="61"/>
        <v>0</v>
      </c>
      <c r="AZK43">
        <f t="shared" si="61"/>
        <v>0</v>
      </c>
      <c r="AZL43">
        <f t="shared" si="61"/>
        <v>0</v>
      </c>
      <c r="AZM43">
        <f t="shared" si="61"/>
        <v>0</v>
      </c>
      <c r="AZN43">
        <f t="shared" si="61"/>
        <v>0</v>
      </c>
      <c r="AZO43">
        <f t="shared" si="61"/>
        <v>0</v>
      </c>
      <c r="AZP43">
        <f t="shared" si="61"/>
        <v>0</v>
      </c>
      <c r="AZQ43">
        <f t="shared" si="61"/>
        <v>0</v>
      </c>
      <c r="AZR43">
        <f t="shared" si="61"/>
        <v>0</v>
      </c>
      <c r="AZS43">
        <f t="shared" si="61"/>
        <v>0</v>
      </c>
      <c r="AZT43">
        <f t="shared" si="61"/>
        <v>0</v>
      </c>
      <c r="AZU43">
        <f t="shared" si="61"/>
        <v>0</v>
      </c>
      <c r="AZV43">
        <f t="shared" si="61"/>
        <v>0</v>
      </c>
      <c r="AZW43">
        <f t="shared" si="61"/>
        <v>0</v>
      </c>
      <c r="AZX43">
        <f t="shared" si="61"/>
        <v>0</v>
      </c>
      <c r="AZY43">
        <f t="shared" si="61"/>
        <v>0</v>
      </c>
      <c r="AZZ43">
        <f t="shared" si="61"/>
        <v>0</v>
      </c>
      <c r="BAA43">
        <f t="shared" si="61"/>
        <v>0</v>
      </c>
      <c r="BAB43">
        <f t="shared" si="61"/>
        <v>0</v>
      </c>
      <c r="BAC43">
        <f t="shared" si="61"/>
        <v>0</v>
      </c>
      <c r="BAD43">
        <f t="shared" si="61"/>
        <v>0</v>
      </c>
      <c r="BAE43">
        <f t="shared" si="61"/>
        <v>0</v>
      </c>
      <c r="BAF43">
        <f t="shared" si="61"/>
        <v>0</v>
      </c>
      <c r="BAG43">
        <f t="shared" si="61"/>
        <v>0</v>
      </c>
      <c r="BAH43">
        <f t="shared" si="61"/>
        <v>0</v>
      </c>
      <c r="BAI43">
        <f t="shared" si="61"/>
        <v>0</v>
      </c>
      <c r="BAJ43">
        <f t="shared" si="61"/>
        <v>0</v>
      </c>
      <c r="BAK43">
        <f t="shared" si="61"/>
        <v>0</v>
      </c>
      <c r="BAL43">
        <f t="shared" si="61"/>
        <v>0</v>
      </c>
      <c r="BAM43">
        <f t="shared" si="61"/>
        <v>0</v>
      </c>
      <c r="BAN43">
        <f t="shared" si="61"/>
        <v>0</v>
      </c>
      <c r="BAO43">
        <f t="shared" si="61"/>
        <v>0</v>
      </c>
      <c r="BAP43">
        <f t="shared" si="61"/>
        <v>0</v>
      </c>
      <c r="BAQ43">
        <f t="shared" si="61"/>
        <v>0</v>
      </c>
      <c r="BAR43">
        <f t="shared" si="61"/>
        <v>0</v>
      </c>
      <c r="BAS43">
        <f t="shared" si="61"/>
        <v>0</v>
      </c>
      <c r="BAT43">
        <f t="shared" si="61"/>
        <v>0</v>
      </c>
      <c r="BAU43">
        <f t="shared" si="61"/>
        <v>0</v>
      </c>
      <c r="BAV43">
        <f t="shared" si="61"/>
        <v>0</v>
      </c>
      <c r="BAW43">
        <f t="shared" si="61"/>
        <v>0</v>
      </c>
      <c r="BAX43">
        <f t="shared" si="61"/>
        <v>0</v>
      </c>
      <c r="BAY43">
        <f t="shared" si="61"/>
        <v>0</v>
      </c>
      <c r="BAZ43">
        <f t="shared" si="61"/>
        <v>0</v>
      </c>
      <c r="BBA43">
        <f t="shared" si="61"/>
        <v>0</v>
      </c>
      <c r="BBB43">
        <f t="shared" si="62"/>
        <v>0</v>
      </c>
      <c r="BBC43">
        <f t="shared" si="62"/>
        <v>0</v>
      </c>
      <c r="BBD43">
        <f t="shared" si="62"/>
        <v>0</v>
      </c>
      <c r="BBE43">
        <f t="shared" si="62"/>
        <v>0</v>
      </c>
      <c r="BBF43">
        <f t="shared" si="62"/>
        <v>0</v>
      </c>
      <c r="BBG43">
        <f t="shared" si="62"/>
        <v>0</v>
      </c>
      <c r="BBH43">
        <f t="shared" si="62"/>
        <v>0</v>
      </c>
      <c r="BBI43">
        <f t="shared" si="62"/>
        <v>0</v>
      </c>
      <c r="BBJ43">
        <f t="shared" si="62"/>
        <v>0</v>
      </c>
      <c r="BBK43">
        <f t="shared" si="62"/>
        <v>0</v>
      </c>
      <c r="BBL43">
        <f t="shared" si="62"/>
        <v>0</v>
      </c>
      <c r="BBM43">
        <f t="shared" si="62"/>
        <v>0</v>
      </c>
      <c r="BBN43">
        <f t="shared" si="62"/>
        <v>0</v>
      </c>
      <c r="BBO43">
        <f t="shared" si="62"/>
        <v>0</v>
      </c>
      <c r="BBP43">
        <f t="shared" si="62"/>
        <v>0</v>
      </c>
      <c r="BBQ43">
        <f t="shared" si="62"/>
        <v>0</v>
      </c>
      <c r="BBR43">
        <f t="shared" si="62"/>
        <v>0</v>
      </c>
      <c r="BBS43">
        <f t="shared" si="62"/>
        <v>0</v>
      </c>
      <c r="BBT43">
        <f t="shared" si="62"/>
        <v>0</v>
      </c>
      <c r="BBU43">
        <f t="shared" si="62"/>
        <v>0</v>
      </c>
      <c r="BBV43">
        <f t="shared" si="62"/>
        <v>0</v>
      </c>
      <c r="BBW43">
        <f t="shared" si="62"/>
        <v>0</v>
      </c>
      <c r="BBX43">
        <f t="shared" si="62"/>
        <v>0</v>
      </c>
      <c r="BBY43">
        <f t="shared" si="62"/>
        <v>0</v>
      </c>
      <c r="BBZ43">
        <f t="shared" si="62"/>
        <v>0</v>
      </c>
      <c r="BCA43">
        <f t="shared" si="62"/>
        <v>0</v>
      </c>
      <c r="BCB43">
        <f t="shared" si="62"/>
        <v>0</v>
      </c>
      <c r="BCC43">
        <f t="shared" si="62"/>
        <v>0</v>
      </c>
      <c r="BCD43">
        <f t="shared" si="62"/>
        <v>0</v>
      </c>
      <c r="BCE43">
        <f t="shared" si="62"/>
        <v>0</v>
      </c>
      <c r="BCF43">
        <f t="shared" si="62"/>
        <v>0</v>
      </c>
      <c r="BCG43">
        <f t="shared" si="62"/>
        <v>0</v>
      </c>
      <c r="BCH43">
        <f t="shared" si="62"/>
        <v>0</v>
      </c>
      <c r="BCI43">
        <f t="shared" si="62"/>
        <v>0</v>
      </c>
      <c r="BCJ43">
        <f t="shared" si="62"/>
        <v>0</v>
      </c>
      <c r="BCK43">
        <f t="shared" si="62"/>
        <v>0</v>
      </c>
      <c r="BCL43">
        <f t="shared" si="62"/>
        <v>0</v>
      </c>
      <c r="BCM43">
        <f t="shared" si="62"/>
        <v>0</v>
      </c>
      <c r="BCN43">
        <f t="shared" si="62"/>
        <v>0</v>
      </c>
      <c r="BCO43">
        <f t="shared" si="62"/>
        <v>0</v>
      </c>
      <c r="BCP43">
        <f t="shared" si="62"/>
        <v>0</v>
      </c>
      <c r="BCQ43">
        <f t="shared" si="62"/>
        <v>0</v>
      </c>
      <c r="BCR43">
        <f t="shared" si="62"/>
        <v>0</v>
      </c>
      <c r="BCS43">
        <f t="shared" si="62"/>
        <v>0</v>
      </c>
      <c r="BCT43">
        <f t="shared" si="62"/>
        <v>0</v>
      </c>
      <c r="BCU43">
        <f t="shared" si="62"/>
        <v>0</v>
      </c>
      <c r="BCV43">
        <f t="shared" si="62"/>
        <v>0</v>
      </c>
      <c r="BCW43">
        <f t="shared" si="62"/>
        <v>0</v>
      </c>
      <c r="BCX43">
        <f t="shared" si="62"/>
        <v>0</v>
      </c>
      <c r="BCY43">
        <f t="shared" si="62"/>
        <v>0</v>
      </c>
      <c r="BCZ43">
        <f t="shared" si="62"/>
        <v>0</v>
      </c>
      <c r="BDA43">
        <f t="shared" si="62"/>
        <v>0</v>
      </c>
      <c r="BDB43">
        <f t="shared" si="62"/>
        <v>0</v>
      </c>
      <c r="BDC43">
        <f t="shared" si="62"/>
        <v>0</v>
      </c>
      <c r="BDD43">
        <f t="shared" si="62"/>
        <v>0</v>
      </c>
      <c r="BDE43">
        <f t="shared" si="62"/>
        <v>0</v>
      </c>
      <c r="BDF43">
        <f t="shared" si="62"/>
        <v>0</v>
      </c>
      <c r="BDG43">
        <f t="shared" si="62"/>
        <v>0</v>
      </c>
      <c r="BDH43">
        <f t="shared" si="62"/>
        <v>0</v>
      </c>
      <c r="BDI43">
        <f t="shared" si="62"/>
        <v>0</v>
      </c>
      <c r="BDJ43">
        <f t="shared" si="62"/>
        <v>0</v>
      </c>
      <c r="BDK43">
        <f t="shared" si="62"/>
        <v>0</v>
      </c>
      <c r="BDL43">
        <f t="shared" si="62"/>
        <v>0</v>
      </c>
      <c r="BDM43">
        <f t="shared" si="62"/>
        <v>0</v>
      </c>
      <c r="BDN43">
        <f t="shared" si="63"/>
        <v>0</v>
      </c>
      <c r="BDO43">
        <f t="shared" si="63"/>
        <v>0</v>
      </c>
      <c r="BDP43">
        <f t="shared" si="63"/>
        <v>0</v>
      </c>
      <c r="BDQ43">
        <f t="shared" si="63"/>
        <v>0</v>
      </c>
      <c r="BDR43">
        <f t="shared" si="63"/>
        <v>0</v>
      </c>
      <c r="BDS43">
        <f t="shared" si="63"/>
        <v>0</v>
      </c>
      <c r="BDT43">
        <f t="shared" si="63"/>
        <v>0</v>
      </c>
      <c r="BDU43">
        <f t="shared" si="63"/>
        <v>0</v>
      </c>
      <c r="BDV43">
        <f t="shared" si="63"/>
        <v>0</v>
      </c>
      <c r="BDW43">
        <f t="shared" si="63"/>
        <v>0</v>
      </c>
      <c r="BDX43">
        <f t="shared" si="63"/>
        <v>0</v>
      </c>
      <c r="BDY43">
        <f t="shared" si="63"/>
        <v>0</v>
      </c>
      <c r="BDZ43">
        <f t="shared" si="63"/>
        <v>0</v>
      </c>
      <c r="BEA43">
        <f t="shared" si="63"/>
        <v>0</v>
      </c>
      <c r="BEB43">
        <f t="shared" si="63"/>
        <v>0</v>
      </c>
      <c r="BEC43">
        <f t="shared" si="63"/>
        <v>0</v>
      </c>
      <c r="BED43">
        <f t="shared" si="63"/>
        <v>0</v>
      </c>
      <c r="BEE43">
        <f t="shared" si="63"/>
        <v>0</v>
      </c>
      <c r="BEF43">
        <f t="shared" si="63"/>
        <v>0</v>
      </c>
      <c r="BEG43">
        <f t="shared" si="63"/>
        <v>0</v>
      </c>
      <c r="BEH43">
        <f t="shared" si="63"/>
        <v>0</v>
      </c>
      <c r="BEI43">
        <f t="shared" si="63"/>
        <v>0</v>
      </c>
      <c r="BEJ43">
        <f t="shared" si="63"/>
        <v>0</v>
      </c>
      <c r="BEK43">
        <f t="shared" si="63"/>
        <v>0</v>
      </c>
      <c r="BEL43">
        <f t="shared" si="63"/>
        <v>0</v>
      </c>
      <c r="BEM43">
        <f t="shared" si="63"/>
        <v>0</v>
      </c>
      <c r="BEN43">
        <f t="shared" si="63"/>
        <v>0</v>
      </c>
      <c r="BEO43">
        <f t="shared" si="63"/>
        <v>0</v>
      </c>
      <c r="BEP43">
        <f t="shared" si="63"/>
        <v>0</v>
      </c>
      <c r="BEQ43">
        <f t="shared" si="63"/>
        <v>0</v>
      </c>
      <c r="BER43">
        <f t="shared" si="63"/>
        <v>0</v>
      </c>
      <c r="BES43">
        <f t="shared" si="63"/>
        <v>0</v>
      </c>
      <c r="BET43">
        <f t="shared" si="63"/>
        <v>0</v>
      </c>
      <c r="BEU43">
        <f t="shared" si="63"/>
        <v>0</v>
      </c>
      <c r="BEV43">
        <f t="shared" si="63"/>
        <v>0</v>
      </c>
      <c r="BEW43">
        <f t="shared" si="63"/>
        <v>0</v>
      </c>
      <c r="BEX43">
        <f t="shared" si="63"/>
        <v>0</v>
      </c>
      <c r="BEY43">
        <f t="shared" si="63"/>
        <v>0</v>
      </c>
      <c r="BEZ43">
        <f t="shared" si="63"/>
        <v>0</v>
      </c>
      <c r="BFA43">
        <f t="shared" si="63"/>
        <v>0</v>
      </c>
      <c r="BFB43">
        <f t="shared" si="63"/>
        <v>0</v>
      </c>
      <c r="BFC43">
        <f t="shared" si="63"/>
        <v>0</v>
      </c>
      <c r="BFD43">
        <f t="shared" si="63"/>
        <v>0</v>
      </c>
      <c r="BFE43">
        <f t="shared" si="63"/>
        <v>0</v>
      </c>
      <c r="BFF43">
        <f t="shared" si="63"/>
        <v>0</v>
      </c>
      <c r="BFG43">
        <f t="shared" si="63"/>
        <v>0</v>
      </c>
      <c r="BFH43">
        <f t="shared" si="63"/>
        <v>0</v>
      </c>
      <c r="BFI43">
        <f t="shared" si="63"/>
        <v>0</v>
      </c>
      <c r="BFJ43">
        <f t="shared" si="63"/>
        <v>0</v>
      </c>
      <c r="BFK43">
        <f t="shared" si="63"/>
        <v>0</v>
      </c>
      <c r="BFL43">
        <f t="shared" si="63"/>
        <v>0</v>
      </c>
      <c r="BFM43">
        <f t="shared" si="63"/>
        <v>0</v>
      </c>
      <c r="BFN43">
        <f t="shared" si="63"/>
        <v>0</v>
      </c>
      <c r="BFO43">
        <f t="shared" si="63"/>
        <v>0</v>
      </c>
      <c r="BFP43">
        <f t="shared" si="63"/>
        <v>0</v>
      </c>
      <c r="BFQ43">
        <f t="shared" si="63"/>
        <v>0</v>
      </c>
      <c r="BFR43">
        <f t="shared" si="63"/>
        <v>0</v>
      </c>
      <c r="BFS43">
        <f t="shared" si="63"/>
        <v>0</v>
      </c>
      <c r="BFT43">
        <f t="shared" si="63"/>
        <v>0</v>
      </c>
      <c r="BFU43">
        <f t="shared" si="63"/>
        <v>0</v>
      </c>
      <c r="BFV43">
        <f t="shared" si="63"/>
        <v>0</v>
      </c>
      <c r="BFW43">
        <f t="shared" si="63"/>
        <v>0</v>
      </c>
      <c r="BFX43">
        <f t="shared" si="63"/>
        <v>0</v>
      </c>
      <c r="BFY43">
        <f t="shared" si="63"/>
        <v>0</v>
      </c>
      <c r="BFZ43">
        <f t="shared" si="64"/>
        <v>0</v>
      </c>
      <c r="BGA43">
        <f t="shared" si="64"/>
        <v>0</v>
      </c>
      <c r="BGB43">
        <f t="shared" si="64"/>
        <v>0</v>
      </c>
      <c r="BGC43">
        <f t="shared" si="64"/>
        <v>0</v>
      </c>
      <c r="BGD43">
        <f t="shared" si="64"/>
        <v>0</v>
      </c>
      <c r="BGE43">
        <f t="shared" si="64"/>
        <v>0</v>
      </c>
      <c r="BGF43">
        <f t="shared" si="64"/>
        <v>0</v>
      </c>
      <c r="BGG43">
        <f t="shared" si="64"/>
        <v>0</v>
      </c>
      <c r="BGH43">
        <f t="shared" si="64"/>
        <v>0</v>
      </c>
      <c r="BGI43">
        <f t="shared" si="64"/>
        <v>0</v>
      </c>
      <c r="BGJ43">
        <f t="shared" si="64"/>
        <v>0</v>
      </c>
      <c r="BGK43">
        <f t="shared" si="64"/>
        <v>0</v>
      </c>
      <c r="BGL43">
        <f t="shared" si="64"/>
        <v>0</v>
      </c>
      <c r="BGM43">
        <f t="shared" si="64"/>
        <v>0</v>
      </c>
      <c r="BGN43">
        <f t="shared" si="64"/>
        <v>0</v>
      </c>
      <c r="BGO43">
        <f t="shared" si="64"/>
        <v>0</v>
      </c>
      <c r="BGP43">
        <f t="shared" si="64"/>
        <v>0</v>
      </c>
      <c r="BGQ43">
        <f t="shared" si="64"/>
        <v>0</v>
      </c>
      <c r="BGR43">
        <f t="shared" si="64"/>
        <v>0</v>
      </c>
      <c r="BGS43">
        <f t="shared" si="64"/>
        <v>0</v>
      </c>
      <c r="BGT43">
        <f t="shared" si="64"/>
        <v>0</v>
      </c>
      <c r="BGU43">
        <f t="shared" si="64"/>
        <v>0</v>
      </c>
      <c r="BGV43">
        <f t="shared" si="64"/>
        <v>0</v>
      </c>
      <c r="BGW43">
        <f t="shared" si="64"/>
        <v>0</v>
      </c>
      <c r="BGX43">
        <f t="shared" si="64"/>
        <v>0</v>
      </c>
      <c r="BGY43">
        <f t="shared" si="64"/>
        <v>0</v>
      </c>
      <c r="BGZ43">
        <f t="shared" si="64"/>
        <v>0</v>
      </c>
      <c r="BHA43">
        <f t="shared" si="64"/>
        <v>0</v>
      </c>
      <c r="BHB43">
        <f t="shared" si="64"/>
        <v>0</v>
      </c>
      <c r="BHC43">
        <f t="shared" si="64"/>
        <v>0</v>
      </c>
      <c r="BHD43">
        <f t="shared" si="64"/>
        <v>0</v>
      </c>
      <c r="BHE43">
        <f t="shared" si="64"/>
        <v>0</v>
      </c>
      <c r="BHF43">
        <f t="shared" si="64"/>
        <v>0</v>
      </c>
      <c r="BHG43">
        <f t="shared" si="64"/>
        <v>0</v>
      </c>
      <c r="BHH43">
        <f t="shared" si="64"/>
        <v>0</v>
      </c>
      <c r="BHI43">
        <f t="shared" si="64"/>
        <v>0</v>
      </c>
      <c r="BHJ43">
        <f t="shared" si="64"/>
        <v>0</v>
      </c>
      <c r="BHK43">
        <f t="shared" si="64"/>
        <v>0</v>
      </c>
      <c r="BHL43">
        <f t="shared" si="64"/>
        <v>0</v>
      </c>
      <c r="BHM43">
        <f t="shared" si="64"/>
        <v>0</v>
      </c>
      <c r="BHN43">
        <f t="shared" si="64"/>
        <v>0</v>
      </c>
      <c r="BHO43">
        <f t="shared" si="64"/>
        <v>0</v>
      </c>
      <c r="BHP43">
        <f t="shared" si="64"/>
        <v>0</v>
      </c>
      <c r="BHQ43">
        <f t="shared" si="64"/>
        <v>0</v>
      </c>
      <c r="BHR43">
        <f t="shared" si="64"/>
        <v>0</v>
      </c>
      <c r="BHS43">
        <f t="shared" si="64"/>
        <v>0</v>
      </c>
      <c r="BHT43">
        <f t="shared" si="64"/>
        <v>0</v>
      </c>
      <c r="BHU43">
        <f t="shared" si="64"/>
        <v>0</v>
      </c>
      <c r="BHV43">
        <f t="shared" si="64"/>
        <v>0</v>
      </c>
      <c r="BHW43">
        <f t="shared" si="64"/>
        <v>0</v>
      </c>
      <c r="BHX43">
        <f t="shared" si="64"/>
        <v>0</v>
      </c>
      <c r="BHY43">
        <f t="shared" si="64"/>
        <v>0</v>
      </c>
      <c r="BHZ43">
        <f t="shared" si="64"/>
        <v>0</v>
      </c>
      <c r="BIA43">
        <f t="shared" si="64"/>
        <v>0</v>
      </c>
      <c r="BIB43">
        <f t="shared" si="64"/>
        <v>0</v>
      </c>
      <c r="BIC43">
        <f t="shared" si="64"/>
        <v>0</v>
      </c>
      <c r="BID43">
        <f t="shared" si="64"/>
        <v>0</v>
      </c>
      <c r="BIE43">
        <f t="shared" si="64"/>
        <v>0</v>
      </c>
      <c r="BIF43">
        <f t="shared" si="64"/>
        <v>0</v>
      </c>
      <c r="BIG43">
        <f t="shared" si="64"/>
        <v>0</v>
      </c>
      <c r="BIH43">
        <f t="shared" si="64"/>
        <v>0</v>
      </c>
      <c r="BII43">
        <f t="shared" si="64"/>
        <v>0</v>
      </c>
      <c r="BIJ43">
        <f t="shared" si="64"/>
        <v>0</v>
      </c>
      <c r="BIK43">
        <f t="shared" si="64"/>
        <v>0</v>
      </c>
      <c r="BIL43">
        <f t="shared" si="65"/>
        <v>0</v>
      </c>
      <c r="BIM43">
        <f t="shared" si="65"/>
        <v>0</v>
      </c>
      <c r="BIN43">
        <f t="shared" si="65"/>
        <v>0</v>
      </c>
      <c r="BIO43">
        <f t="shared" si="65"/>
        <v>0</v>
      </c>
      <c r="BIP43">
        <f t="shared" si="65"/>
        <v>0</v>
      </c>
      <c r="BIQ43">
        <f t="shared" si="65"/>
        <v>0</v>
      </c>
      <c r="BIR43">
        <f t="shared" si="65"/>
        <v>0</v>
      </c>
      <c r="BIS43">
        <f t="shared" si="65"/>
        <v>0</v>
      </c>
      <c r="BIT43">
        <f t="shared" si="65"/>
        <v>0</v>
      </c>
      <c r="BIU43">
        <f t="shared" si="65"/>
        <v>0</v>
      </c>
      <c r="BIV43">
        <f t="shared" si="65"/>
        <v>0</v>
      </c>
      <c r="BIW43">
        <f t="shared" si="65"/>
        <v>0</v>
      </c>
      <c r="BIX43">
        <f t="shared" si="65"/>
        <v>0</v>
      </c>
      <c r="BIY43">
        <f t="shared" si="65"/>
        <v>0</v>
      </c>
      <c r="BIZ43">
        <f t="shared" si="65"/>
        <v>0</v>
      </c>
      <c r="BJA43">
        <f t="shared" si="65"/>
        <v>0</v>
      </c>
      <c r="BJB43">
        <f t="shared" si="65"/>
        <v>0</v>
      </c>
      <c r="BJC43">
        <f t="shared" si="65"/>
        <v>0</v>
      </c>
      <c r="BJD43">
        <f t="shared" si="65"/>
        <v>0</v>
      </c>
      <c r="BJE43">
        <f t="shared" si="65"/>
        <v>0</v>
      </c>
      <c r="BJF43">
        <f t="shared" si="65"/>
        <v>0</v>
      </c>
      <c r="BJG43">
        <f t="shared" si="65"/>
        <v>0</v>
      </c>
      <c r="BJH43">
        <f t="shared" si="65"/>
        <v>0</v>
      </c>
      <c r="BJI43">
        <f t="shared" si="65"/>
        <v>0</v>
      </c>
      <c r="BJJ43">
        <f t="shared" si="65"/>
        <v>0</v>
      </c>
      <c r="BJK43">
        <f t="shared" si="65"/>
        <v>0</v>
      </c>
      <c r="BJL43">
        <f t="shared" si="65"/>
        <v>0</v>
      </c>
      <c r="BJM43">
        <f t="shared" si="65"/>
        <v>0</v>
      </c>
      <c r="BJN43">
        <f t="shared" si="65"/>
        <v>0</v>
      </c>
      <c r="BJO43">
        <f t="shared" si="65"/>
        <v>0</v>
      </c>
      <c r="BJP43">
        <f t="shared" si="65"/>
        <v>0</v>
      </c>
      <c r="BJQ43">
        <f t="shared" si="65"/>
        <v>0</v>
      </c>
      <c r="BJR43">
        <f t="shared" si="65"/>
        <v>0</v>
      </c>
      <c r="BJS43">
        <f t="shared" si="65"/>
        <v>0</v>
      </c>
      <c r="BJT43">
        <f t="shared" si="65"/>
        <v>0</v>
      </c>
      <c r="BJU43">
        <f t="shared" si="65"/>
        <v>0</v>
      </c>
      <c r="BJV43">
        <f t="shared" si="65"/>
        <v>0</v>
      </c>
      <c r="BJW43">
        <f t="shared" si="65"/>
        <v>0</v>
      </c>
      <c r="BJX43">
        <f t="shared" si="65"/>
        <v>0</v>
      </c>
      <c r="BJY43">
        <f t="shared" si="65"/>
        <v>0</v>
      </c>
      <c r="BJZ43">
        <f t="shared" si="65"/>
        <v>0</v>
      </c>
      <c r="BKA43">
        <f t="shared" si="65"/>
        <v>0</v>
      </c>
      <c r="BKB43">
        <f t="shared" si="65"/>
        <v>0</v>
      </c>
      <c r="BKC43">
        <f t="shared" si="65"/>
        <v>0</v>
      </c>
      <c r="BKD43">
        <f t="shared" si="65"/>
        <v>0</v>
      </c>
      <c r="BKE43">
        <f t="shared" si="65"/>
        <v>0</v>
      </c>
      <c r="BKF43">
        <f t="shared" si="65"/>
        <v>0</v>
      </c>
      <c r="BKG43">
        <f t="shared" si="65"/>
        <v>0</v>
      </c>
      <c r="BKH43">
        <f t="shared" si="65"/>
        <v>0</v>
      </c>
      <c r="BKI43">
        <f t="shared" si="65"/>
        <v>0</v>
      </c>
      <c r="BKJ43">
        <f t="shared" si="65"/>
        <v>0</v>
      </c>
      <c r="BKK43">
        <f t="shared" si="65"/>
        <v>0</v>
      </c>
      <c r="BKL43">
        <f t="shared" si="65"/>
        <v>0</v>
      </c>
      <c r="BKM43">
        <f t="shared" si="65"/>
        <v>0</v>
      </c>
      <c r="BKN43">
        <f t="shared" si="65"/>
        <v>0</v>
      </c>
      <c r="BKO43">
        <f t="shared" si="65"/>
        <v>0</v>
      </c>
      <c r="BKP43">
        <f t="shared" si="65"/>
        <v>0</v>
      </c>
      <c r="BKQ43">
        <f t="shared" si="65"/>
        <v>0</v>
      </c>
      <c r="BKR43">
        <f t="shared" si="65"/>
        <v>0</v>
      </c>
      <c r="BKS43">
        <f t="shared" si="65"/>
        <v>0</v>
      </c>
      <c r="BKT43">
        <f t="shared" si="65"/>
        <v>0</v>
      </c>
      <c r="BKU43">
        <f t="shared" si="65"/>
        <v>0</v>
      </c>
      <c r="BKV43">
        <f t="shared" si="65"/>
        <v>0</v>
      </c>
      <c r="BKW43">
        <f t="shared" si="65"/>
        <v>0</v>
      </c>
      <c r="BKX43">
        <f t="shared" si="66"/>
        <v>0</v>
      </c>
      <c r="BKY43">
        <f t="shared" si="66"/>
        <v>0</v>
      </c>
      <c r="BKZ43">
        <f t="shared" si="66"/>
        <v>0</v>
      </c>
      <c r="BLA43">
        <f t="shared" si="66"/>
        <v>0</v>
      </c>
      <c r="BLB43">
        <f t="shared" si="66"/>
        <v>0</v>
      </c>
      <c r="BLC43">
        <f t="shared" si="66"/>
        <v>0</v>
      </c>
      <c r="BLD43">
        <f t="shared" si="66"/>
        <v>0</v>
      </c>
      <c r="BLE43">
        <f t="shared" si="66"/>
        <v>0</v>
      </c>
      <c r="BLF43">
        <f t="shared" si="66"/>
        <v>0</v>
      </c>
      <c r="BLG43">
        <f t="shared" si="66"/>
        <v>0</v>
      </c>
      <c r="BLH43">
        <f t="shared" si="66"/>
        <v>0</v>
      </c>
      <c r="BLI43">
        <f t="shared" si="66"/>
        <v>0</v>
      </c>
      <c r="BLJ43">
        <f t="shared" si="66"/>
        <v>0</v>
      </c>
      <c r="BLK43">
        <f t="shared" si="66"/>
        <v>0</v>
      </c>
      <c r="BLL43">
        <f t="shared" si="66"/>
        <v>0</v>
      </c>
      <c r="BLM43">
        <f t="shared" si="66"/>
        <v>0</v>
      </c>
      <c r="BLN43">
        <f t="shared" si="66"/>
        <v>0</v>
      </c>
      <c r="BLO43">
        <f t="shared" si="66"/>
        <v>0</v>
      </c>
      <c r="BLP43">
        <f t="shared" si="66"/>
        <v>0</v>
      </c>
      <c r="BLQ43">
        <f t="shared" si="66"/>
        <v>0</v>
      </c>
      <c r="BLR43">
        <f t="shared" si="66"/>
        <v>0</v>
      </c>
      <c r="BLS43">
        <f t="shared" si="66"/>
        <v>0</v>
      </c>
      <c r="BLT43">
        <f t="shared" si="66"/>
        <v>0</v>
      </c>
      <c r="BLU43">
        <f t="shared" si="66"/>
        <v>0</v>
      </c>
      <c r="BLV43">
        <f t="shared" si="66"/>
        <v>0</v>
      </c>
      <c r="BLW43">
        <f t="shared" si="66"/>
        <v>0</v>
      </c>
      <c r="BLX43">
        <f t="shared" si="66"/>
        <v>0</v>
      </c>
      <c r="BLY43">
        <f t="shared" si="66"/>
        <v>0</v>
      </c>
      <c r="BLZ43">
        <f t="shared" si="66"/>
        <v>0</v>
      </c>
      <c r="BMA43">
        <f t="shared" si="66"/>
        <v>0</v>
      </c>
      <c r="BMB43">
        <f t="shared" si="66"/>
        <v>0</v>
      </c>
      <c r="BMC43">
        <f t="shared" si="66"/>
        <v>0</v>
      </c>
      <c r="BMD43">
        <f t="shared" si="66"/>
        <v>0</v>
      </c>
      <c r="BME43">
        <f t="shared" si="66"/>
        <v>0</v>
      </c>
      <c r="BMF43">
        <f t="shared" si="66"/>
        <v>0</v>
      </c>
      <c r="BMG43">
        <f t="shared" si="66"/>
        <v>0</v>
      </c>
      <c r="BMH43">
        <f t="shared" si="66"/>
        <v>0</v>
      </c>
      <c r="BMI43">
        <f t="shared" si="66"/>
        <v>0</v>
      </c>
      <c r="BMJ43">
        <f t="shared" si="66"/>
        <v>0</v>
      </c>
      <c r="BMK43">
        <f t="shared" si="66"/>
        <v>0</v>
      </c>
      <c r="BML43">
        <f t="shared" si="66"/>
        <v>0</v>
      </c>
      <c r="BMM43">
        <f t="shared" si="66"/>
        <v>0</v>
      </c>
      <c r="BMN43">
        <f t="shared" si="66"/>
        <v>0</v>
      </c>
      <c r="BMO43">
        <f t="shared" si="66"/>
        <v>0</v>
      </c>
      <c r="BMP43">
        <f t="shared" si="66"/>
        <v>0</v>
      </c>
      <c r="BMQ43">
        <f t="shared" si="66"/>
        <v>0</v>
      </c>
      <c r="BMR43">
        <f t="shared" si="66"/>
        <v>0</v>
      </c>
      <c r="BMS43">
        <f t="shared" si="66"/>
        <v>0</v>
      </c>
      <c r="BMT43">
        <f t="shared" si="66"/>
        <v>0</v>
      </c>
      <c r="BMU43">
        <f t="shared" si="66"/>
        <v>0</v>
      </c>
      <c r="BMV43">
        <f t="shared" si="66"/>
        <v>0</v>
      </c>
      <c r="BMW43">
        <f t="shared" si="66"/>
        <v>0</v>
      </c>
      <c r="BMX43">
        <f t="shared" si="66"/>
        <v>0</v>
      </c>
      <c r="BMY43">
        <f t="shared" si="66"/>
        <v>0</v>
      </c>
      <c r="BMZ43">
        <f t="shared" si="66"/>
        <v>0</v>
      </c>
      <c r="BNA43">
        <f t="shared" si="66"/>
        <v>0</v>
      </c>
      <c r="BNB43">
        <f t="shared" si="66"/>
        <v>0</v>
      </c>
      <c r="BNC43">
        <f t="shared" si="66"/>
        <v>0</v>
      </c>
      <c r="BND43">
        <f t="shared" si="66"/>
        <v>0</v>
      </c>
      <c r="BNE43">
        <f t="shared" si="66"/>
        <v>0</v>
      </c>
      <c r="BNF43">
        <f t="shared" si="66"/>
        <v>0</v>
      </c>
      <c r="BNG43">
        <f t="shared" si="66"/>
        <v>0</v>
      </c>
      <c r="BNH43">
        <f t="shared" si="66"/>
        <v>0</v>
      </c>
      <c r="BNI43">
        <f t="shared" si="66"/>
        <v>0</v>
      </c>
      <c r="BNJ43">
        <f t="shared" si="67"/>
        <v>0</v>
      </c>
      <c r="BNK43">
        <f t="shared" si="67"/>
        <v>0</v>
      </c>
      <c r="BNL43">
        <f t="shared" si="67"/>
        <v>0</v>
      </c>
      <c r="BNM43">
        <f t="shared" si="67"/>
        <v>0</v>
      </c>
      <c r="BNN43">
        <f t="shared" si="67"/>
        <v>0</v>
      </c>
      <c r="BNO43">
        <f t="shared" si="67"/>
        <v>0</v>
      </c>
      <c r="BNP43">
        <f t="shared" si="67"/>
        <v>0</v>
      </c>
      <c r="BNQ43">
        <f t="shared" si="67"/>
        <v>0</v>
      </c>
      <c r="BNR43">
        <f t="shared" si="67"/>
        <v>0</v>
      </c>
      <c r="BNS43">
        <f t="shared" si="67"/>
        <v>0</v>
      </c>
      <c r="BNT43">
        <f t="shared" si="67"/>
        <v>0</v>
      </c>
      <c r="BNU43">
        <f t="shared" si="67"/>
        <v>0</v>
      </c>
      <c r="BNV43">
        <f t="shared" si="67"/>
        <v>0</v>
      </c>
      <c r="BNW43">
        <f t="shared" si="67"/>
        <v>0</v>
      </c>
      <c r="BNX43">
        <f t="shared" si="67"/>
        <v>0</v>
      </c>
      <c r="BNY43">
        <f t="shared" si="67"/>
        <v>0</v>
      </c>
      <c r="BNZ43">
        <f t="shared" si="67"/>
        <v>0</v>
      </c>
      <c r="BOA43">
        <f t="shared" si="67"/>
        <v>0</v>
      </c>
      <c r="BOB43">
        <f t="shared" si="67"/>
        <v>0</v>
      </c>
      <c r="BOC43">
        <f t="shared" si="67"/>
        <v>0</v>
      </c>
      <c r="BOD43">
        <f t="shared" si="67"/>
        <v>0</v>
      </c>
      <c r="BOE43">
        <f t="shared" si="67"/>
        <v>0</v>
      </c>
      <c r="BOF43">
        <f t="shared" si="67"/>
        <v>0</v>
      </c>
      <c r="BOG43">
        <f t="shared" si="67"/>
        <v>0</v>
      </c>
      <c r="BOH43">
        <f t="shared" si="67"/>
        <v>0</v>
      </c>
      <c r="BOI43">
        <f t="shared" si="67"/>
        <v>0</v>
      </c>
      <c r="BOJ43">
        <f t="shared" si="67"/>
        <v>0</v>
      </c>
      <c r="BOK43">
        <f t="shared" si="67"/>
        <v>0</v>
      </c>
      <c r="BOL43">
        <f t="shared" si="67"/>
        <v>0</v>
      </c>
      <c r="BOM43">
        <f t="shared" si="67"/>
        <v>0</v>
      </c>
      <c r="BON43">
        <f t="shared" si="67"/>
        <v>0</v>
      </c>
      <c r="BOO43">
        <f t="shared" si="67"/>
        <v>0</v>
      </c>
      <c r="BOP43">
        <f t="shared" si="67"/>
        <v>0</v>
      </c>
      <c r="BOQ43">
        <f t="shared" si="67"/>
        <v>0</v>
      </c>
      <c r="BOR43">
        <f t="shared" si="67"/>
        <v>0</v>
      </c>
      <c r="BOS43">
        <f t="shared" si="67"/>
        <v>0</v>
      </c>
      <c r="BOT43">
        <f t="shared" si="67"/>
        <v>0</v>
      </c>
      <c r="BOU43">
        <f t="shared" si="67"/>
        <v>0</v>
      </c>
      <c r="BOV43">
        <f t="shared" si="67"/>
        <v>0</v>
      </c>
      <c r="BOW43">
        <f t="shared" si="67"/>
        <v>0</v>
      </c>
      <c r="BOX43">
        <f t="shared" si="67"/>
        <v>0</v>
      </c>
      <c r="BOY43">
        <f t="shared" si="67"/>
        <v>0</v>
      </c>
      <c r="BOZ43">
        <f t="shared" si="67"/>
        <v>0</v>
      </c>
      <c r="BPA43">
        <f t="shared" si="67"/>
        <v>0</v>
      </c>
      <c r="BPB43">
        <f t="shared" si="67"/>
        <v>0</v>
      </c>
      <c r="BPC43">
        <f t="shared" si="67"/>
        <v>0</v>
      </c>
      <c r="BPD43">
        <f t="shared" si="67"/>
        <v>0</v>
      </c>
      <c r="BPE43">
        <f t="shared" si="67"/>
        <v>0</v>
      </c>
      <c r="BPF43">
        <f t="shared" si="67"/>
        <v>0</v>
      </c>
      <c r="BPG43">
        <f t="shared" si="67"/>
        <v>0</v>
      </c>
      <c r="BPH43">
        <f t="shared" si="67"/>
        <v>0</v>
      </c>
      <c r="BPI43">
        <f t="shared" si="67"/>
        <v>0</v>
      </c>
      <c r="BPJ43">
        <f t="shared" si="67"/>
        <v>0</v>
      </c>
      <c r="BPK43">
        <f t="shared" si="67"/>
        <v>0</v>
      </c>
      <c r="BPL43">
        <f t="shared" si="67"/>
        <v>0</v>
      </c>
      <c r="BPM43">
        <f t="shared" si="67"/>
        <v>0</v>
      </c>
      <c r="BPN43">
        <f t="shared" si="67"/>
        <v>0</v>
      </c>
      <c r="BPO43">
        <f t="shared" si="67"/>
        <v>0</v>
      </c>
      <c r="BPP43">
        <f t="shared" si="67"/>
        <v>0</v>
      </c>
      <c r="BPQ43">
        <f t="shared" si="67"/>
        <v>0</v>
      </c>
      <c r="BPR43">
        <f t="shared" si="67"/>
        <v>0</v>
      </c>
      <c r="BPS43">
        <f t="shared" si="67"/>
        <v>0</v>
      </c>
      <c r="BPT43">
        <f t="shared" si="67"/>
        <v>0</v>
      </c>
      <c r="BPU43">
        <f t="shared" si="67"/>
        <v>0</v>
      </c>
      <c r="BPV43">
        <f t="shared" si="68"/>
        <v>0</v>
      </c>
      <c r="BPW43">
        <f t="shared" si="68"/>
        <v>0</v>
      </c>
      <c r="BPX43">
        <f t="shared" si="68"/>
        <v>0</v>
      </c>
      <c r="BPY43">
        <f t="shared" si="68"/>
        <v>0</v>
      </c>
      <c r="BPZ43">
        <f t="shared" si="68"/>
        <v>0</v>
      </c>
      <c r="BQA43">
        <f t="shared" si="68"/>
        <v>0</v>
      </c>
      <c r="BQB43">
        <f t="shared" si="68"/>
        <v>0</v>
      </c>
      <c r="BQC43">
        <f t="shared" si="68"/>
        <v>0</v>
      </c>
      <c r="BQD43">
        <f t="shared" si="68"/>
        <v>0</v>
      </c>
      <c r="BQE43">
        <f t="shared" si="68"/>
        <v>0</v>
      </c>
      <c r="BQF43">
        <f t="shared" si="68"/>
        <v>0</v>
      </c>
      <c r="BQG43">
        <f t="shared" si="68"/>
        <v>0</v>
      </c>
      <c r="BQH43">
        <f t="shared" si="68"/>
        <v>0</v>
      </c>
      <c r="BQI43">
        <f t="shared" si="68"/>
        <v>0</v>
      </c>
      <c r="BQJ43">
        <f t="shared" si="68"/>
        <v>0</v>
      </c>
      <c r="BQK43">
        <f t="shared" si="68"/>
        <v>0</v>
      </c>
      <c r="BQL43">
        <f t="shared" si="68"/>
        <v>0</v>
      </c>
      <c r="BQM43">
        <f t="shared" si="68"/>
        <v>0</v>
      </c>
      <c r="BQN43">
        <f t="shared" si="68"/>
        <v>0</v>
      </c>
      <c r="BQO43">
        <f t="shared" si="68"/>
        <v>0</v>
      </c>
      <c r="BQP43">
        <f t="shared" si="68"/>
        <v>0</v>
      </c>
      <c r="BQQ43">
        <f t="shared" si="68"/>
        <v>0</v>
      </c>
      <c r="BQR43">
        <f t="shared" si="68"/>
        <v>0</v>
      </c>
      <c r="BQS43">
        <f t="shared" si="68"/>
        <v>0</v>
      </c>
      <c r="BQT43">
        <f t="shared" si="68"/>
        <v>0</v>
      </c>
      <c r="BQU43">
        <f t="shared" si="68"/>
        <v>0</v>
      </c>
      <c r="BQV43">
        <f t="shared" si="68"/>
        <v>0</v>
      </c>
      <c r="BQW43">
        <f t="shared" si="68"/>
        <v>0</v>
      </c>
      <c r="BQX43">
        <f t="shared" si="68"/>
        <v>0</v>
      </c>
      <c r="BQY43">
        <f t="shared" si="68"/>
        <v>0</v>
      </c>
      <c r="BQZ43">
        <f t="shared" si="68"/>
        <v>0</v>
      </c>
      <c r="BRA43">
        <f t="shared" si="68"/>
        <v>0</v>
      </c>
      <c r="BRB43">
        <f t="shared" si="68"/>
        <v>0</v>
      </c>
      <c r="BRC43">
        <f t="shared" si="68"/>
        <v>0</v>
      </c>
      <c r="BRD43">
        <f t="shared" si="68"/>
        <v>0</v>
      </c>
      <c r="BRE43">
        <f t="shared" si="68"/>
        <v>0</v>
      </c>
      <c r="BRF43">
        <f t="shared" si="68"/>
        <v>0</v>
      </c>
      <c r="BRG43">
        <f t="shared" si="68"/>
        <v>0</v>
      </c>
      <c r="BRH43">
        <f t="shared" si="68"/>
        <v>0</v>
      </c>
      <c r="BRI43">
        <f t="shared" si="68"/>
        <v>0</v>
      </c>
      <c r="BRJ43">
        <f t="shared" si="68"/>
        <v>0</v>
      </c>
      <c r="BRK43">
        <f t="shared" si="68"/>
        <v>0</v>
      </c>
      <c r="BRL43">
        <f t="shared" si="68"/>
        <v>0</v>
      </c>
      <c r="BRM43">
        <f t="shared" si="68"/>
        <v>0</v>
      </c>
      <c r="BRN43">
        <f t="shared" si="68"/>
        <v>0</v>
      </c>
      <c r="BRO43">
        <f t="shared" si="68"/>
        <v>0</v>
      </c>
      <c r="BRP43">
        <f t="shared" si="68"/>
        <v>0</v>
      </c>
      <c r="BRQ43">
        <f t="shared" si="68"/>
        <v>0</v>
      </c>
      <c r="BRR43">
        <f t="shared" si="68"/>
        <v>0</v>
      </c>
      <c r="BRS43">
        <f t="shared" si="68"/>
        <v>0</v>
      </c>
      <c r="BRT43">
        <f t="shared" si="68"/>
        <v>0</v>
      </c>
      <c r="BRU43">
        <f t="shared" si="68"/>
        <v>0</v>
      </c>
      <c r="BRV43">
        <f t="shared" si="68"/>
        <v>0</v>
      </c>
      <c r="BRW43">
        <f t="shared" si="68"/>
        <v>0</v>
      </c>
      <c r="BRX43">
        <f t="shared" si="68"/>
        <v>0</v>
      </c>
      <c r="BRY43">
        <f t="shared" si="68"/>
        <v>0</v>
      </c>
      <c r="BRZ43">
        <f t="shared" si="68"/>
        <v>0</v>
      </c>
      <c r="BSA43">
        <f t="shared" si="68"/>
        <v>0</v>
      </c>
      <c r="BSB43">
        <f t="shared" si="68"/>
        <v>0</v>
      </c>
      <c r="BSC43">
        <f t="shared" si="68"/>
        <v>0</v>
      </c>
      <c r="BSD43">
        <f t="shared" si="68"/>
        <v>0</v>
      </c>
      <c r="BSE43">
        <f t="shared" si="68"/>
        <v>0</v>
      </c>
      <c r="BSF43">
        <f t="shared" si="68"/>
        <v>0</v>
      </c>
      <c r="BSG43">
        <f t="shared" si="68"/>
        <v>0</v>
      </c>
      <c r="BSH43">
        <f t="shared" si="69"/>
        <v>0</v>
      </c>
      <c r="BSI43">
        <f t="shared" si="69"/>
        <v>0</v>
      </c>
      <c r="BSJ43">
        <f t="shared" si="69"/>
        <v>0</v>
      </c>
      <c r="BSK43">
        <f t="shared" si="69"/>
        <v>0</v>
      </c>
      <c r="BSL43">
        <f t="shared" si="69"/>
        <v>0</v>
      </c>
      <c r="BSM43">
        <f t="shared" si="69"/>
        <v>0</v>
      </c>
      <c r="BSN43">
        <f t="shared" si="69"/>
        <v>0</v>
      </c>
      <c r="BSO43">
        <f t="shared" si="69"/>
        <v>0</v>
      </c>
      <c r="BSP43">
        <f t="shared" si="69"/>
        <v>0</v>
      </c>
      <c r="BSQ43">
        <f t="shared" si="69"/>
        <v>0</v>
      </c>
      <c r="BSR43">
        <f t="shared" si="69"/>
        <v>0</v>
      </c>
      <c r="BSS43">
        <f t="shared" si="69"/>
        <v>0</v>
      </c>
      <c r="BST43">
        <f t="shared" si="69"/>
        <v>0</v>
      </c>
      <c r="BSU43">
        <f t="shared" si="69"/>
        <v>0</v>
      </c>
      <c r="BSV43">
        <f t="shared" si="69"/>
        <v>0</v>
      </c>
      <c r="BSW43">
        <f t="shared" si="69"/>
        <v>0</v>
      </c>
      <c r="BSX43">
        <f t="shared" si="69"/>
        <v>0</v>
      </c>
      <c r="BSY43">
        <f t="shared" si="69"/>
        <v>0</v>
      </c>
      <c r="BSZ43">
        <f t="shared" si="69"/>
        <v>0</v>
      </c>
      <c r="BTA43">
        <f t="shared" si="69"/>
        <v>0</v>
      </c>
      <c r="BTB43">
        <f t="shared" si="69"/>
        <v>0</v>
      </c>
      <c r="BTC43">
        <f t="shared" si="69"/>
        <v>0</v>
      </c>
      <c r="BTD43">
        <f t="shared" si="69"/>
        <v>0</v>
      </c>
      <c r="BTE43">
        <f t="shared" si="69"/>
        <v>0</v>
      </c>
      <c r="BTF43">
        <f t="shared" si="69"/>
        <v>0</v>
      </c>
      <c r="BTG43">
        <f t="shared" si="69"/>
        <v>0</v>
      </c>
      <c r="BTH43">
        <f t="shared" si="69"/>
        <v>0</v>
      </c>
      <c r="BTI43">
        <f t="shared" si="69"/>
        <v>0</v>
      </c>
      <c r="BTJ43">
        <f t="shared" si="69"/>
        <v>0</v>
      </c>
      <c r="BTK43">
        <f t="shared" si="69"/>
        <v>0</v>
      </c>
      <c r="BTL43">
        <f t="shared" si="69"/>
        <v>0</v>
      </c>
      <c r="BTM43">
        <f t="shared" si="69"/>
        <v>0</v>
      </c>
      <c r="BTN43">
        <f t="shared" si="69"/>
        <v>0</v>
      </c>
      <c r="BTO43">
        <f t="shared" si="69"/>
        <v>0</v>
      </c>
      <c r="BTP43">
        <f t="shared" si="69"/>
        <v>0</v>
      </c>
      <c r="BTQ43">
        <f t="shared" si="69"/>
        <v>0</v>
      </c>
      <c r="BTR43">
        <f t="shared" si="69"/>
        <v>0</v>
      </c>
      <c r="BTS43">
        <f t="shared" si="69"/>
        <v>0</v>
      </c>
      <c r="BTT43">
        <f t="shared" si="69"/>
        <v>0</v>
      </c>
      <c r="BTU43">
        <f t="shared" si="69"/>
        <v>0</v>
      </c>
      <c r="BTV43">
        <f t="shared" si="69"/>
        <v>0</v>
      </c>
      <c r="BTW43">
        <f t="shared" si="69"/>
        <v>0</v>
      </c>
      <c r="BTX43">
        <f t="shared" si="69"/>
        <v>0</v>
      </c>
      <c r="BTY43">
        <f t="shared" si="69"/>
        <v>0</v>
      </c>
      <c r="BTZ43">
        <f t="shared" si="69"/>
        <v>0</v>
      </c>
      <c r="BUA43">
        <f t="shared" si="69"/>
        <v>0</v>
      </c>
      <c r="BUB43">
        <f t="shared" si="69"/>
        <v>0</v>
      </c>
      <c r="BUC43">
        <f t="shared" si="69"/>
        <v>0</v>
      </c>
      <c r="BUD43">
        <f t="shared" si="69"/>
        <v>0</v>
      </c>
      <c r="BUE43">
        <f t="shared" si="69"/>
        <v>0</v>
      </c>
      <c r="BUF43">
        <f t="shared" si="69"/>
        <v>0</v>
      </c>
      <c r="BUG43">
        <f t="shared" si="69"/>
        <v>0</v>
      </c>
      <c r="BUH43">
        <f t="shared" si="69"/>
        <v>0</v>
      </c>
      <c r="BUI43">
        <f t="shared" si="69"/>
        <v>0</v>
      </c>
      <c r="BUJ43">
        <f t="shared" si="69"/>
        <v>0</v>
      </c>
      <c r="BUK43">
        <f t="shared" si="69"/>
        <v>0</v>
      </c>
      <c r="BUL43">
        <f t="shared" si="69"/>
        <v>0</v>
      </c>
      <c r="BUM43">
        <f t="shared" si="69"/>
        <v>0</v>
      </c>
      <c r="BUN43">
        <f t="shared" si="69"/>
        <v>0</v>
      </c>
      <c r="BUO43">
        <f t="shared" si="69"/>
        <v>0</v>
      </c>
      <c r="BUP43">
        <f t="shared" si="69"/>
        <v>0</v>
      </c>
      <c r="BUQ43">
        <f t="shared" si="69"/>
        <v>0</v>
      </c>
      <c r="BUR43">
        <f t="shared" si="69"/>
        <v>0</v>
      </c>
      <c r="BUS43">
        <f t="shared" si="69"/>
        <v>0</v>
      </c>
      <c r="BUT43">
        <f t="shared" si="70"/>
        <v>0</v>
      </c>
      <c r="BUU43">
        <f t="shared" si="70"/>
        <v>0</v>
      </c>
      <c r="BUV43">
        <f t="shared" si="70"/>
        <v>0</v>
      </c>
      <c r="BUW43">
        <f t="shared" si="70"/>
        <v>0</v>
      </c>
      <c r="BUX43">
        <f t="shared" si="70"/>
        <v>0</v>
      </c>
      <c r="BUY43">
        <f t="shared" si="70"/>
        <v>0</v>
      </c>
      <c r="BUZ43">
        <f t="shared" si="70"/>
        <v>0</v>
      </c>
      <c r="BVA43">
        <f t="shared" si="70"/>
        <v>0</v>
      </c>
      <c r="BVB43">
        <f t="shared" si="70"/>
        <v>0</v>
      </c>
      <c r="BVC43">
        <f t="shared" si="70"/>
        <v>0</v>
      </c>
      <c r="BVD43">
        <f t="shared" si="70"/>
        <v>0</v>
      </c>
      <c r="BVE43">
        <f t="shared" si="70"/>
        <v>0</v>
      </c>
      <c r="BVF43">
        <f t="shared" si="70"/>
        <v>0</v>
      </c>
      <c r="BVG43">
        <f t="shared" si="70"/>
        <v>0</v>
      </c>
      <c r="BVH43">
        <f t="shared" si="70"/>
        <v>0</v>
      </c>
      <c r="BVI43">
        <f t="shared" si="70"/>
        <v>0</v>
      </c>
      <c r="BVJ43">
        <f t="shared" si="70"/>
        <v>0</v>
      </c>
      <c r="BVK43">
        <f t="shared" si="70"/>
        <v>0</v>
      </c>
      <c r="BVL43">
        <f t="shared" si="70"/>
        <v>0</v>
      </c>
      <c r="BVM43">
        <f t="shared" si="70"/>
        <v>0</v>
      </c>
      <c r="BVN43">
        <f t="shared" si="70"/>
        <v>0</v>
      </c>
      <c r="BVO43">
        <f t="shared" si="70"/>
        <v>0</v>
      </c>
      <c r="BVP43">
        <f t="shared" si="70"/>
        <v>0</v>
      </c>
      <c r="BVQ43">
        <f t="shared" si="70"/>
        <v>0</v>
      </c>
      <c r="BVR43">
        <f t="shared" si="70"/>
        <v>0</v>
      </c>
      <c r="BVS43">
        <f t="shared" si="70"/>
        <v>0</v>
      </c>
      <c r="BVT43">
        <f t="shared" si="70"/>
        <v>0</v>
      </c>
      <c r="BVU43">
        <f t="shared" si="70"/>
        <v>0</v>
      </c>
      <c r="BVV43">
        <f t="shared" si="70"/>
        <v>0</v>
      </c>
      <c r="BVW43">
        <f t="shared" si="70"/>
        <v>0</v>
      </c>
      <c r="BVX43">
        <f t="shared" si="70"/>
        <v>0</v>
      </c>
      <c r="BVY43">
        <f t="shared" si="70"/>
        <v>0</v>
      </c>
      <c r="BVZ43">
        <f t="shared" si="70"/>
        <v>0</v>
      </c>
      <c r="BWA43">
        <f t="shared" si="70"/>
        <v>0</v>
      </c>
      <c r="BWB43">
        <f t="shared" si="70"/>
        <v>0</v>
      </c>
      <c r="BWC43">
        <f t="shared" si="70"/>
        <v>0</v>
      </c>
      <c r="BWD43">
        <f t="shared" si="70"/>
        <v>0</v>
      </c>
      <c r="BWE43">
        <f t="shared" si="70"/>
        <v>0</v>
      </c>
      <c r="BWF43">
        <f t="shared" si="70"/>
        <v>0</v>
      </c>
      <c r="BWG43">
        <f t="shared" si="70"/>
        <v>0</v>
      </c>
      <c r="BWH43">
        <f t="shared" si="70"/>
        <v>0</v>
      </c>
      <c r="BWI43">
        <f t="shared" si="70"/>
        <v>0</v>
      </c>
      <c r="BWJ43">
        <f t="shared" si="70"/>
        <v>0</v>
      </c>
      <c r="BWK43">
        <f t="shared" si="70"/>
        <v>0</v>
      </c>
      <c r="BWL43">
        <f t="shared" si="70"/>
        <v>0</v>
      </c>
      <c r="BWM43">
        <f t="shared" si="70"/>
        <v>0</v>
      </c>
      <c r="BWN43">
        <f t="shared" si="70"/>
        <v>0</v>
      </c>
      <c r="BWO43">
        <f t="shared" si="70"/>
        <v>0</v>
      </c>
      <c r="BWP43">
        <f t="shared" si="70"/>
        <v>0</v>
      </c>
      <c r="BWQ43">
        <f t="shared" si="70"/>
        <v>0</v>
      </c>
      <c r="BWR43">
        <f t="shared" si="70"/>
        <v>0</v>
      </c>
      <c r="BWS43">
        <f t="shared" si="70"/>
        <v>0</v>
      </c>
      <c r="BWT43">
        <f t="shared" si="70"/>
        <v>0</v>
      </c>
      <c r="BWU43">
        <f t="shared" si="70"/>
        <v>0</v>
      </c>
      <c r="BWV43">
        <f t="shared" si="70"/>
        <v>0</v>
      </c>
      <c r="BWW43">
        <f t="shared" si="70"/>
        <v>0</v>
      </c>
      <c r="BWX43">
        <f t="shared" si="70"/>
        <v>0</v>
      </c>
      <c r="BWY43">
        <f t="shared" si="70"/>
        <v>0</v>
      </c>
      <c r="BWZ43">
        <f t="shared" si="70"/>
        <v>0</v>
      </c>
      <c r="BXA43">
        <f t="shared" si="70"/>
        <v>0</v>
      </c>
      <c r="BXB43">
        <f t="shared" si="70"/>
        <v>0</v>
      </c>
      <c r="BXC43">
        <f t="shared" si="70"/>
        <v>0</v>
      </c>
      <c r="BXD43">
        <f t="shared" si="70"/>
        <v>0</v>
      </c>
      <c r="BXE43">
        <f t="shared" si="70"/>
        <v>0</v>
      </c>
      <c r="BXF43">
        <f t="shared" si="71"/>
        <v>0</v>
      </c>
      <c r="BXG43">
        <f t="shared" si="71"/>
        <v>0</v>
      </c>
      <c r="BXH43">
        <f t="shared" si="71"/>
        <v>0</v>
      </c>
      <c r="BXI43">
        <f t="shared" si="71"/>
        <v>0</v>
      </c>
      <c r="BXJ43">
        <f t="shared" si="71"/>
        <v>0</v>
      </c>
      <c r="BXK43">
        <f t="shared" si="71"/>
        <v>0</v>
      </c>
      <c r="BXL43">
        <f t="shared" si="71"/>
        <v>0</v>
      </c>
      <c r="BXM43">
        <f t="shared" si="71"/>
        <v>0</v>
      </c>
      <c r="BXN43">
        <f t="shared" si="71"/>
        <v>0</v>
      </c>
      <c r="BXO43">
        <f t="shared" si="71"/>
        <v>0</v>
      </c>
      <c r="BXP43">
        <f t="shared" si="71"/>
        <v>0</v>
      </c>
      <c r="BXQ43">
        <f t="shared" si="71"/>
        <v>0</v>
      </c>
      <c r="BXR43">
        <f t="shared" si="71"/>
        <v>0</v>
      </c>
      <c r="BXS43">
        <f t="shared" si="71"/>
        <v>0</v>
      </c>
      <c r="BXT43">
        <f t="shared" si="71"/>
        <v>0</v>
      </c>
      <c r="BXU43">
        <f t="shared" si="71"/>
        <v>0</v>
      </c>
      <c r="BXV43">
        <f t="shared" si="71"/>
        <v>0</v>
      </c>
      <c r="BXW43">
        <f t="shared" si="71"/>
        <v>0</v>
      </c>
      <c r="BXX43">
        <f t="shared" si="71"/>
        <v>0</v>
      </c>
      <c r="BXY43">
        <f t="shared" si="71"/>
        <v>0</v>
      </c>
      <c r="BXZ43">
        <f t="shared" si="71"/>
        <v>0</v>
      </c>
      <c r="BYA43">
        <f t="shared" si="71"/>
        <v>0</v>
      </c>
      <c r="BYB43">
        <f t="shared" si="71"/>
        <v>0</v>
      </c>
      <c r="BYC43">
        <f t="shared" si="71"/>
        <v>0</v>
      </c>
      <c r="BYD43">
        <f t="shared" si="71"/>
        <v>0</v>
      </c>
      <c r="BYE43">
        <f t="shared" si="71"/>
        <v>0</v>
      </c>
      <c r="BYF43">
        <f t="shared" si="71"/>
        <v>0</v>
      </c>
      <c r="BYG43">
        <f t="shared" si="71"/>
        <v>0</v>
      </c>
      <c r="BYH43">
        <f t="shared" si="71"/>
        <v>0</v>
      </c>
      <c r="BYI43">
        <f t="shared" si="71"/>
        <v>0</v>
      </c>
      <c r="BYJ43">
        <f t="shared" si="71"/>
        <v>0</v>
      </c>
      <c r="BYK43">
        <f t="shared" si="71"/>
        <v>0</v>
      </c>
      <c r="BYL43">
        <f t="shared" si="71"/>
        <v>0</v>
      </c>
      <c r="BYM43">
        <f t="shared" si="71"/>
        <v>0</v>
      </c>
      <c r="BYN43">
        <f t="shared" si="71"/>
        <v>0</v>
      </c>
      <c r="BYO43">
        <f t="shared" si="71"/>
        <v>0</v>
      </c>
      <c r="BYP43">
        <f t="shared" si="71"/>
        <v>0</v>
      </c>
      <c r="BYQ43">
        <f t="shared" si="71"/>
        <v>0</v>
      </c>
      <c r="BYR43">
        <f t="shared" si="71"/>
        <v>0</v>
      </c>
      <c r="BYS43">
        <f t="shared" si="71"/>
        <v>0</v>
      </c>
      <c r="BYT43">
        <f t="shared" si="71"/>
        <v>0</v>
      </c>
      <c r="BYU43">
        <f t="shared" si="71"/>
        <v>0</v>
      </c>
      <c r="BYV43">
        <f t="shared" si="71"/>
        <v>0</v>
      </c>
      <c r="BYW43">
        <f t="shared" si="71"/>
        <v>0</v>
      </c>
      <c r="BYX43">
        <f t="shared" si="71"/>
        <v>0</v>
      </c>
      <c r="BYY43">
        <f t="shared" si="71"/>
        <v>0</v>
      </c>
      <c r="BYZ43">
        <f t="shared" si="71"/>
        <v>0</v>
      </c>
      <c r="BZA43">
        <f t="shared" si="71"/>
        <v>0</v>
      </c>
      <c r="BZB43">
        <f t="shared" si="71"/>
        <v>0</v>
      </c>
      <c r="BZC43">
        <f t="shared" si="71"/>
        <v>0</v>
      </c>
      <c r="BZD43">
        <f t="shared" si="71"/>
        <v>0</v>
      </c>
      <c r="BZE43">
        <f t="shared" si="71"/>
        <v>0</v>
      </c>
      <c r="BZF43">
        <f t="shared" si="71"/>
        <v>0</v>
      </c>
      <c r="BZG43">
        <f t="shared" si="71"/>
        <v>0</v>
      </c>
      <c r="BZH43">
        <f t="shared" si="71"/>
        <v>0</v>
      </c>
      <c r="BZI43">
        <f t="shared" si="71"/>
        <v>0</v>
      </c>
      <c r="BZJ43">
        <f t="shared" si="71"/>
        <v>0</v>
      </c>
      <c r="BZK43">
        <f t="shared" si="71"/>
        <v>0</v>
      </c>
      <c r="BZL43">
        <f t="shared" si="71"/>
        <v>0</v>
      </c>
      <c r="BZM43">
        <f t="shared" si="71"/>
        <v>0</v>
      </c>
      <c r="BZN43">
        <f t="shared" si="71"/>
        <v>0</v>
      </c>
      <c r="BZO43">
        <f t="shared" si="71"/>
        <v>0</v>
      </c>
      <c r="BZP43">
        <f t="shared" si="71"/>
        <v>0</v>
      </c>
      <c r="BZQ43">
        <f t="shared" si="71"/>
        <v>0</v>
      </c>
      <c r="BZR43">
        <f t="shared" si="72"/>
        <v>0</v>
      </c>
      <c r="BZS43">
        <f t="shared" si="72"/>
        <v>0</v>
      </c>
      <c r="BZT43">
        <f t="shared" si="72"/>
        <v>0</v>
      </c>
      <c r="BZU43">
        <f t="shared" si="72"/>
        <v>0</v>
      </c>
      <c r="BZV43">
        <f t="shared" si="72"/>
        <v>0</v>
      </c>
      <c r="BZW43">
        <f t="shared" si="72"/>
        <v>0</v>
      </c>
      <c r="BZX43">
        <f t="shared" si="72"/>
        <v>0</v>
      </c>
      <c r="BZY43">
        <f t="shared" si="72"/>
        <v>0</v>
      </c>
      <c r="BZZ43">
        <f t="shared" si="72"/>
        <v>0</v>
      </c>
      <c r="CAA43">
        <f t="shared" si="72"/>
        <v>0</v>
      </c>
      <c r="CAB43">
        <f t="shared" si="72"/>
        <v>0</v>
      </c>
      <c r="CAC43">
        <f t="shared" si="72"/>
        <v>0</v>
      </c>
      <c r="CAD43">
        <f t="shared" si="72"/>
        <v>0</v>
      </c>
      <c r="CAE43">
        <f t="shared" si="72"/>
        <v>0</v>
      </c>
      <c r="CAF43">
        <f t="shared" si="72"/>
        <v>0</v>
      </c>
      <c r="CAG43">
        <f t="shared" si="72"/>
        <v>0</v>
      </c>
      <c r="CAH43">
        <f t="shared" si="72"/>
        <v>0</v>
      </c>
      <c r="CAI43">
        <f t="shared" si="72"/>
        <v>0</v>
      </c>
      <c r="CAJ43">
        <f t="shared" si="72"/>
        <v>0</v>
      </c>
      <c r="CAK43">
        <f t="shared" si="72"/>
        <v>0</v>
      </c>
      <c r="CAL43">
        <f t="shared" si="72"/>
        <v>0</v>
      </c>
      <c r="CAM43">
        <f t="shared" si="72"/>
        <v>0</v>
      </c>
      <c r="CAN43">
        <f t="shared" si="72"/>
        <v>0</v>
      </c>
      <c r="CAO43">
        <f t="shared" si="72"/>
        <v>0</v>
      </c>
      <c r="CAP43">
        <f t="shared" si="72"/>
        <v>0</v>
      </c>
      <c r="CAQ43">
        <f t="shared" si="72"/>
        <v>0</v>
      </c>
      <c r="CAR43">
        <f t="shared" si="72"/>
        <v>0</v>
      </c>
      <c r="CAS43">
        <f t="shared" si="72"/>
        <v>0</v>
      </c>
      <c r="CAT43">
        <f t="shared" si="72"/>
        <v>0</v>
      </c>
      <c r="CAU43">
        <f t="shared" si="72"/>
        <v>0</v>
      </c>
      <c r="CAV43">
        <f t="shared" si="72"/>
        <v>0</v>
      </c>
      <c r="CAW43">
        <f t="shared" si="72"/>
        <v>0</v>
      </c>
      <c r="CAX43">
        <f t="shared" si="72"/>
        <v>0</v>
      </c>
      <c r="CAY43">
        <f t="shared" si="72"/>
        <v>0</v>
      </c>
      <c r="CAZ43">
        <f t="shared" si="72"/>
        <v>0</v>
      </c>
      <c r="CBA43">
        <f t="shared" si="72"/>
        <v>0</v>
      </c>
      <c r="CBB43">
        <f t="shared" si="72"/>
        <v>0</v>
      </c>
      <c r="CBC43">
        <f t="shared" si="72"/>
        <v>0</v>
      </c>
      <c r="CBD43">
        <f t="shared" si="72"/>
        <v>0</v>
      </c>
      <c r="CBE43">
        <f t="shared" si="72"/>
        <v>0</v>
      </c>
      <c r="CBF43">
        <f t="shared" si="72"/>
        <v>0</v>
      </c>
      <c r="CBG43">
        <f t="shared" si="72"/>
        <v>0</v>
      </c>
      <c r="CBH43">
        <f t="shared" si="72"/>
        <v>0</v>
      </c>
      <c r="CBI43">
        <f t="shared" si="72"/>
        <v>0</v>
      </c>
      <c r="CBJ43">
        <f t="shared" si="72"/>
        <v>0</v>
      </c>
      <c r="CBK43">
        <f t="shared" si="72"/>
        <v>0</v>
      </c>
      <c r="CBL43">
        <f t="shared" si="72"/>
        <v>0</v>
      </c>
      <c r="CBM43">
        <f t="shared" si="72"/>
        <v>0</v>
      </c>
      <c r="CBN43">
        <f t="shared" si="72"/>
        <v>0</v>
      </c>
      <c r="CBO43">
        <f t="shared" si="72"/>
        <v>0</v>
      </c>
      <c r="CBP43">
        <f t="shared" si="72"/>
        <v>0</v>
      </c>
      <c r="CBQ43">
        <f t="shared" si="72"/>
        <v>0</v>
      </c>
      <c r="CBR43">
        <f t="shared" si="72"/>
        <v>0</v>
      </c>
      <c r="CBS43">
        <f t="shared" si="72"/>
        <v>0</v>
      </c>
      <c r="CBT43">
        <f t="shared" si="72"/>
        <v>0</v>
      </c>
      <c r="CBU43">
        <f t="shared" si="72"/>
        <v>0</v>
      </c>
      <c r="CBV43">
        <f t="shared" si="72"/>
        <v>0</v>
      </c>
      <c r="CBW43">
        <f t="shared" si="72"/>
        <v>0</v>
      </c>
      <c r="CBX43">
        <f t="shared" si="72"/>
        <v>0</v>
      </c>
      <c r="CBY43">
        <f t="shared" si="72"/>
        <v>0</v>
      </c>
      <c r="CBZ43">
        <f t="shared" si="72"/>
        <v>0</v>
      </c>
      <c r="CCA43">
        <f t="shared" si="72"/>
        <v>0</v>
      </c>
      <c r="CCB43">
        <f t="shared" si="72"/>
        <v>0</v>
      </c>
      <c r="CCC43">
        <f t="shared" si="72"/>
        <v>0</v>
      </c>
      <c r="CCD43">
        <f t="shared" si="73"/>
        <v>0</v>
      </c>
      <c r="CCE43">
        <f t="shared" si="73"/>
        <v>0</v>
      </c>
      <c r="CCF43">
        <f t="shared" si="73"/>
        <v>0</v>
      </c>
      <c r="CCG43">
        <f t="shared" si="73"/>
        <v>0</v>
      </c>
      <c r="CCH43">
        <f t="shared" si="73"/>
        <v>0</v>
      </c>
      <c r="CCI43">
        <f t="shared" si="73"/>
        <v>0</v>
      </c>
      <c r="CCJ43">
        <f t="shared" si="73"/>
        <v>0</v>
      </c>
      <c r="CCK43">
        <f t="shared" si="73"/>
        <v>0</v>
      </c>
      <c r="CCL43">
        <f t="shared" si="73"/>
        <v>0</v>
      </c>
      <c r="CCM43">
        <f t="shared" si="73"/>
        <v>0</v>
      </c>
      <c r="CCN43">
        <f t="shared" si="73"/>
        <v>0</v>
      </c>
      <c r="CCO43">
        <f t="shared" si="73"/>
        <v>0</v>
      </c>
      <c r="CCP43">
        <f t="shared" si="73"/>
        <v>0</v>
      </c>
      <c r="CCQ43">
        <f t="shared" si="73"/>
        <v>0</v>
      </c>
      <c r="CCR43">
        <f t="shared" si="73"/>
        <v>0</v>
      </c>
      <c r="CCS43">
        <f t="shared" si="73"/>
        <v>0</v>
      </c>
      <c r="CCT43">
        <f t="shared" si="73"/>
        <v>0</v>
      </c>
      <c r="CCU43">
        <f t="shared" si="73"/>
        <v>0</v>
      </c>
      <c r="CCV43">
        <f t="shared" si="73"/>
        <v>0</v>
      </c>
      <c r="CCW43">
        <f t="shared" si="73"/>
        <v>0</v>
      </c>
      <c r="CCX43">
        <f t="shared" si="73"/>
        <v>0</v>
      </c>
      <c r="CCY43">
        <f t="shared" si="73"/>
        <v>0</v>
      </c>
      <c r="CCZ43">
        <f t="shared" si="73"/>
        <v>0</v>
      </c>
      <c r="CDA43">
        <f t="shared" si="73"/>
        <v>0</v>
      </c>
      <c r="CDB43">
        <f t="shared" si="73"/>
        <v>0</v>
      </c>
      <c r="CDC43">
        <f t="shared" si="73"/>
        <v>0</v>
      </c>
      <c r="CDD43">
        <f t="shared" si="73"/>
        <v>0</v>
      </c>
      <c r="CDE43">
        <f t="shared" si="73"/>
        <v>0</v>
      </c>
      <c r="CDF43">
        <f t="shared" si="73"/>
        <v>0</v>
      </c>
      <c r="CDG43">
        <f t="shared" si="73"/>
        <v>0</v>
      </c>
      <c r="CDH43">
        <f t="shared" si="73"/>
        <v>0</v>
      </c>
      <c r="CDI43">
        <f t="shared" si="73"/>
        <v>0</v>
      </c>
      <c r="CDJ43">
        <f t="shared" si="73"/>
        <v>0</v>
      </c>
      <c r="CDK43">
        <f t="shared" si="73"/>
        <v>0</v>
      </c>
      <c r="CDL43">
        <f t="shared" si="73"/>
        <v>0</v>
      </c>
      <c r="CDM43">
        <f t="shared" si="73"/>
        <v>0</v>
      </c>
      <c r="CDN43">
        <f t="shared" si="73"/>
        <v>0</v>
      </c>
      <c r="CDO43">
        <f t="shared" si="73"/>
        <v>0</v>
      </c>
      <c r="CDP43">
        <f t="shared" si="73"/>
        <v>0</v>
      </c>
      <c r="CDQ43">
        <f t="shared" si="73"/>
        <v>0</v>
      </c>
      <c r="CDR43">
        <f t="shared" si="73"/>
        <v>0</v>
      </c>
      <c r="CDS43">
        <f t="shared" si="73"/>
        <v>0</v>
      </c>
      <c r="CDT43">
        <f t="shared" si="73"/>
        <v>0</v>
      </c>
      <c r="CDU43">
        <f t="shared" si="73"/>
        <v>0</v>
      </c>
      <c r="CDV43">
        <f t="shared" si="73"/>
        <v>0</v>
      </c>
      <c r="CDW43">
        <f t="shared" si="73"/>
        <v>0</v>
      </c>
      <c r="CDX43">
        <f t="shared" si="73"/>
        <v>0</v>
      </c>
      <c r="CDY43">
        <f t="shared" si="73"/>
        <v>0</v>
      </c>
      <c r="CDZ43">
        <f t="shared" si="73"/>
        <v>0</v>
      </c>
      <c r="CEA43">
        <f t="shared" si="73"/>
        <v>0</v>
      </c>
      <c r="CEB43">
        <f t="shared" si="73"/>
        <v>0</v>
      </c>
      <c r="CEC43">
        <f t="shared" si="73"/>
        <v>0</v>
      </c>
      <c r="CED43">
        <f t="shared" si="73"/>
        <v>0</v>
      </c>
      <c r="CEE43">
        <f t="shared" si="73"/>
        <v>0</v>
      </c>
      <c r="CEF43">
        <f t="shared" si="73"/>
        <v>0</v>
      </c>
      <c r="CEG43">
        <f t="shared" si="73"/>
        <v>0</v>
      </c>
      <c r="CEH43">
        <f t="shared" si="73"/>
        <v>0</v>
      </c>
      <c r="CEI43">
        <f t="shared" si="73"/>
        <v>0</v>
      </c>
      <c r="CEJ43">
        <f t="shared" si="73"/>
        <v>0</v>
      </c>
      <c r="CEK43">
        <f t="shared" si="73"/>
        <v>0</v>
      </c>
      <c r="CEL43">
        <f t="shared" si="73"/>
        <v>0</v>
      </c>
      <c r="CEM43">
        <f t="shared" si="73"/>
        <v>0</v>
      </c>
      <c r="CEN43">
        <f t="shared" si="73"/>
        <v>0</v>
      </c>
      <c r="CEO43">
        <f t="shared" si="73"/>
        <v>0</v>
      </c>
      <c r="CEP43">
        <f t="shared" si="74"/>
        <v>0</v>
      </c>
      <c r="CEQ43">
        <f t="shared" si="74"/>
        <v>0</v>
      </c>
      <c r="CER43">
        <f t="shared" si="74"/>
        <v>0</v>
      </c>
      <c r="CES43">
        <f t="shared" si="74"/>
        <v>0</v>
      </c>
      <c r="CET43">
        <f t="shared" si="74"/>
        <v>0</v>
      </c>
      <c r="CEU43">
        <f t="shared" si="74"/>
        <v>0</v>
      </c>
      <c r="CEV43">
        <f t="shared" si="74"/>
        <v>0</v>
      </c>
      <c r="CEW43">
        <f t="shared" si="74"/>
        <v>0</v>
      </c>
      <c r="CEX43">
        <f t="shared" si="74"/>
        <v>0</v>
      </c>
      <c r="CEY43">
        <f t="shared" si="74"/>
        <v>0</v>
      </c>
      <c r="CEZ43">
        <f t="shared" si="74"/>
        <v>0</v>
      </c>
      <c r="CFA43">
        <f t="shared" si="74"/>
        <v>0</v>
      </c>
      <c r="CFB43">
        <f t="shared" si="74"/>
        <v>0</v>
      </c>
      <c r="CFC43">
        <f t="shared" si="74"/>
        <v>0</v>
      </c>
      <c r="CFD43">
        <f t="shared" si="74"/>
        <v>0</v>
      </c>
      <c r="CFE43">
        <f t="shared" si="74"/>
        <v>0</v>
      </c>
      <c r="CFF43">
        <f t="shared" si="74"/>
        <v>0</v>
      </c>
      <c r="CFG43">
        <f t="shared" si="74"/>
        <v>0</v>
      </c>
      <c r="CFH43">
        <f t="shared" si="74"/>
        <v>0</v>
      </c>
      <c r="CFI43">
        <f t="shared" si="74"/>
        <v>0</v>
      </c>
      <c r="CFJ43">
        <f t="shared" si="74"/>
        <v>0</v>
      </c>
      <c r="CFK43">
        <f t="shared" si="74"/>
        <v>0</v>
      </c>
      <c r="CFL43">
        <f t="shared" si="74"/>
        <v>0</v>
      </c>
      <c r="CFM43">
        <f t="shared" si="74"/>
        <v>0</v>
      </c>
      <c r="CFN43">
        <f t="shared" si="74"/>
        <v>0</v>
      </c>
      <c r="CFO43">
        <f t="shared" si="74"/>
        <v>0</v>
      </c>
      <c r="CFP43">
        <f t="shared" si="74"/>
        <v>0</v>
      </c>
      <c r="CFQ43">
        <f t="shared" si="74"/>
        <v>0</v>
      </c>
      <c r="CFR43">
        <f t="shared" si="74"/>
        <v>0</v>
      </c>
      <c r="CFS43">
        <f t="shared" si="74"/>
        <v>0</v>
      </c>
      <c r="CFT43">
        <f t="shared" si="74"/>
        <v>0</v>
      </c>
      <c r="CFU43">
        <f t="shared" si="74"/>
        <v>0</v>
      </c>
      <c r="CFV43">
        <f t="shared" si="74"/>
        <v>0</v>
      </c>
      <c r="CFW43">
        <f t="shared" si="74"/>
        <v>0</v>
      </c>
      <c r="CFX43">
        <f t="shared" si="74"/>
        <v>0</v>
      </c>
      <c r="CFY43">
        <f t="shared" si="74"/>
        <v>0</v>
      </c>
      <c r="CFZ43">
        <f t="shared" si="74"/>
        <v>0</v>
      </c>
      <c r="CGA43">
        <f t="shared" si="74"/>
        <v>0</v>
      </c>
      <c r="CGB43">
        <f t="shared" si="74"/>
        <v>0</v>
      </c>
      <c r="CGC43">
        <f t="shared" si="74"/>
        <v>0</v>
      </c>
      <c r="CGD43">
        <f t="shared" si="74"/>
        <v>0</v>
      </c>
      <c r="CGE43">
        <f t="shared" si="74"/>
        <v>0</v>
      </c>
      <c r="CGF43">
        <f t="shared" si="74"/>
        <v>0</v>
      </c>
      <c r="CGG43">
        <f t="shared" si="74"/>
        <v>0</v>
      </c>
      <c r="CGH43">
        <f t="shared" si="74"/>
        <v>0</v>
      </c>
      <c r="CGI43">
        <f t="shared" si="74"/>
        <v>0</v>
      </c>
      <c r="CGJ43">
        <f t="shared" si="74"/>
        <v>0</v>
      </c>
      <c r="CGK43">
        <f t="shared" si="74"/>
        <v>0</v>
      </c>
      <c r="CGL43">
        <f t="shared" si="74"/>
        <v>0</v>
      </c>
      <c r="CGM43">
        <f t="shared" si="74"/>
        <v>0</v>
      </c>
      <c r="CGN43">
        <f t="shared" si="74"/>
        <v>0</v>
      </c>
      <c r="CGO43">
        <f t="shared" si="74"/>
        <v>0</v>
      </c>
      <c r="CGP43">
        <f t="shared" si="74"/>
        <v>0</v>
      </c>
      <c r="CGQ43">
        <f t="shared" si="74"/>
        <v>0</v>
      </c>
      <c r="CGR43">
        <f t="shared" si="74"/>
        <v>0</v>
      </c>
      <c r="CGS43">
        <f t="shared" si="74"/>
        <v>0</v>
      </c>
      <c r="CGT43">
        <f t="shared" si="74"/>
        <v>0</v>
      </c>
      <c r="CGU43">
        <f t="shared" si="74"/>
        <v>0</v>
      </c>
      <c r="CGV43">
        <f t="shared" si="74"/>
        <v>0</v>
      </c>
      <c r="CGW43">
        <f t="shared" si="74"/>
        <v>0</v>
      </c>
      <c r="CGX43">
        <f t="shared" si="74"/>
        <v>0</v>
      </c>
      <c r="CGY43">
        <f t="shared" si="74"/>
        <v>0</v>
      </c>
      <c r="CGZ43">
        <f t="shared" si="74"/>
        <v>0</v>
      </c>
      <c r="CHA43">
        <f t="shared" si="74"/>
        <v>0</v>
      </c>
      <c r="CHB43">
        <f t="shared" si="75"/>
        <v>0</v>
      </c>
      <c r="CHC43">
        <f t="shared" si="75"/>
        <v>0</v>
      </c>
      <c r="CHD43">
        <f t="shared" si="75"/>
        <v>0</v>
      </c>
      <c r="CHE43">
        <f t="shared" si="75"/>
        <v>0</v>
      </c>
      <c r="CHF43">
        <f t="shared" si="75"/>
        <v>0</v>
      </c>
      <c r="CHG43">
        <f t="shared" si="75"/>
        <v>0</v>
      </c>
      <c r="CHH43">
        <f t="shared" si="75"/>
        <v>0</v>
      </c>
      <c r="CHI43">
        <f t="shared" si="75"/>
        <v>0</v>
      </c>
      <c r="CHJ43">
        <f t="shared" si="75"/>
        <v>0</v>
      </c>
      <c r="CHK43">
        <f t="shared" si="75"/>
        <v>0</v>
      </c>
      <c r="CHL43">
        <f t="shared" si="75"/>
        <v>0</v>
      </c>
      <c r="CHM43">
        <f t="shared" si="75"/>
        <v>0</v>
      </c>
      <c r="CHN43">
        <f t="shared" si="75"/>
        <v>0</v>
      </c>
      <c r="CHO43">
        <f t="shared" si="75"/>
        <v>0</v>
      </c>
      <c r="CHP43">
        <f t="shared" si="75"/>
        <v>0</v>
      </c>
      <c r="CHQ43">
        <f t="shared" si="75"/>
        <v>0</v>
      </c>
      <c r="CHR43">
        <f t="shared" si="75"/>
        <v>0</v>
      </c>
      <c r="CHS43">
        <f t="shared" si="75"/>
        <v>0</v>
      </c>
      <c r="CHT43">
        <f t="shared" si="75"/>
        <v>0</v>
      </c>
      <c r="CHU43">
        <f t="shared" si="75"/>
        <v>0</v>
      </c>
      <c r="CHV43">
        <f t="shared" si="75"/>
        <v>0</v>
      </c>
      <c r="CHW43">
        <f t="shared" si="75"/>
        <v>0</v>
      </c>
      <c r="CHX43">
        <f t="shared" si="75"/>
        <v>0</v>
      </c>
      <c r="CHY43">
        <f t="shared" si="75"/>
        <v>0</v>
      </c>
      <c r="CHZ43">
        <f t="shared" si="75"/>
        <v>0</v>
      </c>
      <c r="CIA43">
        <f t="shared" si="75"/>
        <v>0</v>
      </c>
      <c r="CIB43">
        <f t="shared" si="75"/>
        <v>0</v>
      </c>
      <c r="CIC43">
        <f t="shared" si="75"/>
        <v>0</v>
      </c>
      <c r="CID43">
        <f t="shared" si="75"/>
        <v>0</v>
      </c>
      <c r="CIE43">
        <f t="shared" si="75"/>
        <v>0</v>
      </c>
      <c r="CIF43">
        <f t="shared" si="75"/>
        <v>0</v>
      </c>
      <c r="CIG43">
        <f t="shared" si="75"/>
        <v>0</v>
      </c>
      <c r="CIH43">
        <f t="shared" si="75"/>
        <v>0</v>
      </c>
      <c r="CII43">
        <f t="shared" si="75"/>
        <v>0</v>
      </c>
      <c r="CIJ43">
        <f t="shared" si="75"/>
        <v>0</v>
      </c>
      <c r="CIK43">
        <f t="shared" si="75"/>
        <v>0</v>
      </c>
      <c r="CIL43">
        <f t="shared" si="75"/>
        <v>0</v>
      </c>
      <c r="CIM43">
        <f t="shared" si="75"/>
        <v>0</v>
      </c>
      <c r="CIN43">
        <f t="shared" si="75"/>
        <v>0</v>
      </c>
      <c r="CIO43">
        <f t="shared" si="75"/>
        <v>0</v>
      </c>
      <c r="CIP43">
        <f t="shared" si="75"/>
        <v>0</v>
      </c>
      <c r="CIQ43">
        <f t="shared" si="75"/>
        <v>0</v>
      </c>
      <c r="CIR43">
        <f t="shared" si="75"/>
        <v>0</v>
      </c>
      <c r="CIS43">
        <f t="shared" si="75"/>
        <v>0</v>
      </c>
      <c r="CIT43">
        <f t="shared" si="75"/>
        <v>0</v>
      </c>
      <c r="CIU43">
        <f t="shared" si="75"/>
        <v>0</v>
      </c>
      <c r="CIV43">
        <f t="shared" si="75"/>
        <v>0</v>
      </c>
      <c r="CIW43">
        <f t="shared" si="75"/>
        <v>0</v>
      </c>
      <c r="CIX43">
        <f t="shared" si="75"/>
        <v>0</v>
      </c>
      <c r="CIY43">
        <f t="shared" si="75"/>
        <v>0</v>
      </c>
      <c r="CIZ43">
        <f t="shared" si="75"/>
        <v>0</v>
      </c>
      <c r="CJA43">
        <f t="shared" si="75"/>
        <v>0</v>
      </c>
      <c r="CJB43">
        <f t="shared" si="75"/>
        <v>0</v>
      </c>
      <c r="CJC43">
        <f t="shared" si="75"/>
        <v>0</v>
      </c>
      <c r="CJD43">
        <f t="shared" si="75"/>
        <v>0</v>
      </c>
      <c r="CJE43">
        <f t="shared" si="75"/>
        <v>0</v>
      </c>
      <c r="CJF43">
        <f t="shared" si="75"/>
        <v>0</v>
      </c>
      <c r="CJG43">
        <f t="shared" si="75"/>
        <v>0</v>
      </c>
      <c r="CJH43">
        <f t="shared" si="75"/>
        <v>0</v>
      </c>
      <c r="CJI43">
        <f t="shared" si="75"/>
        <v>0</v>
      </c>
      <c r="CJJ43">
        <f t="shared" si="75"/>
        <v>0</v>
      </c>
      <c r="CJK43">
        <f t="shared" si="75"/>
        <v>0</v>
      </c>
      <c r="CJL43">
        <f t="shared" si="75"/>
        <v>0</v>
      </c>
      <c r="CJM43">
        <f t="shared" si="75"/>
        <v>0</v>
      </c>
      <c r="CJN43">
        <f t="shared" si="76"/>
        <v>0</v>
      </c>
      <c r="CJO43">
        <f t="shared" si="76"/>
        <v>0</v>
      </c>
      <c r="CJP43">
        <f t="shared" si="76"/>
        <v>0</v>
      </c>
      <c r="CJQ43">
        <f t="shared" si="76"/>
        <v>0</v>
      </c>
      <c r="CJR43">
        <f t="shared" si="76"/>
        <v>0</v>
      </c>
      <c r="CJS43">
        <f t="shared" si="76"/>
        <v>0</v>
      </c>
      <c r="CJT43">
        <f t="shared" si="76"/>
        <v>0</v>
      </c>
      <c r="CJU43">
        <f t="shared" si="76"/>
        <v>0</v>
      </c>
      <c r="CJV43">
        <f t="shared" si="76"/>
        <v>0</v>
      </c>
      <c r="CJW43">
        <f t="shared" si="76"/>
        <v>0</v>
      </c>
      <c r="CJX43">
        <f t="shared" si="76"/>
        <v>0</v>
      </c>
      <c r="CJY43">
        <f t="shared" si="76"/>
        <v>0</v>
      </c>
      <c r="CJZ43">
        <f t="shared" si="76"/>
        <v>0</v>
      </c>
      <c r="CKA43">
        <f t="shared" si="76"/>
        <v>0</v>
      </c>
      <c r="CKB43">
        <f t="shared" si="76"/>
        <v>0</v>
      </c>
      <c r="CKC43">
        <f t="shared" si="76"/>
        <v>0</v>
      </c>
      <c r="CKD43">
        <f t="shared" si="76"/>
        <v>0</v>
      </c>
      <c r="CKE43">
        <f t="shared" si="76"/>
        <v>0</v>
      </c>
      <c r="CKF43">
        <f t="shared" si="76"/>
        <v>0</v>
      </c>
      <c r="CKG43">
        <f t="shared" si="76"/>
        <v>0</v>
      </c>
      <c r="CKH43">
        <f t="shared" si="76"/>
        <v>0</v>
      </c>
      <c r="CKI43">
        <f t="shared" si="76"/>
        <v>0</v>
      </c>
      <c r="CKJ43">
        <f t="shared" si="76"/>
        <v>0</v>
      </c>
      <c r="CKK43">
        <f t="shared" si="76"/>
        <v>0</v>
      </c>
      <c r="CKL43">
        <f t="shared" si="76"/>
        <v>0</v>
      </c>
      <c r="CKM43">
        <f t="shared" si="76"/>
        <v>0</v>
      </c>
      <c r="CKN43">
        <f t="shared" si="76"/>
        <v>0</v>
      </c>
      <c r="CKO43">
        <f t="shared" si="76"/>
        <v>0</v>
      </c>
      <c r="CKP43">
        <f t="shared" si="76"/>
        <v>0</v>
      </c>
      <c r="CKQ43">
        <f t="shared" si="76"/>
        <v>0</v>
      </c>
      <c r="CKR43">
        <f t="shared" si="76"/>
        <v>0</v>
      </c>
      <c r="CKS43">
        <f t="shared" si="76"/>
        <v>0</v>
      </c>
      <c r="CKT43">
        <f t="shared" si="76"/>
        <v>0</v>
      </c>
      <c r="CKU43">
        <f t="shared" si="76"/>
        <v>0</v>
      </c>
      <c r="CKV43">
        <f t="shared" si="76"/>
        <v>0</v>
      </c>
      <c r="CKW43">
        <f t="shared" si="76"/>
        <v>0</v>
      </c>
      <c r="CKX43">
        <f t="shared" si="76"/>
        <v>0</v>
      </c>
      <c r="CKY43">
        <f t="shared" si="76"/>
        <v>0</v>
      </c>
      <c r="CKZ43">
        <f t="shared" si="76"/>
        <v>0</v>
      </c>
      <c r="CLA43">
        <f t="shared" si="76"/>
        <v>0</v>
      </c>
      <c r="CLB43">
        <f t="shared" si="76"/>
        <v>0</v>
      </c>
      <c r="CLC43">
        <f t="shared" si="76"/>
        <v>0</v>
      </c>
      <c r="CLD43">
        <f t="shared" si="76"/>
        <v>0</v>
      </c>
      <c r="CLE43">
        <f t="shared" si="76"/>
        <v>0</v>
      </c>
      <c r="CLF43">
        <f t="shared" si="76"/>
        <v>0</v>
      </c>
      <c r="CLG43">
        <f t="shared" si="76"/>
        <v>0</v>
      </c>
      <c r="CLH43">
        <f t="shared" si="76"/>
        <v>0</v>
      </c>
      <c r="CLI43">
        <f t="shared" si="76"/>
        <v>0</v>
      </c>
      <c r="CLJ43">
        <f t="shared" si="76"/>
        <v>0</v>
      </c>
      <c r="CLK43">
        <f t="shared" si="76"/>
        <v>0</v>
      </c>
      <c r="CLL43">
        <f t="shared" si="76"/>
        <v>0</v>
      </c>
      <c r="CLM43">
        <f t="shared" si="76"/>
        <v>0</v>
      </c>
      <c r="CLN43">
        <f t="shared" si="76"/>
        <v>0</v>
      </c>
      <c r="CLO43">
        <f t="shared" si="76"/>
        <v>0</v>
      </c>
      <c r="CLP43">
        <f t="shared" si="76"/>
        <v>0</v>
      </c>
      <c r="CLQ43">
        <f t="shared" si="76"/>
        <v>0</v>
      </c>
      <c r="CLR43">
        <f t="shared" si="76"/>
        <v>0</v>
      </c>
      <c r="CLS43">
        <f t="shared" si="76"/>
        <v>0</v>
      </c>
      <c r="CLT43">
        <f t="shared" si="76"/>
        <v>0</v>
      </c>
      <c r="CLU43">
        <f t="shared" si="76"/>
        <v>0</v>
      </c>
      <c r="CLV43">
        <f t="shared" si="76"/>
        <v>0</v>
      </c>
      <c r="CLW43">
        <f t="shared" si="76"/>
        <v>0</v>
      </c>
      <c r="CLX43">
        <f t="shared" si="76"/>
        <v>0</v>
      </c>
      <c r="CLY43">
        <f t="shared" si="76"/>
        <v>0</v>
      </c>
      <c r="CLZ43">
        <f t="shared" si="77"/>
        <v>0</v>
      </c>
      <c r="CMA43">
        <f t="shared" si="77"/>
        <v>0</v>
      </c>
      <c r="CMB43">
        <f t="shared" si="77"/>
        <v>0</v>
      </c>
      <c r="CMC43">
        <f t="shared" si="77"/>
        <v>0</v>
      </c>
      <c r="CMD43">
        <f t="shared" si="77"/>
        <v>0</v>
      </c>
      <c r="CME43">
        <f t="shared" si="77"/>
        <v>0</v>
      </c>
      <c r="CMF43">
        <f t="shared" si="77"/>
        <v>0</v>
      </c>
      <c r="CMG43">
        <f t="shared" si="77"/>
        <v>0</v>
      </c>
      <c r="CMH43">
        <f t="shared" si="77"/>
        <v>0</v>
      </c>
      <c r="CMI43">
        <f t="shared" si="77"/>
        <v>0</v>
      </c>
      <c r="CMJ43">
        <f t="shared" si="77"/>
        <v>0</v>
      </c>
      <c r="CMK43">
        <f t="shared" si="77"/>
        <v>0</v>
      </c>
      <c r="CML43">
        <f t="shared" si="77"/>
        <v>0</v>
      </c>
      <c r="CMM43">
        <f t="shared" si="77"/>
        <v>0</v>
      </c>
      <c r="CMN43">
        <f t="shared" si="77"/>
        <v>0</v>
      </c>
      <c r="CMO43">
        <f t="shared" si="77"/>
        <v>0</v>
      </c>
      <c r="CMP43">
        <f t="shared" si="77"/>
        <v>0</v>
      </c>
      <c r="CMQ43">
        <f t="shared" si="77"/>
        <v>0</v>
      </c>
      <c r="CMR43">
        <f t="shared" si="77"/>
        <v>0</v>
      </c>
      <c r="CMS43">
        <f t="shared" si="77"/>
        <v>0</v>
      </c>
      <c r="CMT43">
        <f t="shared" si="77"/>
        <v>0</v>
      </c>
      <c r="CMU43">
        <f t="shared" si="77"/>
        <v>0</v>
      </c>
      <c r="CMV43">
        <f t="shared" si="77"/>
        <v>0</v>
      </c>
      <c r="CMW43">
        <f t="shared" si="77"/>
        <v>0</v>
      </c>
      <c r="CMX43">
        <f t="shared" si="77"/>
        <v>0</v>
      </c>
      <c r="CMY43">
        <f t="shared" si="77"/>
        <v>0</v>
      </c>
      <c r="CMZ43">
        <f t="shared" si="77"/>
        <v>0</v>
      </c>
      <c r="CNA43">
        <f t="shared" si="77"/>
        <v>0</v>
      </c>
      <c r="CNB43">
        <f t="shared" si="77"/>
        <v>0</v>
      </c>
      <c r="CNC43">
        <f t="shared" si="77"/>
        <v>0</v>
      </c>
      <c r="CND43">
        <f t="shared" si="77"/>
        <v>0</v>
      </c>
      <c r="CNE43">
        <f t="shared" si="77"/>
        <v>0</v>
      </c>
      <c r="CNF43">
        <f t="shared" si="77"/>
        <v>0</v>
      </c>
      <c r="CNG43">
        <f t="shared" si="77"/>
        <v>0</v>
      </c>
      <c r="CNH43">
        <f t="shared" si="77"/>
        <v>0</v>
      </c>
      <c r="CNI43">
        <f t="shared" si="77"/>
        <v>0</v>
      </c>
      <c r="CNJ43">
        <f t="shared" si="77"/>
        <v>0</v>
      </c>
      <c r="CNK43">
        <f t="shared" si="77"/>
        <v>0</v>
      </c>
      <c r="CNL43">
        <f t="shared" si="77"/>
        <v>0</v>
      </c>
      <c r="CNM43">
        <f t="shared" si="77"/>
        <v>0</v>
      </c>
      <c r="CNN43">
        <f t="shared" si="77"/>
        <v>0</v>
      </c>
      <c r="CNO43">
        <f t="shared" si="77"/>
        <v>0</v>
      </c>
      <c r="CNP43">
        <f t="shared" si="77"/>
        <v>0</v>
      </c>
      <c r="CNQ43">
        <f t="shared" si="77"/>
        <v>0</v>
      </c>
      <c r="CNR43">
        <f t="shared" si="77"/>
        <v>0</v>
      </c>
      <c r="CNS43">
        <f t="shared" si="77"/>
        <v>0</v>
      </c>
      <c r="CNT43">
        <f t="shared" si="77"/>
        <v>0</v>
      </c>
      <c r="CNU43">
        <f t="shared" si="77"/>
        <v>0</v>
      </c>
      <c r="CNV43">
        <f t="shared" si="77"/>
        <v>0</v>
      </c>
      <c r="CNW43">
        <f t="shared" si="77"/>
        <v>0</v>
      </c>
      <c r="CNX43">
        <f t="shared" si="77"/>
        <v>0</v>
      </c>
      <c r="CNY43">
        <f t="shared" si="77"/>
        <v>0</v>
      </c>
      <c r="CNZ43">
        <f t="shared" si="77"/>
        <v>0</v>
      </c>
      <c r="COA43">
        <f t="shared" si="77"/>
        <v>0</v>
      </c>
      <c r="COB43">
        <f t="shared" si="77"/>
        <v>0</v>
      </c>
      <c r="COC43">
        <f t="shared" si="77"/>
        <v>0</v>
      </c>
      <c r="COD43">
        <f t="shared" si="77"/>
        <v>0</v>
      </c>
      <c r="COE43">
        <f t="shared" si="77"/>
        <v>0</v>
      </c>
      <c r="COF43">
        <f t="shared" si="77"/>
        <v>0</v>
      </c>
      <c r="COG43">
        <f t="shared" si="77"/>
        <v>0</v>
      </c>
      <c r="COH43">
        <f t="shared" si="77"/>
        <v>0</v>
      </c>
      <c r="COI43">
        <f t="shared" si="77"/>
        <v>0</v>
      </c>
      <c r="COJ43">
        <f t="shared" si="77"/>
        <v>0</v>
      </c>
      <c r="COK43">
        <f t="shared" si="77"/>
        <v>0</v>
      </c>
      <c r="COL43">
        <f t="shared" si="78"/>
        <v>0</v>
      </c>
      <c r="COM43">
        <f t="shared" si="78"/>
        <v>0</v>
      </c>
      <c r="CON43">
        <f t="shared" si="78"/>
        <v>0</v>
      </c>
      <c r="COO43">
        <f t="shared" si="78"/>
        <v>0</v>
      </c>
      <c r="COP43">
        <f t="shared" si="78"/>
        <v>0</v>
      </c>
      <c r="COQ43">
        <f t="shared" si="78"/>
        <v>0</v>
      </c>
      <c r="COR43">
        <f t="shared" si="78"/>
        <v>0</v>
      </c>
      <c r="COS43">
        <f t="shared" si="78"/>
        <v>0</v>
      </c>
      <c r="COT43">
        <f t="shared" si="78"/>
        <v>0</v>
      </c>
      <c r="COU43">
        <f t="shared" si="78"/>
        <v>0</v>
      </c>
      <c r="COV43">
        <f t="shared" si="78"/>
        <v>0</v>
      </c>
      <c r="COW43">
        <f t="shared" si="78"/>
        <v>0</v>
      </c>
      <c r="COX43">
        <f t="shared" si="78"/>
        <v>0</v>
      </c>
      <c r="COY43">
        <f t="shared" si="78"/>
        <v>0</v>
      </c>
      <c r="COZ43">
        <f t="shared" si="78"/>
        <v>0</v>
      </c>
      <c r="CPA43">
        <f t="shared" si="78"/>
        <v>0</v>
      </c>
      <c r="CPB43">
        <f t="shared" si="78"/>
        <v>0</v>
      </c>
      <c r="CPC43">
        <f t="shared" si="78"/>
        <v>0</v>
      </c>
      <c r="CPD43">
        <f t="shared" si="78"/>
        <v>0</v>
      </c>
      <c r="CPE43">
        <f t="shared" si="78"/>
        <v>0</v>
      </c>
      <c r="CPF43">
        <f t="shared" si="78"/>
        <v>0</v>
      </c>
      <c r="CPG43">
        <f t="shared" si="78"/>
        <v>0</v>
      </c>
      <c r="CPH43">
        <f t="shared" si="78"/>
        <v>0</v>
      </c>
      <c r="CPI43">
        <f t="shared" si="78"/>
        <v>0</v>
      </c>
      <c r="CPJ43">
        <f t="shared" si="78"/>
        <v>0</v>
      </c>
      <c r="CPK43">
        <f t="shared" si="78"/>
        <v>0</v>
      </c>
      <c r="CPL43">
        <f t="shared" si="78"/>
        <v>0</v>
      </c>
      <c r="CPM43">
        <f t="shared" si="78"/>
        <v>0</v>
      </c>
      <c r="CPN43">
        <f t="shared" si="78"/>
        <v>0</v>
      </c>
      <c r="CPO43">
        <f t="shared" si="78"/>
        <v>0</v>
      </c>
      <c r="CPP43">
        <f t="shared" si="78"/>
        <v>0</v>
      </c>
      <c r="CPQ43">
        <f t="shared" si="78"/>
        <v>0</v>
      </c>
      <c r="CPR43">
        <f t="shared" si="78"/>
        <v>0</v>
      </c>
      <c r="CPS43">
        <f t="shared" si="78"/>
        <v>0</v>
      </c>
      <c r="CPT43">
        <f t="shared" si="78"/>
        <v>0</v>
      </c>
      <c r="CPU43">
        <f t="shared" si="78"/>
        <v>0</v>
      </c>
      <c r="CPV43">
        <f t="shared" si="78"/>
        <v>0</v>
      </c>
      <c r="CPW43">
        <f t="shared" si="78"/>
        <v>0</v>
      </c>
      <c r="CPX43">
        <f t="shared" si="78"/>
        <v>0</v>
      </c>
      <c r="CPY43">
        <f t="shared" si="78"/>
        <v>0</v>
      </c>
      <c r="CPZ43">
        <f t="shared" si="78"/>
        <v>0</v>
      </c>
      <c r="CQA43">
        <f t="shared" si="78"/>
        <v>0</v>
      </c>
      <c r="CQB43">
        <f t="shared" si="78"/>
        <v>0</v>
      </c>
      <c r="CQC43">
        <f t="shared" si="78"/>
        <v>0</v>
      </c>
      <c r="CQD43">
        <f t="shared" si="78"/>
        <v>0</v>
      </c>
      <c r="CQE43">
        <f t="shared" si="78"/>
        <v>0</v>
      </c>
      <c r="CQF43">
        <f t="shared" si="78"/>
        <v>0</v>
      </c>
      <c r="CQG43">
        <f t="shared" si="78"/>
        <v>0</v>
      </c>
      <c r="CQH43">
        <f t="shared" si="78"/>
        <v>0</v>
      </c>
      <c r="CQI43">
        <f t="shared" si="78"/>
        <v>0</v>
      </c>
      <c r="CQJ43">
        <f t="shared" si="78"/>
        <v>0</v>
      </c>
      <c r="CQK43">
        <f t="shared" si="78"/>
        <v>0</v>
      </c>
      <c r="CQL43">
        <f t="shared" si="78"/>
        <v>0</v>
      </c>
      <c r="CQM43">
        <f t="shared" si="78"/>
        <v>0</v>
      </c>
      <c r="CQN43">
        <f t="shared" si="78"/>
        <v>0</v>
      </c>
      <c r="CQO43">
        <f t="shared" si="78"/>
        <v>0</v>
      </c>
      <c r="CQP43">
        <f t="shared" si="78"/>
        <v>0</v>
      </c>
      <c r="CQQ43">
        <f t="shared" si="78"/>
        <v>0</v>
      </c>
      <c r="CQR43">
        <f t="shared" si="78"/>
        <v>0</v>
      </c>
      <c r="CQS43">
        <f t="shared" si="78"/>
        <v>0</v>
      </c>
      <c r="CQT43">
        <f t="shared" si="78"/>
        <v>0</v>
      </c>
      <c r="CQU43">
        <f t="shared" si="78"/>
        <v>0</v>
      </c>
      <c r="CQV43">
        <f t="shared" si="78"/>
        <v>0</v>
      </c>
      <c r="CQW43">
        <f t="shared" si="78"/>
        <v>0</v>
      </c>
      <c r="CQX43">
        <f t="shared" si="79"/>
        <v>0</v>
      </c>
      <c r="CQY43">
        <f t="shared" si="79"/>
        <v>0</v>
      </c>
      <c r="CQZ43">
        <f t="shared" si="79"/>
        <v>0</v>
      </c>
      <c r="CRA43">
        <f t="shared" si="79"/>
        <v>0</v>
      </c>
      <c r="CRB43">
        <f t="shared" si="79"/>
        <v>0</v>
      </c>
      <c r="CRC43">
        <f t="shared" si="79"/>
        <v>0</v>
      </c>
      <c r="CRD43">
        <f t="shared" si="79"/>
        <v>0</v>
      </c>
      <c r="CRE43">
        <f t="shared" si="79"/>
        <v>0</v>
      </c>
      <c r="CRF43">
        <f t="shared" si="79"/>
        <v>0</v>
      </c>
      <c r="CRG43">
        <f t="shared" si="79"/>
        <v>0</v>
      </c>
      <c r="CRH43">
        <f t="shared" si="79"/>
        <v>0</v>
      </c>
      <c r="CRI43">
        <f t="shared" si="79"/>
        <v>0</v>
      </c>
      <c r="CRJ43">
        <f t="shared" si="79"/>
        <v>0</v>
      </c>
      <c r="CRK43">
        <f t="shared" si="79"/>
        <v>0</v>
      </c>
      <c r="CRL43">
        <f t="shared" si="79"/>
        <v>0</v>
      </c>
      <c r="CRM43">
        <f t="shared" si="79"/>
        <v>0</v>
      </c>
      <c r="CRN43">
        <f t="shared" si="79"/>
        <v>0</v>
      </c>
      <c r="CRO43">
        <f t="shared" si="79"/>
        <v>0</v>
      </c>
      <c r="CRP43">
        <f t="shared" si="79"/>
        <v>0</v>
      </c>
      <c r="CRQ43">
        <f t="shared" si="79"/>
        <v>0</v>
      </c>
      <c r="CRR43">
        <f t="shared" si="79"/>
        <v>0</v>
      </c>
      <c r="CRS43">
        <f t="shared" si="79"/>
        <v>0</v>
      </c>
      <c r="CRT43">
        <f t="shared" si="79"/>
        <v>0</v>
      </c>
      <c r="CRU43">
        <f t="shared" si="79"/>
        <v>0</v>
      </c>
      <c r="CRV43">
        <f t="shared" si="79"/>
        <v>0</v>
      </c>
      <c r="CRW43">
        <f t="shared" si="79"/>
        <v>0</v>
      </c>
      <c r="CRX43">
        <f t="shared" si="79"/>
        <v>0</v>
      </c>
      <c r="CRY43">
        <f t="shared" si="79"/>
        <v>0</v>
      </c>
      <c r="CRZ43">
        <f t="shared" si="79"/>
        <v>0</v>
      </c>
      <c r="CSA43">
        <f t="shared" si="79"/>
        <v>0</v>
      </c>
      <c r="CSB43">
        <f t="shared" si="79"/>
        <v>0</v>
      </c>
      <c r="CSC43">
        <f t="shared" si="79"/>
        <v>0</v>
      </c>
      <c r="CSD43">
        <f t="shared" si="79"/>
        <v>0</v>
      </c>
      <c r="CSE43">
        <f t="shared" si="79"/>
        <v>0</v>
      </c>
      <c r="CSF43">
        <f t="shared" si="79"/>
        <v>0</v>
      </c>
      <c r="CSG43">
        <f t="shared" si="79"/>
        <v>0</v>
      </c>
      <c r="CSH43">
        <f t="shared" si="79"/>
        <v>0</v>
      </c>
      <c r="CSI43">
        <f t="shared" si="79"/>
        <v>0</v>
      </c>
      <c r="CSJ43">
        <f t="shared" si="79"/>
        <v>0</v>
      </c>
      <c r="CSK43">
        <f t="shared" si="79"/>
        <v>0</v>
      </c>
      <c r="CSL43">
        <f t="shared" si="79"/>
        <v>0</v>
      </c>
      <c r="CSM43">
        <f t="shared" si="79"/>
        <v>0</v>
      </c>
      <c r="CSN43">
        <f t="shared" si="79"/>
        <v>0</v>
      </c>
      <c r="CSO43">
        <f t="shared" si="79"/>
        <v>0</v>
      </c>
      <c r="CSP43">
        <f t="shared" si="79"/>
        <v>0</v>
      </c>
      <c r="CSQ43">
        <f t="shared" si="79"/>
        <v>0</v>
      </c>
      <c r="CSR43">
        <f t="shared" si="79"/>
        <v>0</v>
      </c>
      <c r="CSS43">
        <f t="shared" si="79"/>
        <v>0</v>
      </c>
      <c r="CST43">
        <f t="shared" si="79"/>
        <v>0</v>
      </c>
      <c r="CSU43">
        <f t="shared" si="79"/>
        <v>0</v>
      </c>
      <c r="CSV43">
        <f t="shared" si="79"/>
        <v>0</v>
      </c>
      <c r="CSW43">
        <f t="shared" si="79"/>
        <v>0</v>
      </c>
      <c r="CSX43">
        <f t="shared" si="79"/>
        <v>0</v>
      </c>
      <c r="CSY43">
        <f t="shared" si="79"/>
        <v>0</v>
      </c>
      <c r="CSZ43">
        <f t="shared" si="79"/>
        <v>0</v>
      </c>
      <c r="CTA43">
        <f t="shared" si="79"/>
        <v>0</v>
      </c>
      <c r="CTB43">
        <f t="shared" si="79"/>
        <v>0</v>
      </c>
      <c r="CTC43">
        <f t="shared" si="79"/>
        <v>0</v>
      </c>
      <c r="CTD43">
        <f t="shared" si="79"/>
        <v>0</v>
      </c>
      <c r="CTE43">
        <f t="shared" si="79"/>
        <v>0</v>
      </c>
      <c r="CTF43">
        <f t="shared" si="79"/>
        <v>0</v>
      </c>
      <c r="CTG43">
        <f t="shared" si="79"/>
        <v>0</v>
      </c>
      <c r="CTH43">
        <f t="shared" si="79"/>
        <v>0</v>
      </c>
      <c r="CTI43">
        <f t="shared" si="79"/>
        <v>0</v>
      </c>
      <c r="CTJ43">
        <f t="shared" si="80"/>
        <v>0</v>
      </c>
      <c r="CTK43">
        <f t="shared" si="80"/>
        <v>0</v>
      </c>
      <c r="CTL43">
        <f t="shared" si="80"/>
        <v>0</v>
      </c>
      <c r="CTM43">
        <f t="shared" si="80"/>
        <v>0</v>
      </c>
      <c r="CTN43">
        <f t="shared" si="80"/>
        <v>0</v>
      </c>
      <c r="CTO43">
        <f t="shared" si="80"/>
        <v>0</v>
      </c>
      <c r="CTP43">
        <f t="shared" si="80"/>
        <v>0</v>
      </c>
      <c r="CTQ43">
        <f t="shared" si="80"/>
        <v>0</v>
      </c>
      <c r="CTR43">
        <f t="shared" si="80"/>
        <v>0</v>
      </c>
      <c r="CTS43">
        <f t="shared" si="80"/>
        <v>0</v>
      </c>
      <c r="CTT43">
        <f t="shared" si="80"/>
        <v>0</v>
      </c>
      <c r="CTU43">
        <f t="shared" si="80"/>
        <v>0</v>
      </c>
      <c r="CTV43">
        <f t="shared" si="80"/>
        <v>0</v>
      </c>
      <c r="CTW43">
        <f t="shared" si="80"/>
        <v>0</v>
      </c>
      <c r="CTX43">
        <f t="shared" si="80"/>
        <v>0</v>
      </c>
      <c r="CTY43">
        <f t="shared" si="80"/>
        <v>0</v>
      </c>
      <c r="CTZ43">
        <f t="shared" si="80"/>
        <v>0</v>
      </c>
      <c r="CUA43">
        <f t="shared" si="80"/>
        <v>0</v>
      </c>
      <c r="CUB43">
        <f t="shared" si="80"/>
        <v>0</v>
      </c>
      <c r="CUC43">
        <f t="shared" si="80"/>
        <v>0</v>
      </c>
      <c r="CUD43">
        <f t="shared" si="80"/>
        <v>0</v>
      </c>
      <c r="CUE43">
        <f t="shared" si="80"/>
        <v>0</v>
      </c>
      <c r="CUF43">
        <f t="shared" si="80"/>
        <v>0</v>
      </c>
      <c r="CUG43">
        <f t="shared" si="80"/>
        <v>0</v>
      </c>
      <c r="CUH43">
        <f t="shared" si="80"/>
        <v>0</v>
      </c>
      <c r="CUI43">
        <f t="shared" si="80"/>
        <v>0</v>
      </c>
      <c r="CUJ43">
        <f t="shared" si="80"/>
        <v>0</v>
      </c>
      <c r="CUK43">
        <f t="shared" si="80"/>
        <v>0</v>
      </c>
      <c r="CUL43">
        <f t="shared" si="80"/>
        <v>0</v>
      </c>
      <c r="CUM43">
        <f t="shared" si="80"/>
        <v>0</v>
      </c>
      <c r="CUN43">
        <f t="shared" si="80"/>
        <v>0</v>
      </c>
      <c r="CUO43">
        <f t="shared" si="80"/>
        <v>0</v>
      </c>
      <c r="CUP43">
        <f t="shared" si="80"/>
        <v>0</v>
      </c>
      <c r="CUQ43">
        <f t="shared" si="80"/>
        <v>0</v>
      </c>
      <c r="CUR43">
        <f t="shared" si="80"/>
        <v>0</v>
      </c>
      <c r="CUS43">
        <f t="shared" si="80"/>
        <v>0</v>
      </c>
      <c r="CUT43">
        <f t="shared" si="80"/>
        <v>0</v>
      </c>
      <c r="CUU43">
        <f t="shared" si="80"/>
        <v>0</v>
      </c>
      <c r="CUV43">
        <f t="shared" si="80"/>
        <v>0</v>
      </c>
      <c r="CUW43">
        <f t="shared" si="80"/>
        <v>0</v>
      </c>
      <c r="CUX43">
        <f t="shared" si="80"/>
        <v>0</v>
      </c>
      <c r="CUY43">
        <f t="shared" si="80"/>
        <v>0</v>
      </c>
      <c r="CUZ43">
        <f t="shared" si="80"/>
        <v>0</v>
      </c>
      <c r="CVA43">
        <f t="shared" si="80"/>
        <v>0</v>
      </c>
      <c r="CVB43">
        <f t="shared" si="80"/>
        <v>0</v>
      </c>
      <c r="CVC43">
        <f t="shared" si="80"/>
        <v>0</v>
      </c>
      <c r="CVD43">
        <f t="shared" si="80"/>
        <v>0</v>
      </c>
      <c r="CVE43">
        <f t="shared" si="80"/>
        <v>0</v>
      </c>
      <c r="CVF43">
        <f t="shared" si="80"/>
        <v>0</v>
      </c>
      <c r="CVG43">
        <f t="shared" si="80"/>
        <v>0</v>
      </c>
      <c r="CVH43">
        <f t="shared" si="80"/>
        <v>0</v>
      </c>
      <c r="CVI43">
        <f t="shared" si="80"/>
        <v>0</v>
      </c>
      <c r="CVJ43">
        <f t="shared" si="80"/>
        <v>0</v>
      </c>
      <c r="CVK43">
        <f t="shared" si="80"/>
        <v>0</v>
      </c>
      <c r="CVL43">
        <f t="shared" si="80"/>
        <v>0</v>
      </c>
      <c r="CVM43">
        <f t="shared" si="80"/>
        <v>0</v>
      </c>
      <c r="CVN43">
        <f t="shared" si="80"/>
        <v>0</v>
      </c>
      <c r="CVO43">
        <f t="shared" si="80"/>
        <v>0</v>
      </c>
      <c r="CVP43">
        <f t="shared" si="80"/>
        <v>0</v>
      </c>
      <c r="CVQ43">
        <f t="shared" si="80"/>
        <v>0</v>
      </c>
      <c r="CVR43">
        <f t="shared" si="80"/>
        <v>0</v>
      </c>
      <c r="CVS43">
        <f t="shared" si="80"/>
        <v>0</v>
      </c>
      <c r="CVT43">
        <f t="shared" si="80"/>
        <v>0</v>
      </c>
      <c r="CVU43">
        <f t="shared" si="80"/>
        <v>0</v>
      </c>
      <c r="CVV43">
        <f t="shared" si="81"/>
        <v>0</v>
      </c>
      <c r="CVW43">
        <f t="shared" si="81"/>
        <v>0</v>
      </c>
      <c r="CVX43">
        <f t="shared" si="81"/>
        <v>0</v>
      </c>
      <c r="CVY43">
        <f t="shared" si="81"/>
        <v>0</v>
      </c>
      <c r="CVZ43">
        <f t="shared" si="81"/>
        <v>0</v>
      </c>
      <c r="CWA43">
        <f t="shared" si="81"/>
        <v>0</v>
      </c>
      <c r="CWB43">
        <f t="shared" si="81"/>
        <v>0</v>
      </c>
      <c r="CWC43">
        <f t="shared" si="81"/>
        <v>0</v>
      </c>
      <c r="CWD43">
        <f t="shared" si="81"/>
        <v>0</v>
      </c>
      <c r="CWE43">
        <f t="shared" si="81"/>
        <v>0</v>
      </c>
      <c r="CWF43">
        <f t="shared" si="81"/>
        <v>0</v>
      </c>
      <c r="CWG43">
        <f t="shared" si="81"/>
        <v>0</v>
      </c>
      <c r="CWH43">
        <f t="shared" si="81"/>
        <v>0</v>
      </c>
      <c r="CWI43">
        <f t="shared" si="81"/>
        <v>0</v>
      </c>
      <c r="CWJ43">
        <f t="shared" si="81"/>
        <v>0</v>
      </c>
      <c r="CWK43">
        <f t="shared" si="81"/>
        <v>0</v>
      </c>
      <c r="CWL43">
        <f t="shared" si="81"/>
        <v>0</v>
      </c>
      <c r="CWM43">
        <f t="shared" si="81"/>
        <v>0</v>
      </c>
      <c r="CWN43">
        <f t="shared" si="81"/>
        <v>0</v>
      </c>
      <c r="CWO43">
        <f t="shared" si="81"/>
        <v>0</v>
      </c>
      <c r="CWP43">
        <f t="shared" si="81"/>
        <v>0</v>
      </c>
      <c r="CWQ43">
        <f t="shared" si="81"/>
        <v>0</v>
      </c>
      <c r="CWR43">
        <f t="shared" si="81"/>
        <v>0</v>
      </c>
      <c r="CWS43">
        <f t="shared" si="81"/>
        <v>0</v>
      </c>
      <c r="CWT43">
        <f t="shared" si="81"/>
        <v>0</v>
      </c>
      <c r="CWU43">
        <f t="shared" si="81"/>
        <v>0</v>
      </c>
      <c r="CWV43">
        <f t="shared" si="81"/>
        <v>0</v>
      </c>
      <c r="CWW43">
        <f t="shared" si="81"/>
        <v>0</v>
      </c>
      <c r="CWX43">
        <f t="shared" si="81"/>
        <v>0</v>
      </c>
      <c r="CWY43">
        <f t="shared" si="81"/>
        <v>0</v>
      </c>
      <c r="CWZ43">
        <f t="shared" si="81"/>
        <v>0</v>
      </c>
      <c r="CXA43">
        <f t="shared" si="81"/>
        <v>0</v>
      </c>
      <c r="CXB43">
        <f t="shared" si="81"/>
        <v>0</v>
      </c>
      <c r="CXC43">
        <f t="shared" si="81"/>
        <v>0</v>
      </c>
      <c r="CXD43">
        <f t="shared" si="81"/>
        <v>0</v>
      </c>
      <c r="CXE43">
        <f t="shared" si="81"/>
        <v>0</v>
      </c>
      <c r="CXF43">
        <f t="shared" si="81"/>
        <v>0</v>
      </c>
      <c r="CXG43">
        <f t="shared" si="81"/>
        <v>0</v>
      </c>
      <c r="CXH43">
        <f t="shared" si="81"/>
        <v>0</v>
      </c>
      <c r="CXI43">
        <f t="shared" si="81"/>
        <v>0</v>
      </c>
      <c r="CXJ43">
        <f t="shared" si="81"/>
        <v>0</v>
      </c>
      <c r="CXK43">
        <f t="shared" si="81"/>
        <v>0</v>
      </c>
      <c r="CXL43">
        <f t="shared" si="81"/>
        <v>0</v>
      </c>
      <c r="CXM43">
        <f t="shared" si="81"/>
        <v>0</v>
      </c>
      <c r="CXN43">
        <f t="shared" si="81"/>
        <v>0</v>
      </c>
      <c r="CXO43">
        <f t="shared" si="81"/>
        <v>0</v>
      </c>
      <c r="CXP43">
        <f t="shared" si="81"/>
        <v>0</v>
      </c>
      <c r="CXQ43">
        <f t="shared" si="81"/>
        <v>0</v>
      </c>
      <c r="CXR43">
        <f t="shared" si="81"/>
        <v>0</v>
      </c>
      <c r="CXS43">
        <f t="shared" si="81"/>
        <v>0</v>
      </c>
      <c r="CXT43">
        <f t="shared" si="81"/>
        <v>0</v>
      </c>
      <c r="CXU43">
        <f t="shared" si="81"/>
        <v>0</v>
      </c>
      <c r="CXV43">
        <f t="shared" si="81"/>
        <v>0</v>
      </c>
      <c r="CXW43">
        <f t="shared" si="81"/>
        <v>0</v>
      </c>
      <c r="CXX43">
        <f t="shared" si="81"/>
        <v>0</v>
      </c>
      <c r="CXY43">
        <f t="shared" si="81"/>
        <v>0</v>
      </c>
      <c r="CXZ43">
        <f t="shared" si="81"/>
        <v>0</v>
      </c>
      <c r="CYA43">
        <f t="shared" si="81"/>
        <v>0</v>
      </c>
      <c r="CYB43">
        <f t="shared" si="81"/>
        <v>0</v>
      </c>
      <c r="CYC43">
        <f t="shared" si="81"/>
        <v>0</v>
      </c>
      <c r="CYD43">
        <f t="shared" si="81"/>
        <v>0</v>
      </c>
      <c r="CYE43">
        <f t="shared" si="81"/>
        <v>0</v>
      </c>
      <c r="CYF43">
        <f t="shared" si="81"/>
        <v>0</v>
      </c>
      <c r="CYG43">
        <f t="shared" si="81"/>
        <v>0</v>
      </c>
      <c r="CYH43">
        <f t="shared" si="82"/>
        <v>0</v>
      </c>
      <c r="CYI43">
        <f t="shared" si="82"/>
        <v>0</v>
      </c>
      <c r="CYJ43">
        <f t="shared" si="82"/>
        <v>0</v>
      </c>
      <c r="CYK43">
        <f t="shared" si="82"/>
        <v>0</v>
      </c>
      <c r="CYL43">
        <f t="shared" si="82"/>
        <v>0</v>
      </c>
      <c r="CYM43">
        <f t="shared" si="82"/>
        <v>0</v>
      </c>
      <c r="CYN43">
        <f t="shared" si="82"/>
        <v>0</v>
      </c>
      <c r="CYO43">
        <f t="shared" si="82"/>
        <v>0</v>
      </c>
      <c r="CYP43">
        <f t="shared" si="82"/>
        <v>0</v>
      </c>
      <c r="CYQ43">
        <f t="shared" si="82"/>
        <v>0</v>
      </c>
      <c r="CYR43">
        <f t="shared" si="82"/>
        <v>0</v>
      </c>
      <c r="CYS43">
        <f t="shared" si="82"/>
        <v>0</v>
      </c>
      <c r="CYT43">
        <f t="shared" si="82"/>
        <v>0</v>
      </c>
      <c r="CYU43">
        <f t="shared" si="82"/>
        <v>0</v>
      </c>
      <c r="CYV43">
        <f t="shared" si="82"/>
        <v>0</v>
      </c>
      <c r="CYW43">
        <f t="shared" si="82"/>
        <v>0</v>
      </c>
      <c r="CYX43">
        <f t="shared" si="82"/>
        <v>0</v>
      </c>
      <c r="CYY43">
        <f t="shared" si="82"/>
        <v>0</v>
      </c>
      <c r="CYZ43">
        <f t="shared" si="82"/>
        <v>0</v>
      </c>
      <c r="CZA43">
        <f t="shared" si="82"/>
        <v>0</v>
      </c>
      <c r="CZB43">
        <f t="shared" si="82"/>
        <v>0</v>
      </c>
      <c r="CZC43">
        <f t="shared" si="82"/>
        <v>0</v>
      </c>
      <c r="CZD43">
        <f t="shared" si="82"/>
        <v>0</v>
      </c>
      <c r="CZE43">
        <f t="shared" si="82"/>
        <v>0</v>
      </c>
      <c r="CZF43">
        <f t="shared" si="82"/>
        <v>0</v>
      </c>
      <c r="CZG43">
        <f t="shared" si="82"/>
        <v>0</v>
      </c>
      <c r="CZH43">
        <f t="shared" si="82"/>
        <v>0</v>
      </c>
      <c r="CZI43">
        <f t="shared" si="82"/>
        <v>0</v>
      </c>
      <c r="CZJ43">
        <f t="shared" si="82"/>
        <v>0</v>
      </c>
      <c r="CZK43">
        <f t="shared" si="82"/>
        <v>0</v>
      </c>
      <c r="CZL43">
        <f t="shared" si="82"/>
        <v>0</v>
      </c>
      <c r="CZM43">
        <f t="shared" si="82"/>
        <v>0</v>
      </c>
      <c r="CZN43">
        <f t="shared" si="82"/>
        <v>0</v>
      </c>
      <c r="CZO43">
        <f t="shared" si="82"/>
        <v>0</v>
      </c>
      <c r="CZP43">
        <f t="shared" si="82"/>
        <v>0</v>
      </c>
      <c r="CZQ43">
        <f t="shared" si="82"/>
        <v>0</v>
      </c>
      <c r="CZR43">
        <f t="shared" si="82"/>
        <v>0</v>
      </c>
      <c r="CZS43">
        <f t="shared" si="82"/>
        <v>0</v>
      </c>
      <c r="CZT43">
        <f t="shared" si="82"/>
        <v>0</v>
      </c>
      <c r="CZU43">
        <f t="shared" si="82"/>
        <v>0</v>
      </c>
      <c r="CZV43">
        <f t="shared" si="82"/>
        <v>0</v>
      </c>
      <c r="CZW43">
        <f t="shared" si="82"/>
        <v>0</v>
      </c>
      <c r="CZX43">
        <f t="shared" si="82"/>
        <v>0</v>
      </c>
      <c r="CZY43">
        <f t="shared" si="82"/>
        <v>0</v>
      </c>
      <c r="CZZ43">
        <f t="shared" si="82"/>
        <v>0</v>
      </c>
      <c r="DAA43">
        <f t="shared" si="82"/>
        <v>0</v>
      </c>
      <c r="DAB43">
        <f t="shared" si="82"/>
        <v>0</v>
      </c>
      <c r="DAC43">
        <f t="shared" si="82"/>
        <v>0</v>
      </c>
      <c r="DAD43">
        <f t="shared" si="82"/>
        <v>0</v>
      </c>
      <c r="DAE43">
        <f t="shared" si="82"/>
        <v>0</v>
      </c>
      <c r="DAF43">
        <f t="shared" si="82"/>
        <v>0</v>
      </c>
      <c r="DAG43">
        <f t="shared" si="82"/>
        <v>0</v>
      </c>
      <c r="DAH43">
        <f t="shared" si="82"/>
        <v>0</v>
      </c>
      <c r="DAI43">
        <f t="shared" si="82"/>
        <v>0</v>
      </c>
      <c r="DAJ43">
        <f t="shared" si="82"/>
        <v>0</v>
      </c>
      <c r="DAK43">
        <f t="shared" si="82"/>
        <v>0</v>
      </c>
      <c r="DAL43">
        <f t="shared" si="82"/>
        <v>0</v>
      </c>
      <c r="DAM43">
        <f t="shared" si="82"/>
        <v>0</v>
      </c>
      <c r="DAN43">
        <f t="shared" si="82"/>
        <v>0</v>
      </c>
      <c r="DAO43">
        <f t="shared" si="82"/>
        <v>0</v>
      </c>
      <c r="DAP43">
        <f t="shared" si="82"/>
        <v>0</v>
      </c>
      <c r="DAQ43">
        <f t="shared" si="82"/>
        <v>0</v>
      </c>
      <c r="DAR43">
        <f t="shared" si="82"/>
        <v>0</v>
      </c>
      <c r="DAS43">
        <f t="shared" si="82"/>
        <v>0</v>
      </c>
      <c r="DAT43">
        <f t="shared" si="83"/>
        <v>0</v>
      </c>
      <c r="DAU43">
        <f t="shared" si="83"/>
        <v>0</v>
      </c>
      <c r="DAV43">
        <f t="shared" si="83"/>
        <v>0</v>
      </c>
      <c r="DAW43">
        <f t="shared" si="83"/>
        <v>0</v>
      </c>
      <c r="DAX43">
        <f t="shared" si="83"/>
        <v>0</v>
      </c>
      <c r="DAY43">
        <f t="shared" si="83"/>
        <v>0</v>
      </c>
      <c r="DAZ43">
        <f t="shared" si="83"/>
        <v>0</v>
      </c>
      <c r="DBA43">
        <f t="shared" si="83"/>
        <v>0</v>
      </c>
      <c r="DBB43">
        <f t="shared" si="83"/>
        <v>0</v>
      </c>
      <c r="DBC43">
        <f t="shared" si="83"/>
        <v>0</v>
      </c>
      <c r="DBD43">
        <f t="shared" si="83"/>
        <v>0</v>
      </c>
      <c r="DBE43">
        <f t="shared" si="83"/>
        <v>0</v>
      </c>
      <c r="DBF43">
        <f t="shared" si="83"/>
        <v>0</v>
      </c>
      <c r="DBG43">
        <f t="shared" si="83"/>
        <v>0</v>
      </c>
      <c r="DBH43">
        <f t="shared" si="83"/>
        <v>0</v>
      </c>
      <c r="DBI43">
        <f t="shared" si="83"/>
        <v>0</v>
      </c>
      <c r="DBJ43">
        <f t="shared" si="83"/>
        <v>0</v>
      </c>
      <c r="DBK43">
        <f t="shared" si="83"/>
        <v>0</v>
      </c>
      <c r="DBL43">
        <f t="shared" si="83"/>
        <v>0</v>
      </c>
      <c r="DBM43">
        <f t="shared" si="83"/>
        <v>0</v>
      </c>
      <c r="DBN43">
        <f t="shared" si="83"/>
        <v>0</v>
      </c>
      <c r="DBO43">
        <f t="shared" si="83"/>
        <v>0</v>
      </c>
      <c r="DBP43">
        <f t="shared" si="83"/>
        <v>0</v>
      </c>
      <c r="DBQ43">
        <f t="shared" si="83"/>
        <v>0</v>
      </c>
      <c r="DBR43">
        <f t="shared" si="83"/>
        <v>0</v>
      </c>
      <c r="DBS43">
        <f t="shared" si="83"/>
        <v>0</v>
      </c>
      <c r="DBT43">
        <f t="shared" si="83"/>
        <v>0</v>
      </c>
      <c r="DBU43">
        <f t="shared" si="83"/>
        <v>0</v>
      </c>
      <c r="DBV43">
        <f t="shared" si="83"/>
        <v>0</v>
      </c>
      <c r="DBW43">
        <f t="shared" si="83"/>
        <v>0</v>
      </c>
      <c r="DBX43">
        <f t="shared" si="83"/>
        <v>0</v>
      </c>
      <c r="DBY43">
        <f t="shared" si="83"/>
        <v>0</v>
      </c>
      <c r="DBZ43">
        <f t="shared" si="83"/>
        <v>0</v>
      </c>
      <c r="DCA43">
        <f t="shared" si="83"/>
        <v>0</v>
      </c>
      <c r="DCB43">
        <f t="shared" si="83"/>
        <v>0</v>
      </c>
      <c r="DCC43">
        <f t="shared" si="83"/>
        <v>0</v>
      </c>
      <c r="DCD43">
        <f t="shared" si="83"/>
        <v>0</v>
      </c>
      <c r="DCE43">
        <f t="shared" si="83"/>
        <v>0</v>
      </c>
      <c r="DCF43">
        <f t="shared" si="83"/>
        <v>0</v>
      </c>
      <c r="DCG43">
        <f t="shared" si="83"/>
        <v>0</v>
      </c>
      <c r="DCH43">
        <f t="shared" si="83"/>
        <v>0</v>
      </c>
      <c r="DCI43">
        <f t="shared" si="83"/>
        <v>0</v>
      </c>
      <c r="DCJ43">
        <f t="shared" si="83"/>
        <v>0</v>
      </c>
      <c r="DCK43">
        <f t="shared" si="83"/>
        <v>0</v>
      </c>
      <c r="DCL43">
        <f t="shared" si="83"/>
        <v>0</v>
      </c>
      <c r="DCM43">
        <f t="shared" si="83"/>
        <v>0</v>
      </c>
      <c r="DCN43">
        <f t="shared" si="83"/>
        <v>0</v>
      </c>
      <c r="DCO43">
        <f t="shared" si="83"/>
        <v>0</v>
      </c>
      <c r="DCP43">
        <f t="shared" si="83"/>
        <v>0</v>
      </c>
      <c r="DCQ43">
        <f t="shared" si="83"/>
        <v>0</v>
      </c>
      <c r="DCR43">
        <f t="shared" si="83"/>
        <v>0</v>
      </c>
      <c r="DCS43">
        <f t="shared" si="83"/>
        <v>0</v>
      </c>
      <c r="DCT43">
        <f t="shared" si="83"/>
        <v>0</v>
      </c>
      <c r="DCU43">
        <f t="shared" si="83"/>
        <v>0</v>
      </c>
      <c r="DCV43">
        <f t="shared" si="83"/>
        <v>0</v>
      </c>
      <c r="DCW43">
        <f t="shared" si="83"/>
        <v>0</v>
      </c>
      <c r="DCX43">
        <f t="shared" si="83"/>
        <v>0</v>
      </c>
      <c r="DCY43">
        <f t="shared" si="83"/>
        <v>0</v>
      </c>
      <c r="DCZ43">
        <f t="shared" si="83"/>
        <v>0</v>
      </c>
      <c r="DDA43">
        <f t="shared" si="83"/>
        <v>0</v>
      </c>
      <c r="DDB43">
        <f t="shared" si="83"/>
        <v>0</v>
      </c>
      <c r="DDC43">
        <f t="shared" si="83"/>
        <v>0</v>
      </c>
      <c r="DDD43">
        <f t="shared" si="83"/>
        <v>0</v>
      </c>
      <c r="DDE43">
        <f t="shared" si="83"/>
        <v>0</v>
      </c>
      <c r="DDF43">
        <f t="shared" si="84"/>
        <v>0</v>
      </c>
      <c r="DDG43">
        <f t="shared" si="84"/>
        <v>0</v>
      </c>
      <c r="DDH43">
        <f t="shared" si="84"/>
        <v>0</v>
      </c>
      <c r="DDI43">
        <f t="shared" si="84"/>
        <v>0</v>
      </c>
      <c r="DDJ43">
        <f t="shared" si="84"/>
        <v>0</v>
      </c>
      <c r="DDK43">
        <f t="shared" si="84"/>
        <v>0</v>
      </c>
      <c r="DDL43">
        <f t="shared" si="84"/>
        <v>0</v>
      </c>
      <c r="DDM43">
        <f t="shared" si="84"/>
        <v>0</v>
      </c>
      <c r="DDN43">
        <f t="shared" si="84"/>
        <v>0</v>
      </c>
      <c r="DDO43">
        <f t="shared" si="84"/>
        <v>0</v>
      </c>
      <c r="DDP43">
        <f t="shared" si="84"/>
        <v>0</v>
      </c>
      <c r="DDQ43">
        <f t="shared" si="84"/>
        <v>0</v>
      </c>
      <c r="DDR43">
        <f t="shared" si="84"/>
        <v>0</v>
      </c>
      <c r="DDS43">
        <f t="shared" si="84"/>
        <v>0</v>
      </c>
      <c r="DDT43">
        <f t="shared" si="84"/>
        <v>0</v>
      </c>
      <c r="DDU43">
        <f t="shared" si="84"/>
        <v>0</v>
      </c>
      <c r="DDV43">
        <f t="shared" si="84"/>
        <v>0</v>
      </c>
      <c r="DDW43">
        <f t="shared" si="84"/>
        <v>0</v>
      </c>
      <c r="DDX43">
        <f t="shared" si="84"/>
        <v>0</v>
      </c>
      <c r="DDY43">
        <f t="shared" si="84"/>
        <v>0</v>
      </c>
      <c r="DDZ43">
        <f t="shared" si="84"/>
        <v>0</v>
      </c>
      <c r="DEA43">
        <f t="shared" si="84"/>
        <v>0</v>
      </c>
      <c r="DEB43">
        <f t="shared" si="84"/>
        <v>0</v>
      </c>
      <c r="DEC43">
        <f t="shared" si="84"/>
        <v>0</v>
      </c>
      <c r="DED43">
        <f t="shared" si="84"/>
        <v>0</v>
      </c>
      <c r="DEE43">
        <f t="shared" si="84"/>
        <v>0</v>
      </c>
      <c r="DEF43">
        <f t="shared" si="84"/>
        <v>0</v>
      </c>
      <c r="DEG43">
        <f t="shared" si="84"/>
        <v>0</v>
      </c>
      <c r="DEH43">
        <f t="shared" si="84"/>
        <v>0</v>
      </c>
      <c r="DEI43">
        <f t="shared" si="84"/>
        <v>0</v>
      </c>
      <c r="DEJ43">
        <f t="shared" si="84"/>
        <v>0</v>
      </c>
      <c r="DEK43">
        <f t="shared" si="84"/>
        <v>0</v>
      </c>
      <c r="DEL43">
        <f t="shared" si="84"/>
        <v>0</v>
      </c>
      <c r="DEM43">
        <f t="shared" si="84"/>
        <v>0</v>
      </c>
      <c r="DEN43">
        <f t="shared" si="84"/>
        <v>0</v>
      </c>
      <c r="DEO43">
        <f t="shared" si="84"/>
        <v>0</v>
      </c>
      <c r="DEP43">
        <f t="shared" si="84"/>
        <v>0</v>
      </c>
      <c r="DEQ43">
        <f t="shared" si="84"/>
        <v>0</v>
      </c>
      <c r="DER43">
        <f t="shared" si="84"/>
        <v>0</v>
      </c>
      <c r="DES43">
        <f t="shared" si="84"/>
        <v>0</v>
      </c>
      <c r="DET43">
        <f t="shared" si="84"/>
        <v>0</v>
      </c>
      <c r="DEU43">
        <f t="shared" si="84"/>
        <v>0</v>
      </c>
      <c r="DEV43">
        <f t="shared" si="84"/>
        <v>0</v>
      </c>
      <c r="DEW43">
        <f t="shared" si="84"/>
        <v>0</v>
      </c>
      <c r="DEX43">
        <f t="shared" si="84"/>
        <v>0</v>
      </c>
      <c r="DEY43">
        <f t="shared" si="84"/>
        <v>0</v>
      </c>
      <c r="DEZ43">
        <f t="shared" si="84"/>
        <v>0</v>
      </c>
      <c r="DFA43">
        <f t="shared" si="84"/>
        <v>0</v>
      </c>
      <c r="DFB43">
        <f t="shared" si="84"/>
        <v>0</v>
      </c>
      <c r="DFC43">
        <f t="shared" si="84"/>
        <v>0</v>
      </c>
      <c r="DFD43">
        <f t="shared" si="84"/>
        <v>0</v>
      </c>
      <c r="DFE43">
        <f t="shared" si="84"/>
        <v>0</v>
      </c>
      <c r="DFF43">
        <f t="shared" si="84"/>
        <v>0</v>
      </c>
      <c r="DFG43">
        <f t="shared" si="84"/>
        <v>0</v>
      </c>
      <c r="DFH43">
        <f t="shared" si="84"/>
        <v>0</v>
      </c>
      <c r="DFI43">
        <f t="shared" si="84"/>
        <v>0</v>
      </c>
      <c r="DFJ43">
        <f t="shared" si="84"/>
        <v>0</v>
      </c>
      <c r="DFK43">
        <f t="shared" si="84"/>
        <v>0</v>
      </c>
      <c r="DFL43">
        <f t="shared" si="84"/>
        <v>0</v>
      </c>
      <c r="DFM43">
        <f t="shared" si="84"/>
        <v>0</v>
      </c>
      <c r="DFN43">
        <f t="shared" si="84"/>
        <v>0</v>
      </c>
      <c r="DFO43">
        <f t="shared" si="84"/>
        <v>0</v>
      </c>
      <c r="DFP43">
        <f t="shared" si="84"/>
        <v>0</v>
      </c>
      <c r="DFQ43">
        <f t="shared" si="84"/>
        <v>0</v>
      </c>
      <c r="DFR43">
        <f t="shared" si="85"/>
        <v>0</v>
      </c>
      <c r="DFS43">
        <f t="shared" si="85"/>
        <v>0</v>
      </c>
      <c r="DFT43">
        <f t="shared" si="85"/>
        <v>0</v>
      </c>
      <c r="DFU43">
        <f t="shared" si="85"/>
        <v>0</v>
      </c>
      <c r="DFV43">
        <f t="shared" si="85"/>
        <v>0</v>
      </c>
      <c r="DFW43">
        <f t="shared" si="85"/>
        <v>0</v>
      </c>
      <c r="DFX43">
        <f t="shared" si="85"/>
        <v>0</v>
      </c>
      <c r="DFY43">
        <f t="shared" si="85"/>
        <v>0</v>
      </c>
      <c r="DFZ43">
        <f t="shared" si="85"/>
        <v>0</v>
      </c>
      <c r="DGA43">
        <f t="shared" si="85"/>
        <v>0</v>
      </c>
      <c r="DGB43">
        <f t="shared" si="85"/>
        <v>0</v>
      </c>
      <c r="DGC43">
        <f t="shared" si="85"/>
        <v>0</v>
      </c>
      <c r="DGD43">
        <f t="shared" si="85"/>
        <v>0</v>
      </c>
      <c r="DGE43">
        <f t="shared" si="85"/>
        <v>0</v>
      </c>
      <c r="DGF43">
        <f t="shared" si="85"/>
        <v>0</v>
      </c>
      <c r="DGG43">
        <f t="shared" si="85"/>
        <v>0</v>
      </c>
      <c r="DGH43">
        <f t="shared" si="85"/>
        <v>0</v>
      </c>
      <c r="DGI43">
        <f t="shared" si="85"/>
        <v>0</v>
      </c>
      <c r="DGJ43">
        <f t="shared" si="85"/>
        <v>0</v>
      </c>
      <c r="DGK43">
        <f t="shared" si="85"/>
        <v>0</v>
      </c>
      <c r="DGL43">
        <f t="shared" si="85"/>
        <v>0</v>
      </c>
      <c r="DGM43">
        <f t="shared" si="85"/>
        <v>0</v>
      </c>
      <c r="DGN43">
        <f t="shared" si="85"/>
        <v>0</v>
      </c>
      <c r="DGO43">
        <f t="shared" si="85"/>
        <v>0</v>
      </c>
      <c r="DGP43">
        <f t="shared" si="85"/>
        <v>0</v>
      </c>
      <c r="DGQ43">
        <f t="shared" si="85"/>
        <v>0</v>
      </c>
      <c r="DGR43">
        <f t="shared" si="85"/>
        <v>0</v>
      </c>
      <c r="DGS43">
        <f t="shared" si="85"/>
        <v>0</v>
      </c>
      <c r="DGT43">
        <f t="shared" si="85"/>
        <v>0</v>
      </c>
      <c r="DGU43">
        <f t="shared" si="85"/>
        <v>0</v>
      </c>
      <c r="DGV43">
        <f t="shared" si="85"/>
        <v>0</v>
      </c>
      <c r="DGW43">
        <f t="shared" si="85"/>
        <v>0</v>
      </c>
      <c r="DGX43">
        <f t="shared" si="85"/>
        <v>0</v>
      </c>
      <c r="DGY43">
        <f t="shared" si="85"/>
        <v>0</v>
      </c>
      <c r="DGZ43">
        <f t="shared" si="85"/>
        <v>0</v>
      </c>
      <c r="DHA43">
        <f t="shared" si="85"/>
        <v>0</v>
      </c>
      <c r="DHB43">
        <f t="shared" si="85"/>
        <v>0</v>
      </c>
      <c r="DHC43">
        <f t="shared" si="85"/>
        <v>0</v>
      </c>
      <c r="DHD43">
        <f t="shared" si="85"/>
        <v>0</v>
      </c>
      <c r="DHE43">
        <f t="shared" si="85"/>
        <v>0</v>
      </c>
      <c r="DHF43">
        <f t="shared" si="85"/>
        <v>0</v>
      </c>
      <c r="DHG43">
        <f t="shared" si="85"/>
        <v>0</v>
      </c>
      <c r="DHH43">
        <f t="shared" si="85"/>
        <v>0</v>
      </c>
      <c r="DHI43">
        <f t="shared" si="85"/>
        <v>0</v>
      </c>
      <c r="DHJ43">
        <f t="shared" si="85"/>
        <v>0</v>
      </c>
      <c r="DHK43">
        <f t="shared" si="85"/>
        <v>0</v>
      </c>
      <c r="DHL43">
        <f t="shared" si="85"/>
        <v>0</v>
      </c>
      <c r="DHM43">
        <f t="shared" si="85"/>
        <v>0</v>
      </c>
      <c r="DHN43">
        <f t="shared" si="85"/>
        <v>0</v>
      </c>
      <c r="DHO43">
        <f t="shared" si="85"/>
        <v>0</v>
      </c>
      <c r="DHP43">
        <f t="shared" si="85"/>
        <v>0</v>
      </c>
      <c r="DHQ43">
        <f t="shared" si="85"/>
        <v>0</v>
      </c>
      <c r="DHR43">
        <f t="shared" si="85"/>
        <v>0</v>
      </c>
      <c r="DHS43">
        <f t="shared" si="85"/>
        <v>0</v>
      </c>
      <c r="DHT43">
        <f t="shared" si="85"/>
        <v>0</v>
      </c>
      <c r="DHU43">
        <f t="shared" si="85"/>
        <v>0</v>
      </c>
      <c r="DHV43">
        <f t="shared" si="85"/>
        <v>0</v>
      </c>
      <c r="DHW43">
        <f t="shared" si="85"/>
        <v>0</v>
      </c>
      <c r="DHX43">
        <f t="shared" si="85"/>
        <v>0</v>
      </c>
      <c r="DHY43">
        <f t="shared" si="85"/>
        <v>0</v>
      </c>
      <c r="DHZ43">
        <f t="shared" si="85"/>
        <v>0</v>
      </c>
      <c r="DIA43">
        <f t="shared" si="85"/>
        <v>0</v>
      </c>
      <c r="DIB43">
        <f t="shared" si="85"/>
        <v>0</v>
      </c>
      <c r="DIC43">
        <f t="shared" si="85"/>
        <v>0</v>
      </c>
      <c r="DID43">
        <f t="shared" si="86"/>
        <v>0</v>
      </c>
      <c r="DIE43">
        <f t="shared" si="86"/>
        <v>0</v>
      </c>
      <c r="DIF43">
        <f t="shared" si="86"/>
        <v>0</v>
      </c>
      <c r="DIG43">
        <f t="shared" si="86"/>
        <v>0</v>
      </c>
      <c r="DIH43">
        <f t="shared" si="86"/>
        <v>0</v>
      </c>
      <c r="DII43">
        <f t="shared" si="86"/>
        <v>0</v>
      </c>
      <c r="DIJ43">
        <f t="shared" si="86"/>
        <v>0</v>
      </c>
      <c r="DIK43">
        <f t="shared" si="86"/>
        <v>0</v>
      </c>
      <c r="DIL43">
        <f t="shared" si="86"/>
        <v>0</v>
      </c>
      <c r="DIM43">
        <f t="shared" si="86"/>
        <v>0</v>
      </c>
      <c r="DIN43">
        <f t="shared" si="86"/>
        <v>0</v>
      </c>
      <c r="DIO43">
        <f t="shared" si="86"/>
        <v>0</v>
      </c>
      <c r="DIP43">
        <f t="shared" si="86"/>
        <v>0</v>
      </c>
      <c r="DIQ43">
        <f t="shared" si="86"/>
        <v>0</v>
      </c>
      <c r="DIR43">
        <f t="shared" si="86"/>
        <v>0</v>
      </c>
      <c r="DIS43">
        <f t="shared" si="86"/>
        <v>0</v>
      </c>
      <c r="DIT43">
        <f t="shared" si="86"/>
        <v>0</v>
      </c>
      <c r="DIU43">
        <f t="shared" si="86"/>
        <v>0</v>
      </c>
      <c r="DIV43">
        <f t="shared" si="86"/>
        <v>0</v>
      </c>
      <c r="DIW43">
        <f t="shared" si="86"/>
        <v>0</v>
      </c>
      <c r="DIX43">
        <f t="shared" si="86"/>
        <v>0</v>
      </c>
      <c r="DIY43">
        <f t="shared" si="86"/>
        <v>0</v>
      </c>
      <c r="DIZ43">
        <f t="shared" si="86"/>
        <v>0</v>
      </c>
      <c r="DJA43">
        <f t="shared" si="86"/>
        <v>0</v>
      </c>
      <c r="DJB43">
        <f t="shared" si="86"/>
        <v>0</v>
      </c>
      <c r="DJC43">
        <f t="shared" si="86"/>
        <v>0</v>
      </c>
      <c r="DJD43">
        <f t="shared" si="86"/>
        <v>0</v>
      </c>
      <c r="DJE43">
        <f t="shared" si="86"/>
        <v>0</v>
      </c>
      <c r="DJF43">
        <f t="shared" si="86"/>
        <v>0</v>
      </c>
      <c r="DJG43">
        <f t="shared" si="86"/>
        <v>0</v>
      </c>
      <c r="DJH43">
        <f t="shared" si="86"/>
        <v>0</v>
      </c>
      <c r="DJI43">
        <f t="shared" si="86"/>
        <v>0</v>
      </c>
      <c r="DJJ43">
        <f t="shared" si="86"/>
        <v>0</v>
      </c>
      <c r="DJK43">
        <f t="shared" si="86"/>
        <v>0</v>
      </c>
      <c r="DJL43">
        <f t="shared" si="86"/>
        <v>0</v>
      </c>
      <c r="DJM43">
        <f t="shared" si="86"/>
        <v>0</v>
      </c>
      <c r="DJN43">
        <f t="shared" si="86"/>
        <v>0</v>
      </c>
      <c r="DJO43">
        <f t="shared" si="86"/>
        <v>0</v>
      </c>
      <c r="DJP43">
        <f t="shared" si="86"/>
        <v>0</v>
      </c>
      <c r="DJQ43">
        <f t="shared" si="86"/>
        <v>0</v>
      </c>
      <c r="DJR43">
        <f t="shared" si="86"/>
        <v>0</v>
      </c>
      <c r="DJS43">
        <f t="shared" si="86"/>
        <v>0</v>
      </c>
      <c r="DJT43">
        <f t="shared" si="86"/>
        <v>0</v>
      </c>
      <c r="DJU43">
        <f t="shared" si="86"/>
        <v>0</v>
      </c>
      <c r="DJV43">
        <f t="shared" si="86"/>
        <v>0</v>
      </c>
      <c r="DJW43">
        <f t="shared" si="86"/>
        <v>0</v>
      </c>
      <c r="DJX43">
        <f t="shared" si="86"/>
        <v>0</v>
      </c>
      <c r="DJY43">
        <f t="shared" si="86"/>
        <v>0</v>
      </c>
      <c r="DJZ43">
        <f t="shared" si="86"/>
        <v>0</v>
      </c>
      <c r="DKA43">
        <f t="shared" si="86"/>
        <v>0</v>
      </c>
      <c r="DKB43">
        <f t="shared" si="86"/>
        <v>0</v>
      </c>
      <c r="DKC43">
        <f t="shared" si="86"/>
        <v>0</v>
      </c>
      <c r="DKD43">
        <f t="shared" si="86"/>
        <v>0</v>
      </c>
      <c r="DKE43">
        <f t="shared" si="86"/>
        <v>0</v>
      </c>
      <c r="DKF43">
        <f t="shared" si="86"/>
        <v>0</v>
      </c>
      <c r="DKG43">
        <f t="shared" si="86"/>
        <v>0</v>
      </c>
      <c r="DKH43">
        <f t="shared" si="86"/>
        <v>0</v>
      </c>
      <c r="DKI43">
        <f t="shared" si="86"/>
        <v>0</v>
      </c>
      <c r="DKJ43">
        <f t="shared" si="86"/>
        <v>0</v>
      </c>
      <c r="DKK43">
        <f t="shared" si="86"/>
        <v>0</v>
      </c>
      <c r="DKL43">
        <f t="shared" si="86"/>
        <v>0</v>
      </c>
      <c r="DKM43">
        <f t="shared" si="86"/>
        <v>0</v>
      </c>
      <c r="DKN43">
        <f t="shared" si="86"/>
        <v>0</v>
      </c>
      <c r="DKO43">
        <f t="shared" si="86"/>
        <v>0</v>
      </c>
      <c r="DKP43">
        <f t="shared" si="87"/>
        <v>0</v>
      </c>
      <c r="DKQ43">
        <f t="shared" si="87"/>
        <v>0</v>
      </c>
      <c r="DKR43">
        <f t="shared" si="87"/>
        <v>0</v>
      </c>
      <c r="DKS43">
        <f t="shared" si="87"/>
        <v>0</v>
      </c>
      <c r="DKT43">
        <f t="shared" si="87"/>
        <v>0</v>
      </c>
      <c r="DKU43">
        <f t="shared" si="87"/>
        <v>0</v>
      </c>
      <c r="DKV43">
        <f t="shared" si="87"/>
        <v>0</v>
      </c>
      <c r="DKW43">
        <f t="shared" si="87"/>
        <v>0</v>
      </c>
      <c r="DKX43">
        <f t="shared" si="87"/>
        <v>0</v>
      </c>
      <c r="DKY43">
        <f t="shared" si="87"/>
        <v>0</v>
      </c>
      <c r="DKZ43">
        <f t="shared" si="87"/>
        <v>0</v>
      </c>
      <c r="DLA43">
        <f t="shared" si="87"/>
        <v>0</v>
      </c>
      <c r="DLB43">
        <f t="shared" si="87"/>
        <v>0</v>
      </c>
      <c r="DLC43">
        <f t="shared" si="87"/>
        <v>0</v>
      </c>
      <c r="DLD43">
        <f t="shared" si="87"/>
        <v>0</v>
      </c>
      <c r="DLE43">
        <f t="shared" si="87"/>
        <v>0</v>
      </c>
      <c r="DLF43">
        <f t="shared" si="87"/>
        <v>0</v>
      </c>
      <c r="DLG43">
        <f t="shared" si="87"/>
        <v>0</v>
      </c>
      <c r="DLH43">
        <f t="shared" si="87"/>
        <v>0</v>
      </c>
      <c r="DLI43">
        <f t="shared" si="87"/>
        <v>0</v>
      </c>
      <c r="DLJ43">
        <f t="shared" si="87"/>
        <v>0</v>
      </c>
      <c r="DLK43">
        <f t="shared" si="87"/>
        <v>0</v>
      </c>
      <c r="DLL43">
        <f t="shared" si="87"/>
        <v>0</v>
      </c>
      <c r="DLM43">
        <f t="shared" si="87"/>
        <v>0</v>
      </c>
      <c r="DLN43">
        <f t="shared" si="87"/>
        <v>0</v>
      </c>
      <c r="DLO43">
        <f t="shared" si="87"/>
        <v>0</v>
      </c>
      <c r="DLP43">
        <f t="shared" si="87"/>
        <v>0</v>
      </c>
      <c r="DLQ43">
        <f t="shared" si="87"/>
        <v>0</v>
      </c>
      <c r="DLR43">
        <f t="shared" si="87"/>
        <v>0</v>
      </c>
      <c r="DLS43">
        <f t="shared" si="87"/>
        <v>0</v>
      </c>
      <c r="DLT43">
        <f t="shared" si="87"/>
        <v>0</v>
      </c>
      <c r="DLU43">
        <f t="shared" si="87"/>
        <v>0</v>
      </c>
      <c r="DLV43">
        <f t="shared" si="87"/>
        <v>0</v>
      </c>
      <c r="DLW43">
        <f t="shared" si="87"/>
        <v>0</v>
      </c>
      <c r="DLX43">
        <f t="shared" si="87"/>
        <v>0</v>
      </c>
      <c r="DLY43">
        <f t="shared" si="87"/>
        <v>0</v>
      </c>
      <c r="DLZ43">
        <f t="shared" si="87"/>
        <v>0</v>
      </c>
      <c r="DMA43">
        <f t="shared" si="87"/>
        <v>0</v>
      </c>
      <c r="DMB43">
        <f t="shared" si="87"/>
        <v>0</v>
      </c>
      <c r="DMC43">
        <f t="shared" si="87"/>
        <v>0</v>
      </c>
      <c r="DMD43">
        <f t="shared" si="87"/>
        <v>0</v>
      </c>
      <c r="DME43">
        <f t="shared" si="87"/>
        <v>0</v>
      </c>
      <c r="DMF43">
        <f t="shared" si="87"/>
        <v>0</v>
      </c>
      <c r="DMG43">
        <f t="shared" si="87"/>
        <v>0</v>
      </c>
      <c r="DMH43">
        <f t="shared" si="87"/>
        <v>0</v>
      </c>
      <c r="DMI43">
        <f t="shared" si="87"/>
        <v>0</v>
      </c>
      <c r="DMJ43">
        <f t="shared" si="87"/>
        <v>0</v>
      </c>
      <c r="DMK43">
        <f t="shared" si="87"/>
        <v>0</v>
      </c>
      <c r="DML43">
        <f t="shared" si="87"/>
        <v>0</v>
      </c>
      <c r="DMM43">
        <f t="shared" si="87"/>
        <v>0</v>
      </c>
      <c r="DMN43">
        <f t="shared" si="87"/>
        <v>0</v>
      </c>
      <c r="DMO43">
        <f t="shared" si="87"/>
        <v>0</v>
      </c>
      <c r="DMP43">
        <f t="shared" si="87"/>
        <v>0</v>
      </c>
      <c r="DMQ43">
        <f t="shared" si="87"/>
        <v>0</v>
      </c>
      <c r="DMR43">
        <f t="shared" si="87"/>
        <v>0</v>
      </c>
      <c r="DMS43">
        <f t="shared" si="87"/>
        <v>0</v>
      </c>
      <c r="DMT43">
        <f t="shared" si="87"/>
        <v>0</v>
      </c>
      <c r="DMU43">
        <f t="shared" si="87"/>
        <v>0</v>
      </c>
      <c r="DMV43">
        <f t="shared" si="87"/>
        <v>0</v>
      </c>
      <c r="DMW43">
        <f t="shared" si="87"/>
        <v>0</v>
      </c>
      <c r="DMX43">
        <f t="shared" si="87"/>
        <v>0</v>
      </c>
      <c r="DMY43">
        <f t="shared" si="87"/>
        <v>0</v>
      </c>
      <c r="DMZ43">
        <f t="shared" si="87"/>
        <v>0</v>
      </c>
      <c r="DNA43">
        <f t="shared" si="87"/>
        <v>0</v>
      </c>
      <c r="DNB43">
        <f t="shared" si="88"/>
        <v>0</v>
      </c>
      <c r="DNC43">
        <f t="shared" si="88"/>
        <v>0</v>
      </c>
      <c r="DND43">
        <f t="shared" si="88"/>
        <v>0</v>
      </c>
      <c r="DNE43">
        <f t="shared" si="88"/>
        <v>0</v>
      </c>
      <c r="DNF43">
        <f t="shared" si="88"/>
        <v>0</v>
      </c>
      <c r="DNG43">
        <f t="shared" si="88"/>
        <v>0</v>
      </c>
      <c r="DNH43">
        <f t="shared" si="88"/>
        <v>0</v>
      </c>
      <c r="DNI43">
        <f t="shared" si="88"/>
        <v>0</v>
      </c>
      <c r="DNJ43">
        <f t="shared" si="88"/>
        <v>0</v>
      </c>
      <c r="DNK43">
        <f t="shared" si="88"/>
        <v>0</v>
      </c>
      <c r="DNL43">
        <f t="shared" si="88"/>
        <v>0</v>
      </c>
      <c r="DNM43">
        <f t="shared" si="88"/>
        <v>0</v>
      </c>
      <c r="DNN43">
        <f t="shared" si="88"/>
        <v>0</v>
      </c>
      <c r="DNO43">
        <f t="shared" si="88"/>
        <v>0</v>
      </c>
      <c r="DNP43">
        <f t="shared" si="88"/>
        <v>0</v>
      </c>
      <c r="DNQ43">
        <f t="shared" si="88"/>
        <v>0</v>
      </c>
      <c r="DNR43">
        <f t="shared" si="88"/>
        <v>0</v>
      </c>
      <c r="DNS43">
        <f t="shared" si="88"/>
        <v>0</v>
      </c>
      <c r="DNT43">
        <f t="shared" si="88"/>
        <v>0</v>
      </c>
      <c r="DNU43">
        <f t="shared" si="88"/>
        <v>0</v>
      </c>
      <c r="DNV43">
        <f t="shared" si="88"/>
        <v>0</v>
      </c>
      <c r="DNW43">
        <f t="shared" si="88"/>
        <v>0</v>
      </c>
      <c r="DNX43">
        <f t="shared" si="88"/>
        <v>0</v>
      </c>
      <c r="DNY43">
        <f t="shared" si="88"/>
        <v>0</v>
      </c>
      <c r="DNZ43">
        <f t="shared" si="88"/>
        <v>0</v>
      </c>
      <c r="DOA43">
        <f t="shared" si="88"/>
        <v>0</v>
      </c>
      <c r="DOB43">
        <f t="shared" si="88"/>
        <v>0</v>
      </c>
      <c r="DOC43">
        <f t="shared" si="88"/>
        <v>0</v>
      </c>
      <c r="DOD43">
        <f t="shared" si="88"/>
        <v>0</v>
      </c>
      <c r="DOE43">
        <f t="shared" si="88"/>
        <v>0</v>
      </c>
      <c r="DOF43">
        <f t="shared" si="88"/>
        <v>0</v>
      </c>
      <c r="DOG43">
        <f t="shared" si="88"/>
        <v>0</v>
      </c>
      <c r="DOH43">
        <f t="shared" si="88"/>
        <v>0</v>
      </c>
      <c r="DOI43">
        <f t="shared" si="88"/>
        <v>0</v>
      </c>
      <c r="DOJ43">
        <f t="shared" si="88"/>
        <v>0</v>
      </c>
      <c r="DOK43">
        <f t="shared" si="88"/>
        <v>0</v>
      </c>
      <c r="DOL43">
        <f t="shared" si="88"/>
        <v>0</v>
      </c>
      <c r="DOM43">
        <f t="shared" si="88"/>
        <v>0</v>
      </c>
      <c r="DON43">
        <f t="shared" si="88"/>
        <v>0</v>
      </c>
      <c r="DOO43">
        <f t="shared" si="88"/>
        <v>0</v>
      </c>
      <c r="DOP43">
        <f t="shared" si="88"/>
        <v>0</v>
      </c>
      <c r="DOQ43">
        <f t="shared" si="88"/>
        <v>0</v>
      </c>
      <c r="DOR43">
        <f t="shared" si="88"/>
        <v>0</v>
      </c>
      <c r="DOS43">
        <f t="shared" si="88"/>
        <v>0</v>
      </c>
      <c r="DOT43">
        <f t="shared" si="88"/>
        <v>0</v>
      </c>
      <c r="DOU43">
        <f t="shared" si="88"/>
        <v>0</v>
      </c>
      <c r="DOV43">
        <f t="shared" si="88"/>
        <v>0</v>
      </c>
      <c r="DOW43">
        <f t="shared" si="88"/>
        <v>0</v>
      </c>
      <c r="DOX43">
        <f t="shared" si="88"/>
        <v>0</v>
      </c>
      <c r="DOY43">
        <f t="shared" si="88"/>
        <v>0</v>
      </c>
      <c r="DOZ43">
        <f t="shared" si="88"/>
        <v>0</v>
      </c>
      <c r="DPA43">
        <f t="shared" si="88"/>
        <v>0</v>
      </c>
      <c r="DPB43">
        <f t="shared" si="88"/>
        <v>0</v>
      </c>
      <c r="DPC43">
        <f t="shared" si="88"/>
        <v>0</v>
      </c>
      <c r="DPD43">
        <f t="shared" si="88"/>
        <v>0</v>
      </c>
      <c r="DPE43">
        <f t="shared" si="88"/>
        <v>0</v>
      </c>
      <c r="DPF43">
        <f t="shared" si="88"/>
        <v>0</v>
      </c>
      <c r="DPG43">
        <f t="shared" si="88"/>
        <v>0</v>
      </c>
      <c r="DPH43">
        <f t="shared" si="88"/>
        <v>0</v>
      </c>
      <c r="DPI43">
        <f t="shared" si="88"/>
        <v>0</v>
      </c>
      <c r="DPJ43">
        <f t="shared" si="88"/>
        <v>0</v>
      </c>
      <c r="DPK43">
        <f t="shared" si="88"/>
        <v>0</v>
      </c>
      <c r="DPL43">
        <f t="shared" si="88"/>
        <v>0</v>
      </c>
      <c r="DPM43">
        <f t="shared" si="88"/>
        <v>0</v>
      </c>
      <c r="DPN43">
        <f t="shared" si="89"/>
        <v>0</v>
      </c>
      <c r="DPO43">
        <f t="shared" si="89"/>
        <v>0</v>
      </c>
      <c r="DPP43">
        <f t="shared" si="89"/>
        <v>0</v>
      </c>
      <c r="DPQ43">
        <f t="shared" si="89"/>
        <v>0</v>
      </c>
      <c r="DPR43">
        <f t="shared" si="89"/>
        <v>0</v>
      </c>
      <c r="DPS43">
        <f t="shared" si="89"/>
        <v>0</v>
      </c>
      <c r="DPT43">
        <f t="shared" si="89"/>
        <v>0</v>
      </c>
      <c r="DPU43">
        <f t="shared" si="89"/>
        <v>0</v>
      </c>
      <c r="DPV43">
        <f t="shared" si="89"/>
        <v>0</v>
      </c>
      <c r="DPW43">
        <f t="shared" si="89"/>
        <v>0</v>
      </c>
      <c r="DPX43">
        <f t="shared" si="89"/>
        <v>0</v>
      </c>
      <c r="DPY43">
        <f t="shared" si="89"/>
        <v>0</v>
      </c>
      <c r="DPZ43">
        <f t="shared" si="89"/>
        <v>0</v>
      </c>
      <c r="DQA43">
        <f t="shared" si="89"/>
        <v>0</v>
      </c>
      <c r="DQB43">
        <f t="shared" si="89"/>
        <v>0</v>
      </c>
      <c r="DQC43">
        <f t="shared" si="89"/>
        <v>0</v>
      </c>
      <c r="DQD43">
        <f t="shared" si="89"/>
        <v>0</v>
      </c>
      <c r="DQE43">
        <f t="shared" si="89"/>
        <v>0</v>
      </c>
      <c r="DQF43">
        <f t="shared" si="89"/>
        <v>0</v>
      </c>
      <c r="DQG43">
        <f t="shared" si="89"/>
        <v>0</v>
      </c>
      <c r="DQH43">
        <f t="shared" si="89"/>
        <v>0</v>
      </c>
      <c r="DQI43">
        <f t="shared" si="89"/>
        <v>0</v>
      </c>
      <c r="DQJ43">
        <f t="shared" si="89"/>
        <v>0</v>
      </c>
      <c r="DQK43">
        <f t="shared" si="89"/>
        <v>0</v>
      </c>
      <c r="DQL43">
        <f t="shared" si="89"/>
        <v>0</v>
      </c>
      <c r="DQM43">
        <f t="shared" si="89"/>
        <v>0</v>
      </c>
      <c r="DQN43">
        <f t="shared" si="89"/>
        <v>0</v>
      </c>
      <c r="DQO43">
        <f t="shared" si="89"/>
        <v>0</v>
      </c>
      <c r="DQP43">
        <f t="shared" si="89"/>
        <v>0</v>
      </c>
      <c r="DQQ43">
        <f t="shared" si="89"/>
        <v>0</v>
      </c>
      <c r="DQR43">
        <f t="shared" si="89"/>
        <v>0</v>
      </c>
      <c r="DQS43">
        <f t="shared" si="89"/>
        <v>0</v>
      </c>
      <c r="DQT43">
        <f t="shared" si="89"/>
        <v>0</v>
      </c>
      <c r="DQU43">
        <f t="shared" si="89"/>
        <v>0</v>
      </c>
      <c r="DQV43">
        <f t="shared" si="89"/>
        <v>0</v>
      </c>
      <c r="DQW43">
        <f t="shared" si="89"/>
        <v>0</v>
      </c>
      <c r="DQX43">
        <f t="shared" si="89"/>
        <v>0</v>
      </c>
      <c r="DQY43">
        <f t="shared" si="89"/>
        <v>0</v>
      </c>
      <c r="DQZ43">
        <f t="shared" si="89"/>
        <v>0</v>
      </c>
      <c r="DRA43">
        <f t="shared" si="89"/>
        <v>0</v>
      </c>
      <c r="DRB43">
        <f t="shared" si="89"/>
        <v>0</v>
      </c>
      <c r="DRC43">
        <f t="shared" si="89"/>
        <v>0</v>
      </c>
      <c r="DRD43">
        <f t="shared" si="89"/>
        <v>0</v>
      </c>
      <c r="DRE43">
        <f t="shared" si="89"/>
        <v>0</v>
      </c>
      <c r="DRF43">
        <f t="shared" si="89"/>
        <v>0</v>
      </c>
      <c r="DRG43">
        <f t="shared" si="89"/>
        <v>0</v>
      </c>
      <c r="DRH43">
        <f t="shared" si="89"/>
        <v>0</v>
      </c>
      <c r="DRI43">
        <f t="shared" si="89"/>
        <v>0</v>
      </c>
      <c r="DRJ43">
        <f t="shared" si="89"/>
        <v>0</v>
      </c>
      <c r="DRK43">
        <f t="shared" si="89"/>
        <v>0</v>
      </c>
      <c r="DRL43">
        <f t="shared" si="89"/>
        <v>0</v>
      </c>
      <c r="DRM43">
        <f t="shared" si="89"/>
        <v>0</v>
      </c>
      <c r="DRN43">
        <f t="shared" si="89"/>
        <v>0</v>
      </c>
      <c r="DRO43">
        <f t="shared" si="89"/>
        <v>0</v>
      </c>
      <c r="DRP43">
        <f t="shared" si="89"/>
        <v>0</v>
      </c>
      <c r="DRQ43">
        <f t="shared" si="89"/>
        <v>0</v>
      </c>
      <c r="DRR43">
        <f t="shared" si="89"/>
        <v>0</v>
      </c>
      <c r="DRS43">
        <f t="shared" si="89"/>
        <v>0</v>
      </c>
      <c r="DRT43">
        <f t="shared" si="89"/>
        <v>0</v>
      </c>
      <c r="DRU43">
        <f t="shared" si="89"/>
        <v>0</v>
      </c>
      <c r="DRV43">
        <f t="shared" si="89"/>
        <v>0</v>
      </c>
      <c r="DRW43">
        <f t="shared" si="89"/>
        <v>0</v>
      </c>
      <c r="DRX43">
        <f t="shared" si="89"/>
        <v>0</v>
      </c>
      <c r="DRY43">
        <f t="shared" si="89"/>
        <v>0</v>
      </c>
      <c r="DRZ43">
        <f t="shared" si="90"/>
        <v>0</v>
      </c>
      <c r="DSA43">
        <f t="shared" si="90"/>
        <v>0</v>
      </c>
      <c r="DSB43">
        <f t="shared" si="90"/>
        <v>0</v>
      </c>
      <c r="DSC43">
        <f t="shared" si="90"/>
        <v>0</v>
      </c>
      <c r="DSD43">
        <f t="shared" si="90"/>
        <v>0</v>
      </c>
      <c r="DSE43">
        <f t="shared" si="90"/>
        <v>0</v>
      </c>
      <c r="DSF43">
        <f t="shared" si="90"/>
        <v>0</v>
      </c>
      <c r="DSG43">
        <f t="shared" si="90"/>
        <v>0</v>
      </c>
      <c r="DSH43">
        <f t="shared" si="90"/>
        <v>0</v>
      </c>
      <c r="DSI43">
        <f t="shared" si="90"/>
        <v>0</v>
      </c>
      <c r="DSJ43">
        <f t="shared" si="90"/>
        <v>0</v>
      </c>
      <c r="DSK43">
        <f t="shared" si="90"/>
        <v>0</v>
      </c>
      <c r="DSL43">
        <f t="shared" si="90"/>
        <v>0</v>
      </c>
      <c r="DSM43">
        <f t="shared" si="90"/>
        <v>0</v>
      </c>
      <c r="DSN43">
        <f t="shared" si="90"/>
        <v>0</v>
      </c>
      <c r="DSO43">
        <f t="shared" si="90"/>
        <v>0</v>
      </c>
      <c r="DSP43">
        <f t="shared" si="90"/>
        <v>0</v>
      </c>
      <c r="DSQ43">
        <f t="shared" si="90"/>
        <v>0</v>
      </c>
      <c r="DSR43">
        <f t="shared" si="90"/>
        <v>0</v>
      </c>
      <c r="DSS43">
        <f t="shared" si="90"/>
        <v>0</v>
      </c>
      <c r="DST43">
        <f t="shared" si="90"/>
        <v>0</v>
      </c>
      <c r="DSU43">
        <f t="shared" si="90"/>
        <v>0</v>
      </c>
      <c r="DSV43">
        <f t="shared" si="90"/>
        <v>0</v>
      </c>
      <c r="DSW43">
        <f t="shared" si="90"/>
        <v>0</v>
      </c>
      <c r="DSX43">
        <f t="shared" si="90"/>
        <v>0</v>
      </c>
      <c r="DSY43">
        <f t="shared" si="90"/>
        <v>0</v>
      </c>
      <c r="DSZ43">
        <f t="shared" si="90"/>
        <v>0</v>
      </c>
      <c r="DTA43">
        <f t="shared" si="90"/>
        <v>0</v>
      </c>
      <c r="DTB43">
        <f t="shared" si="90"/>
        <v>0</v>
      </c>
      <c r="DTC43">
        <f t="shared" si="90"/>
        <v>0</v>
      </c>
      <c r="DTD43">
        <f t="shared" si="90"/>
        <v>0</v>
      </c>
      <c r="DTE43">
        <f t="shared" si="90"/>
        <v>0</v>
      </c>
      <c r="DTF43">
        <f t="shared" si="90"/>
        <v>0</v>
      </c>
      <c r="DTG43">
        <f t="shared" si="90"/>
        <v>0</v>
      </c>
      <c r="DTH43">
        <f t="shared" si="90"/>
        <v>0</v>
      </c>
      <c r="DTI43">
        <f t="shared" si="90"/>
        <v>0</v>
      </c>
      <c r="DTJ43">
        <f t="shared" si="90"/>
        <v>0</v>
      </c>
      <c r="DTK43">
        <f t="shared" si="90"/>
        <v>0</v>
      </c>
      <c r="DTL43">
        <f t="shared" si="90"/>
        <v>0</v>
      </c>
      <c r="DTM43">
        <f t="shared" si="90"/>
        <v>0</v>
      </c>
      <c r="DTN43">
        <f t="shared" si="90"/>
        <v>0</v>
      </c>
      <c r="DTO43">
        <f t="shared" si="90"/>
        <v>0</v>
      </c>
      <c r="DTP43">
        <f t="shared" si="90"/>
        <v>0</v>
      </c>
      <c r="DTQ43">
        <f t="shared" si="90"/>
        <v>0</v>
      </c>
      <c r="DTR43">
        <f t="shared" si="90"/>
        <v>0</v>
      </c>
      <c r="DTS43">
        <f t="shared" si="90"/>
        <v>0</v>
      </c>
      <c r="DTT43">
        <f t="shared" si="90"/>
        <v>0</v>
      </c>
      <c r="DTU43">
        <f t="shared" si="90"/>
        <v>0</v>
      </c>
      <c r="DTV43">
        <f t="shared" si="90"/>
        <v>0</v>
      </c>
      <c r="DTW43">
        <f t="shared" si="90"/>
        <v>0</v>
      </c>
      <c r="DTX43">
        <f t="shared" si="90"/>
        <v>0</v>
      </c>
      <c r="DTY43">
        <f t="shared" si="90"/>
        <v>0</v>
      </c>
      <c r="DTZ43">
        <f t="shared" si="90"/>
        <v>0</v>
      </c>
      <c r="DUA43">
        <f t="shared" si="90"/>
        <v>0</v>
      </c>
      <c r="DUB43">
        <f t="shared" si="90"/>
        <v>0</v>
      </c>
      <c r="DUC43">
        <f t="shared" si="90"/>
        <v>0</v>
      </c>
      <c r="DUD43">
        <f t="shared" si="90"/>
        <v>0</v>
      </c>
      <c r="DUE43">
        <f t="shared" si="90"/>
        <v>0</v>
      </c>
      <c r="DUF43">
        <f t="shared" si="90"/>
        <v>0</v>
      </c>
      <c r="DUG43">
        <f t="shared" si="90"/>
        <v>0</v>
      </c>
      <c r="DUH43">
        <f t="shared" si="90"/>
        <v>0</v>
      </c>
      <c r="DUI43">
        <f t="shared" si="90"/>
        <v>0</v>
      </c>
      <c r="DUJ43">
        <f t="shared" si="90"/>
        <v>0</v>
      </c>
      <c r="DUK43">
        <f t="shared" si="90"/>
        <v>0</v>
      </c>
      <c r="DUL43">
        <f t="shared" si="91"/>
        <v>0</v>
      </c>
      <c r="DUM43">
        <f t="shared" si="91"/>
        <v>0</v>
      </c>
      <c r="DUN43">
        <f t="shared" si="91"/>
        <v>0</v>
      </c>
      <c r="DUO43">
        <f t="shared" si="91"/>
        <v>0</v>
      </c>
      <c r="DUP43">
        <f t="shared" si="91"/>
        <v>0</v>
      </c>
      <c r="DUQ43">
        <f t="shared" si="91"/>
        <v>0</v>
      </c>
      <c r="DUR43">
        <f t="shared" si="91"/>
        <v>0</v>
      </c>
      <c r="DUS43">
        <f t="shared" si="91"/>
        <v>0</v>
      </c>
      <c r="DUT43">
        <f t="shared" si="91"/>
        <v>0</v>
      </c>
      <c r="DUU43">
        <f t="shared" si="91"/>
        <v>0</v>
      </c>
      <c r="DUV43">
        <f t="shared" si="91"/>
        <v>0</v>
      </c>
      <c r="DUW43">
        <f t="shared" si="91"/>
        <v>0</v>
      </c>
      <c r="DUX43">
        <f t="shared" si="91"/>
        <v>0</v>
      </c>
      <c r="DUY43">
        <f t="shared" si="91"/>
        <v>0</v>
      </c>
      <c r="DUZ43">
        <f t="shared" si="91"/>
        <v>0</v>
      </c>
      <c r="DVA43">
        <f t="shared" si="91"/>
        <v>0</v>
      </c>
      <c r="DVB43">
        <f t="shared" si="91"/>
        <v>0</v>
      </c>
      <c r="DVC43">
        <f t="shared" si="91"/>
        <v>0</v>
      </c>
      <c r="DVD43">
        <f t="shared" si="91"/>
        <v>0</v>
      </c>
      <c r="DVE43">
        <f t="shared" si="91"/>
        <v>0</v>
      </c>
      <c r="DVF43">
        <f t="shared" si="91"/>
        <v>0</v>
      </c>
      <c r="DVG43">
        <f t="shared" si="91"/>
        <v>0</v>
      </c>
      <c r="DVH43">
        <f t="shared" si="91"/>
        <v>0</v>
      </c>
      <c r="DVI43">
        <f t="shared" si="91"/>
        <v>0</v>
      </c>
      <c r="DVJ43">
        <f t="shared" si="91"/>
        <v>0</v>
      </c>
      <c r="DVK43">
        <f t="shared" si="91"/>
        <v>0</v>
      </c>
      <c r="DVL43">
        <f t="shared" si="91"/>
        <v>0</v>
      </c>
      <c r="DVM43">
        <f t="shared" si="91"/>
        <v>0</v>
      </c>
      <c r="DVN43">
        <f t="shared" si="91"/>
        <v>0</v>
      </c>
      <c r="DVO43">
        <f t="shared" si="91"/>
        <v>0</v>
      </c>
      <c r="DVP43">
        <f t="shared" si="91"/>
        <v>0</v>
      </c>
      <c r="DVQ43">
        <f t="shared" si="91"/>
        <v>0</v>
      </c>
      <c r="DVR43">
        <f t="shared" si="91"/>
        <v>0</v>
      </c>
      <c r="DVS43">
        <f t="shared" si="91"/>
        <v>0</v>
      </c>
      <c r="DVT43">
        <f t="shared" si="91"/>
        <v>0</v>
      </c>
      <c r="DVU43">
        <f t="shared" si="91"/>
        <v>0</v>
      </c>
      <c r="DVV43">
        <f t="shared" si="91"/>
        <v>0</v>
      </c>
      <c r="DVW43">
        <f t="shared" si="91"/>
        <v>0</v>
      </c>
      <c r="DVX43">
        <f t="shared" si="91"/>
        <v>0</v>
      </c>
      <c r="DVY43">
        <f t="shared" si="91"/>
        <v>0</v>
      </c>
      <c r="DVZ43">
        <f t="shared" si="91"/>
        <v>0</v>
      </c>
      <c r="DWA43">
        <f t="shared" si="91"/>
        <v>0</v>
      </c>
      <c r="DWB43">
        <f t="shared" si="91"/>
        <v>0</v>
      </c>
      <c r="DWC43">
        <f t="shared" si="91"/>
        <v>0</v>
      </c>
      <c r="DWD43">
        <f t="shared" si="91"/>
        <v>0</v>
      </c>
      <c r="DWE43">
        <f t="shared" si="91"/>
        <v>0</v>
      </c>
      <c r="DWF43">
        <f t="shared" si="91"/>
        <v>0</v>
      </c>
      <c r="DWG43">
        <f t="shared" si="91"/>
        <v>0</v>
      </c>
      <c r="DWH43">
        <f t="shared" si="91"/>
        <v>0</v>
      </c>
      <c r="DWI43">
        <f t="shared" si="91"/>
        <v>0</v>
      </c>
      <c r="DWJ43">
        <f t="shared" si="91"/>
        <v>0</v>
      </c>
      <c r="DWK43">
        <f t="shared" si="91"/>
        <v>0</v>
      </c>
      <c r="DWL43">
        <f t="shared" si="91"/>
        <v>0</v>
      </c>
      <c r="DWM43">
        <f t="shared" si="91"/>
        <v>0</v>
      </c>
      <c r="DWN43">
        <f t="shared" si="91"/>
        <v>0</v>
      </c>
      <c r="DWO43">
        <f t="shared" si="91"/>
        <v>0</v>
      </c>
      <c r="DWP43">
        <f t="shared" si="91"/>
        <v>0</v>
      </c>
      <c r="DWQ43">
        <f t="shared" si="91"/>
        <v>0</v>
      </c>
      <c r="DWR43">
        <f t="shared" si="91"/>
        <v>0</v>
      </c>
      <c r="DWS43">
        <f t="shared" si="91"/>
        <v>0</v>
      </c>
      <c r="DWT43">
        <f t="shared" si="91"/>
        <v>0</v>
      </c>
      <c r="DWU43">
        <f t="shared" si="91"/>
        <v>0</v>
      </c>
      <c r="DWV43">
        <f t="shared" si="91"/>
        <v>0</v>
      </c>
      <c r="DWW43">
        <f t="shared" si="91"/>
        <v>0</v>
      </c>
      <c r="DWX43">
        <f t="shared" si="92"/>
        <v>0</v>
      </c>
      <c r="DWY43">
        <f t="shared" si="92"/>
        <v>0</v>
      </c>
      <c r="DWZ43">
        <f t="shared" si="92"/>
        <v>0</v>
      </c>
      <c r="DXA43">
        <f t="shared" si="92"/>
        <v>0</v>
      </c>
      <c r="DXB43">
        <f t="shared" si="92"/>
        <v>0</v>
      </c>
      <c r="DXC43">
        <f t="shared" si="92"/>
        <v>0</v>
      </c>
      <c r="DXD43">
        <f t="shared" si="92"/>
        <v>0</v>
      </c>
      <c r="DXE43">
        <f t="shared" si="92"/>
        <v>0</v>
      </c>
      <c r="DXF43">
        <f t="shared" si="92"/>
        <v>0</v>
      </c>
      <c r="DXG43">
        <f t="shared" si="92"/>
        <v>0</v>
      </c>
      <c r="DXH43">
        <f t="shared" si="92"/>
        <v>0</v>
      </c>
      <c r="DXI43">
        <f t="shared" si="92"/>
        <v>0</v>
      </c>
      <c r="DXJ43">
        <f t="shared" si="92"/>
        <v>0</v>
      </c>
      <c r="DXK43">
        <f t="shared" si="92"/>
        <v>0</v>
      </c>
      <c r="DXL43">
        <f t="shared" si="92"/>
        <v>0</v>
      </c>
      <c r="DXM43">
        <f t="shared" si="92"/>
        <v>0</v>
      </c>
      <c r="DXN43">
        <f t="shared" si="92"/>
        <v>0</v>
      </c>
      <c r="DXO43">
        <f t="shared" si="92"/>
        <v>0</v>
      </c>
      <c r="DXP43">
        <f t="shared" si="92"/>
        <v>0</v>
      </c>
      <c r="DXQ43">
        <f t="shared" si="92"/>
        <v>0</v>
      </c>
      <c r="DXR43">
        <f t="shared" si="92"/>
        <v>0</v>
      </c>
      <c r="DXS43">
        <f t="shared" si="92"/>
        <v>0</v>
      </c>
      <c r="DXT43">
        <f t="shared" si="92"/>
        <v>0</v>
      </c>
      <c r="DXU43">
        <f t="shared" si="92"/>
        <v>0</v>
      </c>
      <c r="DXV43">
        <f t="shared" si="92"/>
        <v>0</v>
      </c>
      <c r="DXW43">
        <f t="shared" si="92"/>
        <v>0</v>
      </c>
      <c r="DXX43">
        <f t="shared" si="92"/>
        <v>0</v>
      </c>
      <c r="DXY43">
        <f t="shared" si="92"/>
        <v>0</v>
      </c>
      <c r="DXZ43">
        <f t="shared" si="92"/>
        <v>0</v>
      </c>
      <c r="DYA43">
        <f t="shared" si="92"/>
        <v>0</v>
      </c>
      <c r="DYB43">
        <f t="shared" si="92"/>
        <v>0</v>
      </c>
      <c r="DYC43">
        <f t="shared" si="92"/>
        <v>0</v>
      </c>
      <c r="DYD43">
        <f t="shared" si="92"/>
        <v>0</v>
      </c>
      <c r="DYE43">
        <f t="shared" si="92"/>
        <v>0</v>
      </c>
      <c r="DYF43">
        <f t="shared" si="92"/>
        <v>0</v>
      </c>
      <c r="DYG43">
        <f t="shared" si="92"/>
        <v>0</v>
      </c>
      <c r="DYH43">
        <f t="shared" si="92"/>
        <v>0</v>
      </c>
      <c r="DYI43">
        <f t="shared" si="92"/>
        <v>0</v>
      </c>
      <c r="DYJ43">
        <f t="shared" si="92"/>
        <v>0</v>
      </c>
      <c r="DYK43">
        <f t="shared" si="92"/>
        <v>0</v>
      </c>
      <c r="DYL43">
        <f t="shared" si="92"/>
        <v>0</v>
      </c>
      <c r="DYM43">
        <f t="shared" si="92"/>
        <v>0</v>
      </c>
      <c r="DYN43">
        <f t="shared" si="92"/>
        <v>0</v>
      </c>
      <c r="DYO43">
        <f t="shared" si="92"/>
        <v>0</v>
      </c>
      <c r="DYP43">
        <f t="shared" si="92"/>
        <v>0</v>
      </c>
      <c r="DYQ43">
        <f t="shared" si="92"/>
        <v>0</v>
      </c>
      <c r="DYR43">
        <f t="shared" si="92"/>
        <v>0</v>
      </c>
      <c r="DYS43">
        <f t="shared" si="92"/>
        <v>0</v>
      </c>
      <c r="DYT43">
        <f t="shared" si="92"/>
        <v>0</v>
      </c>
      <c r="DYU43">
        <f t="shared" si="92"/>
        <v>0</v>
      </c>
      <c r="DYV43">
        <f t="shared" si="92"/>
        <v>0</v>
      </c>
      <c r="DYW43">
        <f t="shared" si="92"/>
        <v>0</v>
      </c>
      <c r="DYX43">
        <f t="shared" si="92"/>
        <v>0</v>
      </c>
      <c r="DYY43">
        <f t="shared" si="92"/>
        <v>0</v>
      </c>
      <c r="DYZ43">
        <f t="shared" si="92"/>
        <v>0</v>
      </c>
      <c r="DZA43">
        <f t="shared" si="92"/>
        <v>0</v>
      </c>
      <c r="DZB43">
        <f t="shared" si="92"/>
        <v>0</v>
      </c>
      <c r="DZC43">
        <f t="shared" si="92"/>
        <v>0</v>
      </c>
      <c r="DZD43">
        <f t="shared" si="92"/>
        <v>0</v>
      </c>
      <c r="DZE43">
        <f t="shared" si="92"/>
        <v>0</v>
      </c>
      <c r="DZF43">
        <f t="shared" si="92"/>
        <v>0</v>
      </c>
      <c r="DZG43">
        <f t="shared" si="92"/>
        <v>0</v>
      </c>
      <c r="DZH43">
        <f t="shared" si="92"/>
        <v>0</v>
      </c>
      <c r="DZI43">
        <f t="shared" si="92"/>
        <v>0</v>
      </c>
      <c r="DZJ43">
        <f t="shared" si="93"/>
        <v>0</v>
      </c>
      <c r="DZK43">
        <f t="shared" si="93"/>
        <v>0</v>
      </c>
      <c r="DZL43">
        <f t="shared" si="93"/>
        <v>0</v>
      </c>
      <c r="DZM43">
        <f t="shared" si="93"/>
        <v>0</v>
      </c>
      <c r="DZN43">
        <f t="shared" si="93"/>
        <v>0</v>
      </c>
      <c r="DZO43">
        <f t="shared" si="93"/>
        <v>0</v>
      </c>
      <c r="DZP43">
        <f t="shared" si="93"/>
        <v>0</v>
      </c>
      <c r="DZQ43">
        <f t="shared" si="93"/>
        <v>0</v>
      </c>
      <c r="DZR43">
        <f t="shared" si="93"/>
        <v>0</v>
      </c>
      <c r="DZS43">
        <f t="shared" si="93"/>
        <v>0</v>
      </c>
      <c r="DZT43">
        <f t="shared" si="93"/>
        <v>0</v>
      </c>
      <c r="DZU43">
        <f t="shared" si="93"/>
        <v>0</v>
      </c>
      <c r="DZV43">
        <f t="shared" si="93"/>
        <v>0</v>
      </c>
      <c r="DZW43">
        <f t="shared" si="93"/>
        <v>0</v>
      </c>
      <c r="DZX43">
        <f t="shared" si="93"/>
        <v>0</v>
      </c>
      <c r="DZY43">
        <f t="shared" si="93"/>
        <v>0</v>
      </c>
      <c r="DZZ43">
        <f t="shared" si="93"/>
        <v>0</v>
      </c>
      <c r="EAA43">
        <f t="shared" si="93"/>
        <v>0</v>
      </c>
      <c r="EAB43">
        <f t="shared" si="93"/>
        <v>0</v>
      </c>
      <c r="EAC43">
        <f t="shared" si="93"/>
        <v>0</v>
      </c>
      <c r="EAD43">
        <f t="shared" si="93"/>
        <v>0</v>
      </c>
      <c r="EAE43">
        <f t="shared" si="93"/>
        <v>0</v>
      </c>
      <c r="EAF43">
        <f t="shared" si="93"/>
        <v>0</v>
      </c>
      <c r="EAG43">
        <f t="shared" si="93"/>
        <v>0</v>
      </c>
      <c r="EAH43">
        <f t="shared" si="93"/>
        <v>0</v>
      </c>
      <c r="EAI43">
        <f t="shared" si="93"/>
        <v>0</v>
      </c>
      <c r="EAJ43">
        <f t="shared" si="93"/>
        <v>0</v>
      </c>
      <c r="EAK43">
        <f t="shared" si="93"/>
        <v>0</v>
      </c>
      <c r="EAL43">
        <f t="shared" si="93"/>
        <v>0</v>
      </c>
      <c r="EAM43">
        <f t="shared" si="93"/>
        <v>0</v>
      </c>
      <c r="EAN43">
        <f t="shared" si="93"/>
        <v>0</v>
      </c>
      <c r="EAO43">
        <f t="shared" si="93"/>
        <v>0</v>
      </c>
      <c r="EAP43">
        <f t="shared" si="93"/>
        <v>0</v>
      </c>
      <c r="EAQ43">
        <f t="shared" si="93"/>
        <v>0</v>
      </c>
      <c r="EAR43">
        <f t="shared" si="93"/>
        <v>0</v>
      </c>
      <c r="EAS43">
        <f t="shared" si="93"/>
        <v>0</v>
      </c>
      <c r="EAT43">
        <f t="shared" si="93"/>
        <v>0</v>
      </c>
      <c r="EAU43">
        <f t="shared" si="93"/>
        <v>0</v>
      </c>
      <c r="EAV43">
        <f t="shared" si="93"/>
        <v>0</v>
      </c>
      <c r="EAW43">
        <f t="shared" si="93"/>
        <v>0</v>
      </c>
      <c r="EAX43">
        <f t="shared" si="93"/>
        <v>0</v>
      </c>
      <c r="EAY43">
        <f t="shared" si="93"/>
        <v>0</v>
      </c>
      <c r="EAZ43">
        <f t="shared" si="93"/>
        <v>0</v>
      </c>
      <c r="EBA43">
        <f t="shared" si="93"/>
        <v>0</v>
      </c>
      <c r="EBB43">
        <f t="shared" si="93"/>
        <v>0</v>
      </c>
      <c r="EBC43">
        <f t="shared" si="93"/>
        <v>0</v>
      </c>
      <c r="EBD43">
        <f t="shared" si="93"/>
        <v>0</v>
      </c>
      <c r="EBE43">
        <f t="shared" si="93"/>
        <v>0</v>
      </c>
      <c r="EBF43">
        <f t="shared" si="93"/>
        <v>0</v>
      </c>
      <c r="EBG43">
        <f t="shared" si="93"/>
        <v>0</v>
      </c>
      <c r="EBH43">
        <f t="shared" si="93"/>
        <v>0</v>
      </c>
      <c r="EBI43">
        <f t="shared" si="93"/>
        <v>0</v>
      </c>
      <c r="EBJ43">
        <f t="shared" si="93"/>
        <v>0</v>
      </c>
      <c r="EBK43">
        <f t="shared" si="93"/>
        <v>0</v>
      </c>
      <c r="EBL43">
        <f t="shared" si="93"/>
        <v>0</v>
      </c>
      <c r="EBM43">
        <f t="shared" si="93"/>
        <v>0</v>
      </c>
      <c r="EBN43">
        <f t="shared" si="93"/>
        <v>0</v>
      </c>
      <c r="EBO43">
        <f t="shared" si="93"/>
        <v>0</v>
      </c>
      <c r="EBP43">
        <f t="shared" si="93"/>
        <v>0</v>
      </c>
      <c r="EBQ43">
        <f t="shared" si="93"/>
        <v>0</v>
      </c>
      <c r="EBR43">
        <f t="shared" si="93"/>
        <v>0</v>
      </c>
      <c r="EBS43">
        <f t="shared" si="93"/>
        <v>0</v>
      </c>
      <c r="EBT43">
        <f t="shared" si="93"/>
        <v>0</v>
      </c>
      <c r="EBU43">
        <f t="shared" si="93"/>
        <v>0</v>
      </c>
      <c r="EBV43">
        <f t="shared" si="94"/>
        <v>0</v>
      </c>
      <c r="EBW43">
        <f t="shared" si="94"/>
        <v>0</v>
      </c>
      <c r="EBX43">
        <f t="shared" si="94"/>
        <v>0</v>
      </c>
      <c r="EBY43">
        <f t="shared" si="94"/>
        <v>0</v>
      </c>
      <c r="EBZ43">
        <f t="shared" si="94"/>
        <v>0</v>
      </c>
      <c r="ECA43">
        <f t="shared" si="94"/>
        <v>0</v>
      </c>
      <c r="ECB43">
        <f t="shared" si="94"/>
        <v>0</v>
      </c>
      <c r="ECC43">
        <f t="shared" si="94"/>
        <v>0</v>
      </c>
      <c r="ECD43">
        <f t="shared" si="94"/>
        <v>0</v>
      </c>
      <c r="ECE43">
        <f t="shared" si="94"/>
        <v>0</v>
      </c>
      <c r="ECF43">
        <f t="shared" si="94"/>
        <v>0</v>
      </c>
      <c r="ECG43">
        <f t="shared" si="94"/>
        <v>0</v>
      </c>
      <c r="ECH43">
        <f t="shared" si="94"/>
        <v>0</v>
      </c>
      <c r="ECI43">
        <f t="shared" si="94"/>
        <v>0</v>
      </c>
      <c r="ECJ43">
        <f t="shared" si="94"/>
        <v>0</v>
      </c>
      <c r="ECK43">
        <f t="shared" si="94"/>
        <v>0</v>
      </c>
      <c r="ECL43">
        <f t="shared" si="94"/>
        <v>0</v>
      </c>
      <c r="ECM43">
        <f t="shared" si="94"/>
        <v>0</v>
      </c>
      <c r="ECN43">
        <f t="shared" si="94"/>
        <v>0</v>
      </c>
      <c r="ECO43">
        <f t="shared" si="94"/>
        <v>0</v>
      </c>
      <c r="ECP43">
        <f t="shared" si="94"/>
        <v>0</v>
      </c>
      <c r="ECQ43">
        <f t="shared" si="94"/>
        <v>0</v>
      </c>
      <c r="ECR43">
        <f t="shared" si="94"/>
        <v>0</v>
      </c>
      <c r="ECS43">
        <f t="shared" si="94"/>
        <v>0</v>
      </c>
      <c r="ECT43">
        <f t="shared" si="94"/>
        <v>0</v>
      </c>
      <c r="ECU43">
        <f t="shared" si="94"/>
        <v>0</v>
      </c>
      <c r="ECV43">
        <f t="shared" si="94"/>
        <v>0</v>
      </c>
      <c r="ECW43">
        <f t="shared" si="94"/>
        <v>0</v>
      </c>
      <c r="ECX43">
        <f t="shared" si="94"/>
        <v>0</v>
      </c>
      <c r="ECY43">
        <f t="shared" si="94"/>
        <v>0</v>
      </c>
      <c r="ECZ43">
        <f t="shared" si="94"/>
        <v>0</v>
      </c>
      <c r="EDA43">
        <f t="shared" si="94"/>
        <v>0</v>
      </c>
      <c r="EDB43">
        <f t="shared" si="94"/>
        <v>0</v>
      </c>
      <c r="EDC43">
        <f t="shared" si="94"/>
        <v>0</v>
      </c>
      <c r="EDD43">
        <f t="shared" si="94"/>
        <v>0</v>
      </c>
      <c r="EDE43">
        <f t="shared" si="94"/>
        <v>0</v>
      </c>
      <c r="EDF43">
        <f t="shared" si="94"/>
        <v>0</v>
      </c>
      <c r="EDG43">
        <f t="shared" si="94"/>
        <v>0</v>
      </c>
      <c r="EDH43">
        <f t="shared" si="94"/>
        <v>0</v>
      </c>
      <c r="EDI43">
        <f t="shared" si="94"/>
        <v>0</v>
      </c>
      <c r="EDJ43">
        <f t="shared" si="94"/>
        <v>0</v>
      </c>
      <c r="EDK43">
        <f t="shared" si="94"/>
        <v>0</v>
      </c>
      <c r="EDL43">
        <f t="shared" si="94"/>
        <v>0</v>
      </c>
      <c r="EDM43">
        <f t="shared" si="94"/>
        <v>0</v>
      </c>
      <c r="EDN43">
        <f t="shared" si="94"/>
        <v>0</v>
      </c>
      <c r="EDO43">
        <f t="shared" si="94"/>
        <v>0</v>
      </c>
      <c r="EDP43">
        <f t="shared" si="94"/>
        <v>0</v>
      </c>
      <c r="EDQ43">
        <f t="shared" si="94"/>
        <v>0</v>
      </c>
      <c r="EDR43">
        <f t="shared" si="94"/>
        <v>0</v>
      </c>
      <c r="EDS43">
        <f t="shared" si="94"/>
        <v>0</v>
      </c>
      <c r="EDT43">
        <f t="shared" si="94"/>
        <v>0</v>
      </c>
      <c r="EDU43">
        <f t="shared" si="94"/>
        <v>0</v>
      </c>
      <c r="EDV43">
        <f t="shared" si="94"/>
        <v>0</v>
      </c>
      <c r="EDW43">
        <f t="shared" si="94"/>
        <v>0</v>
      </c>
      <c r="EDX43">
        <f t="shared" si="94"/>
        <v>0</v>
      </c>
      <c r="EDY43">
        <f t="shared" si="94"/>
        <v>0</v>
      </c>
      <c r="EDZ43">
        <f t="shared" si="94"/>
        <v>0</v>
      </c>
      <c r="EEA43">
        <f t="shared" si="94"/>
        <v>0</v>
      </c>
      <c r="EEB43">
        <f t="shared" si="94"/>
        <v>0</v>
      </c>
      <c r="EEC43">
        <f t="shared" si="94"/>
        <v>0</v>
      </c>
      <c r="EED43">
        <f t="shared" si="94"/>
        <v>0</v>
      </c>
      <c r="EEE43">
        <f t="shared" si="94"/>
        <v>0</v>
      </c>
      <c r="EEF43">
        <f t="shared" si="94"/>
        <v>0</v>
      </c>
      <c r="EEG43">
        <f t="shared" si="94"/>
        <v>0</v>
      </c>
      <c r="EEH43">
        <f t="shared" si="95"/>
        <v>0</v>
      </c>
      <c r="EEI43">
        <f t="shared" si="95"/>
        <v>0</v>
      </c>
      <c r="EEJ43">
        <f t="shared" si="95"/>
        <v>0</v>
      </c>
      <c r="EEK43">
        <f t="shared" si="95"/>
        <v>0</v>
      </c>
      <c r="EEL43">
        <f t="shared" si="95"/>
        <v>0</v>
      </c>
      <c r="EEM43">
        <f t="shared" si="95"/>
        <v>0</v>
      </c>
      <c r="EEN43">
        <f t="shared" si="95"/>
        <v>0</v>
      </c>
      <c r="EEO43">
        <f t="shared" si="95"/>
        <v>0</v>
      </c>
      <c r="EEP43">
        <f t="shared" si="95"/>
        <v>0</v>
      </c>
      <c r="EEQ43">
        <f t="shared" si="95"/>
        <v>0</v>
      </c>
      <c r="EER43">
        <f t="shared" si="95"/>
        <v>0</v>
      </c>
      <c r="EES43">
        <f t="shared" si="95"/>
        <v>0</v>
      </c>
      <c r="EET43">
        <f t="shared" si="95"/>
        <v>0</v>
      </c>
      <c r="EEU43">
        <f t="shared" si="95"/>
        <v>0</v>
      </c>
      <c r="EEV43">
        <f t="shared" si="95"/>
        <v>0</v>
      </c>
      <c r="EEW43">
        <f t="shared" si="95"/>
        <v>0</v>
      </c>
      <c r="EEX43">
        <f t="shared" si="95"/>
        <v>0</v>
      </c>
      <c r="EEY43">
        <f t="shared" si="95"/>
        <v>0</v>
      </c>
      <c r="EEZ43">
        <f t="shared" si="95"/>
        <v>0</v>
      </c>
      <c r="EFA43">
        <f t="shared" si="95"/>
        <v>0</v>
      </c>
      <c r="EFB43">
        <f t="shared" si="95"/>
        <v>0</v>
      </c>
      <c r="EFC43">
        <f t="shared" si="95"/>
        <v>0</v>
      </c>
      <c r="EFD43">
        <f t="shared" si="95"/>
        <v>0</v>
      </c>
      <c r="EFE43">
        <f t="shared" si="95"/>
        <v>0</v>
      </c>
      <c r="EFF43">
        <f t="shared" si="95"/>
        <v>0</v>
      </c>
      <c r="EFG43">
        <f t="shared" si="95"/>
        <v>0</v>
      </c>
      <c r="EFH43">
        <f t="shared" si="95"/>
        <v>0</v>
      </c>
      <c r="EFI43">
        <f t="shared" si="95"/>
        <v>0</v>
      </c>
      <c r="EFJ43">
        <f t="shared" si="95"/>
        <v>0</v>
      </c>
      <c r="EFK43">
        <f t="shared" si="95"/>
        <v>0</v>
      </c>
      <c r="EFL43">
        <f t="shared" si="95"/>
        <v>0</v>
      </c>
      <c r="EFM43">
        <f t="shared" si="95"/>
        <v>0</v>
      </c>
      <c r="EFN43">
        <f t="shared" si="95"/>
        <v>0</v>
      </c>
      <c r="EFO43">
        <f t="shared" si="95"/>
        <v>0</v>
      </c>
      <c r="EFP43">
        <f t="shared" si="95"/>
        <v>0</v>
      </c>
      <c r="EFQ43">
        <f t="shared" si="95"/>
        <v>0</v>
      </c>
      <c r="EFR43">
        <f t="shared" si="95"/>
        <v>0</v>
      </c>
      <c r="EFS43">
        <f t="shared" si="95"/>
        <v>0</v>
      </c>
      <c r="EFT43">
        <f t="shared" si="95"/>
        <v>0</v>
      </c>
      <c r="EFU43">
        <f t="shared" si="95"/>
        <v>0</v>
      </c>
      <c r="EFV43">
        <f t="shared" si="95"/>
        <v>0</v>
      </c>
      <c r="EFW43">
        <f t="shared" si="95"/>
        <v>0</v>
      </c>
      <c r="EFX43">
        <f t="shared" si="95"/>
        <v>0</v>
      </c>
      <c r="EFY43">
        <f t="shared" si="95"/>
        <v>0</v>
      </c>
      <c r="EFZ43">
        <f t="shared" si="95"/>
        <v>0</v>
      </c>
      <c r="EGA43">
        <f t="shared" si="95"/>
        <v>0</v>
      </c>
      <c r="EGB43">
        <f t="shared" si="95"/>
        <v>0</v>
      </c>
      <c r="EGC43">
        <f t="shared" si="95"/>
        <v>0</v>
      </c>
      <c r="EGD43">
        <f t="shared" si="95"/>
        <v>0</v>
      </c>
      <c r="EGE43">
        <f t="shared" si="95"/>
        <v>0</v>
      </c>
      <c r="EGF43">
        <f t="shared" si="95"/>
        <v>0</v>
      </c>
      <c r="EGG43">
        <f t="shared" si="95"/>
        <v>0</v>
      </c>
      <c r="EGH43">
        <f t="shared" si="95"/>
        <v>0</v>
      </c>
      <c r="EGI43">
        <f t="shared" si="95"/>
        <v>0</v>
      </c>
      <c r="EGJ43">
        <f t="shared" si="95"/>
        <v>0</v>
      </c>
      <c r="EGK43">
        <f t="shared" si="95"/>
        <v>0</v>
      </c>
      <c r="EGL43">
        <f t="shared" si="95"/>
        <v>0</v>
      </c>
      <c r="EGM43">
        <f t="shared" si="95"/>
        <v>0</v>
      </c>
      <c r="EGN43">
        <f t="shared" si="95"/>
        <v>0</v>
      </c>
      <c r="EGO43">
        <f t="shared" si="95"/>
        <v>0</v>
      </c>
      <c r="EGP43">
        <f t="shared" si="95"/>
        <v>0</v>
      </c>
      <c r="EGQ43">
        <f t="shared" si="95"/>
        <v>0</v>
      </c>
      <c r="EGR43">
        <f t="shared" si="95"/>
        <v>0</v>
      </c>
      <c r="EGS43">
        <f t="shared" si="95"/>
        <v>0</v>
      </c>
      <c r="EGT43">
        <f t="shared" si="96"/>
        <v>0</v>
      </c>
      <c r="EGU43">
        <f t="shared" si="96"/>
        <v>0</v>
      </c>
      <c r="EGV43">
        <f t="shared" si="96"/>
        <v>0</v>
      </c>
      <c r="EGW43">
        <f t="shared" si="96"/>
        <v>0</v>
      </c>
      <c r="EGX43">
        <f t="shared" si="96"/>
        <v>0</v>
      </c>
      <c r="EGY43">
        <f t="shared" si="96"/>
        <v>0</v>
      </c>
      <c r="EGZ43">
        <f t="shared" si="96"/>
        <v>0</v>
      </c>
      <c r="EHA43">
        <f t="shared" si="96"/>
        <v>0</v>
      </c>
      <c r="EHB43">
        <f t="shared" si="96"/>
        <v>0</v>
      </c>
      <c r="EHC43">
        <f t="shared" si="96"/>
        <v>0</v>
      </c>
      <c r="EHD43">
        <f t="shared" si="96"/>
        <v>0</v>
      </c>
      <c r="EHE43">
        <f t="shared" si="96"/>
        <v>0</v>
      </c>
      <c r="EHF43">
        <f t="shared" si="96"/>
        <v>0</v>
      </c>
      <c r="EHG43">
        <f t="shared" si="96"/>
        <v>0</v>
      </c>
      <c r="EHH43">
        <f t="shared" si="96"/>
        <v>0</v>
      </c>
      <c r="EHI43">
        <f t="shared" si="96"/>
        <v>0</v>
      </c>
      <c r="EHJ43">
        <f t="shared" si="96"/>
        <v>0</v>
      </c>
      <c r="EHK43">
        <f t="shared" si="96"/>
        <v>0</v>
      </c>
      <c r="EHL43">
        <f t="shared" si="96"/>
        <v>0</v>
      </c>
      <c r="EHM43">
        <f t="shared" si="96"/>
        <v>0</v>
      </c>
      <c r="EHN43">
        <f t="shared" si="96"/>
        <v>0</v>
      </c>
      <c r="EHO43">
        <f t="shared" si="96"/>
        <v>0</v>
      </c>
      <c r="EHP43">
        <f t="shared" si="96"/>
        <v>0</v>
      </c>
      <c r="EHQ43">
        <f t="shared" si="96"/>
        <v>0</v>
      </c>
      <c r="EHR43">
        <f t="shared" si="96"/>
        <v>0</v>
      </c>
      <c r="EHS43">
        <f t="shared" si="96"/>
        <v>0</v>
      </c>
      <c r="EHT43">
        <f t="shared" si="96"/>
        <v>0</v>
      </c>
      <c r="EHU43">
        <f t="shared" si="96"/>
        <v>0</v>
      </c>
      <c r="EHV43">
        <f t="shared" si="96"/>
        <v>0</v>
      </c>
      <c r="EHW43">
        <f t="shared" si="96"/>
        <v>0</v>
      </c>
      <c r="EHX43">
        <f t="shared" si="96"/>
        <v>0</v>
      </c>
      <c r="EHY43">
        <f t="shared" si="96"/>
        <v>0</v>
      </c>
      <c r="EHZ43">
        <f t="shared" si="96"/>
        <v>0</v>
      </c>
      <c r="EIA43">
        <f t="shared" si="96"/>
        <v>0</v>
      </c>
      <c r="EIB43">
        <f t="shared" si="96"/>
        <v>0</v>
      </c>
      <c r="EIC43">
        <f t="shared" si="96"/>
        <v>0</v>
      </c>
      <c r="EID43">
        <f t="shared" si="96"/>
        <v>0</v>
      </c>
      <c r="EIE43">
        <f t="shared" si="96"/>
        <v>0</v>
      </c>
      <c r="EIF43">
        <f t="shared" si="96"/>
        <v>0</v>
      </c>
      <c r="EIG43">
        <f t="shared" si="96"/>
        <v>0</v>
      </c>
      <c r="EIH43">
        <f t="shared" si="96"/>
        <v>0</v>
      </c>
      <c r="EII43">
        <f t="shared" si="96"/>
        <v>0</v>
      </c>
      <c r="EIJ43">
        <f t="shared" si="96"/>
        <v>0</v>
      </c>
      <c r="EIK43">
        <f t="shared" si="96"/>
        <v>0</v>
      </c>
      <c r="EIL43">
        <f t="shared" si="96"/>
        <v>0</v>
      </c>
      <c r="EIM43">
        <f t="shared" si="96"/>
        <v>0</v>
      </c>
      <c r="EIN43">
        <f t="shared" si="96"/>
        <v>0</v>
      </c>
      <c r="EIO43">
        <f t="shared" si="96"/>
        <v>0</v>
      </c>
      <c r="EIP43">
        <f t="shared" si="96"/>
        <v>0</v>
      </c>
      <c r="EIQ43">
        <f t="shared" si="96"/>
        <v>0</v>
      </c>
      <c r="EIR43">
        <f t="shared" si="96"/>
        <v>0</v>
      </c>
      <c r="EIS43">
        <f t="shared" si="96"/>
        <v>0</v>
      </c>
      <c r="EIT43">
        <f t="shared" si="96"/>
        <v>0</v>
      </c>
      <c r="EIU43">
        <f t="shared" si="96"/>
        <v>0</v>
      </c>
      <c r="EIV43">
        <f t="shared" si="96"/>
        <v>0</v>
      </c>
      <c r="EIW43">
        <f t="shared" si="96"/>
        <v>0</v>
      </c>
      <c r="EIX43">
        <f t="shared" si="96"/>
        <v>0</v>
      </c>
      <c r="EIY43">
        <f t="shared" si="96"/>
        <v>0</v>
      </c>
      <c r="EIZ43">
        <f t="shared" si="96"/>
        <v>0</v>
      </c>
      <c r="EJA43">
        <f t="shared" si="96"/>
        <v>0</v>
      </c>
      <c r="EJB43">
        <f t="shared" si="96"/>
        <v>0</v>
      </c>
      <c r="EJC43">
        <f t="shared" si="96"/>
        <v>0</v>
      </c>
      <c r="EJD43">
        <f t="shared" si="96"/>
        <v>0</v>
      </c>
      <c r="EJE43">
        <f t="shared" si="96"/>
        <v>0</v>
      </c>
      <c r="EJF43">
        <f t="shared" si="97"/>
        <v>0</v>
      </c>
      <c r="EJG43">
        <f t="shared" si="97"/>
        <v>0</v>
      </c>
      <c r="EJH43">
        <f t="shared" si="97"/>
        <v>0</v>
      </c>
      <c r="EJI43">
        <f t="shared" si="97"/>
        <v>0</v>
      </c>
      <c r="EJJ43">
        <f t="shared" si="97"/>
        <v>0</v>
      </c>
      <c r="EJK43">
        <f t="shared" si="97"/>
        <v>0</v>
      </c>
      <c r="EJL43">
        <f t="shared" si="97"/>
        <v>0</v>
      </c>
      <c r="EJM43">
        <f t="shared" si="97"/>
        <v>0</v>
      </c>
      <c r="EJN43">
        <f t="shared" si="97"/>
        <v>0</v>
      </c>
      <c r="EJO43">
        <f t="shared" si="97"/>
        <v>0</v>
      </c>
      <c r="EJP43">
        <f t="shared" si="97"/>
        <v>0</v>
      </c>
      <c r="EJQ43">
        <f t="shared" si="97"/>
        <v>0</v>
      </c>
      <c r="EJR43">
        <f t="shared" si="97"/>
        <v>0</v>
      </c>
      <c r="EJS43">
        <f t="shared" si="97"/>
        <v>0</v>
      </c>
      <c r="EJT43">
        <f t="shared" si="97"/>
        <v>0</v>
      </c>
      <c r="EJU43">
        <f t="shared" si="97"/>
        <v>0</v>
      </c>
      <c r="EJV43">
        <f t="shared" si="97"/>
        <v>0</v>
      </c>
      <c r="EJW43">
        <f t="shared" si="97"/>
        <v>0</v>
      </c>
      <c r="EJX43">
        <f t="shared" si="97"/>
        <v>0</v>
      </c>
      <c r="EJY43">
        <f t="shared" si="97"/>
        <v>0</v>
      </c>
      <c r="EJZ43">
        <f t="shared" si="97"/>
        <v>0</v>
      </c>
      <c r="EKA43">
        <f t="shared" si="97"/>
        <v>0</v>
      </c>
      <c r="EKB43">
        <f t="shared" si="97"/>
        <v>0</v>
      </c>
      <c r="EKC43">
        <f t="shared" si="97"/>
        <v>0</v>
      </c>
      <c r="EKD43">
        <f t="shared" si="97"/>
        <v>0</v>
      </c>
      <c r="EKE43">
        <f t="shared" si="97"/>
        <v>0</v>
      </c>
      <c r="EKF43">
        <f t="shared" si="97"/>
        <v>0</v>
      </c>
      <c r="EKG43">
        <f t="shared" si="97"/>
        <v>0</v>
      </c>
      <c r="EKH43">
        <f t="shared" si="97"/>
        <v>0</v>
      </c>
      <c r="EKI43">
        <f t="shared" si="97"/>
        <v>0</v>
      </c>
      <c r="EKJ43">
        <f t="shared" si="97"/>
        <v>0</v>
      </c>
      <c r="EKK43">
        <f t="shared" si="97"/>
        <v>0</v>
      </c>
      <c r="EKL43">
        <f t="shared" si="97"/>
        <v>0</v>
      </c>
      <c r="EKM43">
        <f t="shared" si="97"/>
        <v>0</v>
      </c>
      <c r="EKN43">
        <f t="shared" si="97"/>
        <v>0</v>
      </c>
      <c r="EKO43">
        <f t="shared" si="97"/>
        <v>0</v>
      </c>
      <c r="EKP43">
        <f t="shared" si="97"/>
        <v>0</v>
      </c>
      <c r="EKQ43">
        <f t="shared" si="97"/>
        <v>0</v>
      </c>
      <c r="EKR43">
        <f t="shared" si="97"/>
        <v>0</v>
      </c>
      <c r="EKS43">
        <f t="shared" si="97"/>
        <v>0</v>
      </c>
      <c r="EKT43">
        <f t="shared" si="97"/>
        <v>0</v>
      </c>
      <c r="EKU43">
        <f t="shared" si="97"/>
        <v>0</v>
      </c>
      <c r="EKV43">
        <f t="shared" si="97"/>
        <v>0</v>
      </c>
      <c r="EKW43">
        <f t="shared" si="97"/>
        <v>0</v>
      </c>
      <c r="EKX43">
        <f t="shared" si="97"/>
        <v>0</v>
      </c>
      <c r="EKY43">
        <f t="shared" si="97"/>
        <v>0</v>
      </c>
      <c r="EKZ43">
        <f t="shared" si="97"/>
        <v>0</v>
      </c>
      <c r="ELA43">
        <f t="shared" si="97"/>
        <v>0</v>
      </c>
      <c r="ELB43">
        <f t="shared" si="97"/>
        <v>0</v>
      </c>
      <c r="ELC43">
        <f t="shared" si="97"/>
        <v>0</v>
      </c>
      <c r="ELD43">
        <f t="shared" si="97"/>
        <v>0</v>
      </c>
      <c r="ELE43">
        <f t="shared" si="97"/>
        <v>0</v>
      </c>
      <c r="ELF43">
        <f t="shared" si="97"/>
        <v>0</v>
      </c>
      <c r="ELG43">
        <f t="shared" si="97"/>
        <v>0</v>
      </c>
      <c r="ELH43">
        <f t="shared" si="97"/>
        <v>0</v>
      </c>
      <c r="ELI43">
        <f t="shared" si="97"/>
        <v>0</v>
      </c>
      <c r="ELJ43">
        <f t="shared" si="97"/>
        <v>0</v>
      </c>
      <c r="ELK43">
        <f t="shared" si="97"/>
        <v>0</v>
      </c>
      <c r="ELL43">
        <f t="shared" si="97"/>
        <v>0</v>
      </c>
      <c r="ELM43">
        <f t="shared" si="97"/>
        <v>0</v>
      </c>
      <c r="ELN43">
        <f t="shared" si="97"/>
        <v>0</v>
      </c>
      <c r="ELO43">
        <f t="shared" si="97"/>
        <v>0</v>
      </c>
      <c r="ELP43">
        <f t="shared" si="97"/>
        <v>0</v>
      </c>
      <c r="ELQ43">
        <f t="shared" si="97"/>
        <v>0</v>
      </c>
      <c r="ELR43">
        <f t="shared" si="98"/>
        <v>0</v>
      </c>
      <c r="ELS43">
        <f t="shared" si="98"/>
        <v>0</v>
      </c>
      <c r="ELT43">
        <f t="shared" si="98"/>
        <v>0</v>
      </c>
      <c r="ELU43">
        <f t="shared" si="98"/>
        <v>0</v>
      </c>
      <c r="ELV43">
        <f t="shared" si="98"/>
        <v>0</v>
      </c>
      <c r="ELW43">
        <f t="shared" si="98"/>
        <v>0</v>
      </c>
      <c r="ELX43">
        <f t="shared" si="98"/>
        <v>0</v>
      </c>
      <c r="ELY43">
        <f t="shared" si="98"/>
        <v>0</v>
      </c>
      <c r="ELZ43">
        <f t="shared" si="98"/>
        <v>0</v>
      </c>
      <c r="EMA43">
        <f t="shared" si="98"/>
        <v>0</v>
      </c>
      <c r="EMB43">
        <f t="shared" si="98"/>
        <v>0</v>
      </c>
      <c r="EMC43">
        <f t="shared" si="98"/>
        <v>0</v>
      </c>
      <c r="EMD43">
        <f t="shared" si="98"/>
        <v>0</v>
      </c>
      <c r="EME43">
        <f t="shared" si="98"/>
        <v>0</v>
      </c>
      <c r="EMF43">
        <f t="shared" si="98"/>
        <v>0</v>
      </c>
      <c r="EMG43">
        <f t="shared" si="98"/>
        <v>0</v>
      </c>
      <c r="EMH43">
        <f t="shared" si="98"/>
        <v>0</v>
      </c>
      <c r="EMI43">
        <f t="shared" si="98"/>
        <v>0</v>
      </c>
      <c r="EMJ43">
        <f t="shared" si="98"/>
        <v>0</v>
      </c>
      <c r="EMK43">
        <f t="shared" si="98"/>
        <v>0</v>
      </c>
      <c r="EML43">
        <f t="shared" si="98"/>
        <v>0</v>
      </c>
      <c r="EMM43">
        <f t="shared" si="98"/>
        <v>0</v>
      </c>
      <c r="EMN43">
        <f t="shared" si="98"/>
        <v>0</v>
      </c>
      <c r="EMO43">
        <f t="shared" si="98"/>
        <v>0</v>
      </c>
      <c r="EMP43">
        <f t="shared" si="98"/>
        <v>0</v>
      </c>
      <c r="EMQ43">
        <f t="shared" si="98"/>
        <v>0</v>
      </c>
      <c r="EMR43">
        <f t="shared" si="98"/>
        <v>0</v>
      </c>
      <c r="EMS43">
        <f t="shared" si="98"/>
        <v>0</v>
      </c>
      <c r="EMT43">
        <f t="shared" si="98"/>
        <v>0</v>
      </c>
      <c r="EMU43">
        <f t="shared" si="98"/>
        <v>0</v>
      </c>
      <c r="EMV43">
        <f t="shared" si="98"/>
        <v>0</v>
      </c>
      <c r="EMW43">
        <f t="shared" si="98"/>
        <v>0</v>
      </c>
      <c r="EMX43">
        <f t="shared" si="98"/>
        <v>0</v>
      </c>
      <c r="EMY43">
        <f t="shared" si="98"/>
        <v>0</v>
      </c>
      <c r="EMZ43">
        <f t="shared" si="98"/>
        <v>0</v>
      </c>
      <c r="ENA43">
        <f t="shared" si="98"/>
        <v>0</v>
      </c>
      <c r="ENB43">
        <f t="shared" si="98"/>
        <v>0</v>
      </c>
      <c r="ENC43">
        <f t="shared" si="98"/>
        <v>0</v>
      </c>
      <c r="END43">
        <f t="shared" si="98"/>
        <v>0</v>
      </c>
      <c r="ENE43">
        <f t="shared" si="98"/>
        <v>0</v>
      </c>
      <c r="ENF43">
        <f t="shared" si="98"/>
        <v>0</v>
      </c>
      <c r="ENG43">
        <f t="shared" si="98"/>
        <v>0</v>
      </c>
      <c r="ENH43">
        <f t="shared" si="98"/>
        <v>0</v>
      </c>
      <c r="ENI43">
        <f t="shared" si="98"/>
        <v>0</v>
      </c>
      <c r="ENJ43">
        <f t="shared" si="98"/>
        <v>0</v>
      </c>
      <c r="ENK43">
        <f t="shared" si="98"/>
        <v>0</v>
      </c>
      <c r="ENL43">
        <f t="shared" si="98"/>
        <v>0</v>
      </c>
      <c r="ENM43">
        <f t="shared" si="98"/>
        <v>0</v>
      </c>
      <c r="ENN43">
        <f t="shared" si="98"/>
        <v>0</v>
      </c>
      <c r="ENO43">
        <f t="shared" si="98"/>
        <v>0</v>
      </c>
      <c r="ENP43">
        <f t="shared" si="98"/>
        <v>0</v>
      </c>
      <c r="ENQ43">
        <f t="shared" si="98"/>
        <v>0</v>
      </c>
      <c r="ENR43">
        <f t="shared" si="98"/>
        <v>0</v>
      </c>
      <c r="ENS43">
        <f t="shared" si="98"/>
        <v>0</v>
      </c>
      <c r="ENT43">
        <f t="shared" si="98"/>
        <v>0</v>
      </c>
      <c r="ENU43">
        <f t="shared" si="98"/>
        <v>0</v>
      </c>
      <c r="ENV43">
        <f t="shared" si="98"/>
        <v>0</v>
      </c>
      <c r="ENW43">
        <f t="shared" si="98"/>
        <v>0</v>
      </c>
      <c r="ENX43">
        <f t="shared" si="98"/>
        <v>0</v>
      </c>
      <c r="ENY43">
        <f t="shared" si="98"/>
        <v>0</v>
      </c>
      <c r="ENZ43">
        <f t="shared" si="98"/>
        <v>0</v>
      </c>
      <c r="EOA43">
        <f t="shared" si="98"/>
        <v>0</v>
      </c>
      <c r="EOB43">
        <f t="shared" si="98"/>
        <v>0</v>
      </c>
      <c r="EOC43">
        <f t="shared" si="98"/>
        <v>0</v>
      </c>
      <c r="EOD43">
        <f t="shared" si="99"/>
        <v>0</v>
      </c>
      <c r="EOE43">
        <f t="shared" si="99"/>
        <v>0</v>
      </c>
      <c r="EOF43">
        <f t="shared" si="99"/>
        <v>0</v>
      </c>
      <c r="EOG43">
        <f t="shared" si="99"/>
        <v>0</v>
      </c>
      <c r="EOH43">
        <f t="shared" si="99"/>
        <v>0</v>
      </c>
      <c r="EOI43">
        <f t="shared" si="99"/>
        <v>0</v>
      </c>
      <c r="EOJ43">
        <f t="shared" si="99"/>
        <v>0</v>
      </c>
      <c r="EOK43">
        <f t="shared" si="99"/>
        <v>0</v>
      </c>
      <c r="EOL43">
        <f t="shared" si="99"/>
        <v>0</v>
      </c>
      <c r="EOM43">
        <f t="shared" si="99"/>
        <v>0</v>
      </c>
      <c r="EON43">
        <f t="shared" si="99"/>
        <v>0</v>
      </c>
      <c r="EOO43">
        <f t="shared" si="99"/>
        <v>0</v>
      </c>
      <c r="EOP43">
        <f t="shared" si="99"/>
        <v>0</v>
      </c>
      <c r="EOQ43">
        <f t="shared" si="99"/>
        <v>0</v>
      </c>
      <c r="EOR43">
        <f t="shared" si="99"/>
        <v>0</v>
      </c>
      <c r="EOS43">
        <f t="shared" si="99"/>
        <v>0</v>
      </c>
      <c r="EOT43">
        <f t="shared" si="99"/>
        <v>0</v>
      </c>
      <c r="EOU43">
        <f t="shared" si="99"/>
        <v>0</v>
      </c>
      <c r="EOV43">
        <f t="shared" si="99"/>
        <v>0</v>
      </c>
      <c r="EOW43">
        <f t="shared" si="99"/>
        <v>0</v>
      </c>
      <c r="EOX43">
        <f t="shared" si="99"/>
        <v>0</v>
      </c>
      <c r="EOY43">
        <f t="shared" si="99"/>
        <v>0</v>
      </c>
      <c r="EOZ43">
        <f t="shared" si="99"/>
        <v>0</v>
      </c>
      <c r="EPA43">
        <f t="shared" si="99"/>
        <v>0</v>
      </c>
      <c r="EPB43">
        <f t="shared" si="99"/>
        <v>0</v>
      </c>
      <c r="EPC43">
        <f t="shared" si="99"/>
        <v>0</v>
      </c>
      <c r="EPD43">
        <f t="shared" si="99"/>
        <v>0</v>
      </c>
      <c r="EPE43">
        <f t="shared" si="99"/>
        <v>0</v>
      </c>
      <c r="EPF43">
        <f t="shared" si="99"/>
        <v>0</v>
      </c>
      <c r="EPG43">
        <f t="shared" si="99"/>
        <v>0</v>
      </c>
      <c r="EPH43">
        <f t="shared" si="99"/>
        <v>0</v>
      </c>
      <c r="EPI43">
        <f t="shared" si="99"/>
        <v>0</v>
      </c>
      <c r="EPJ43">
        <f t="shared" si="99"/>
        <v>0</v>
      </c>
      <c r="EPK43">
        <f t="shared" si="99"/>
        <v>0</v>
      </c>
      <c r="EPL43">
        <f t="shared" si="99"/>
        <v>0</v>
      </c>
      <c r="EPM43">
        <f t="shared" si="99"/>
        <v>0</v>
      </c>
      <c r="EPN43">
        <f t="shared" si="99"/>
        <v>0</v>
      </c>
      <c r="EPO43">
        <f t="shared" si="99"/>
        <v>0</v>
      </c>
      <c r="EPP43">
        <f t="shared" si="99"/>
        <v>0</v>
      </c>
      <c r="EPQ43">
        <f t="shared" si="99"/>
        <v>0</v>
      </c>
      <c r="EPR43">
        <f t="shared" si="99"/>
        <v>0</v>
      </c>
      <c r="EPS43">
        <f t="shared" si="99"/>
        <v>0</v>
      </c>
      <c r="EPT43">
        <f t="shared" si="99"/>
        <v>0</v>
      </c>
      <c r="EPU43">
        <f t="shared" si="99"/>
        <v>0</v>
      </c>
      <c r="EPV43">
        <f t="shared" si="99"/>
        <v>0</v>
      </c>
      <c r="EPW43">
        <f t="shared" si="99"/>
        <v>0</v>
      </c>
      <c r="EPX43">
        <f t="shared" si="99"/>
        <v>0</v>
      </c>
      <c r="EPY43">
        <f t="shared" si="99"/>
        <v>0</v>
      </c>
      <c r="EPZ43">
        <f t="shared" si="99"/>
        <v>0</v>
      </c>
      <c r="EQA43">
        <f t="shared" si="99"/>
        <v>0</v>
      </c>
      <c r="EQB43">
        <f t="shared" si="99"/>
        <v>0</v>
      </c>
      <c r="EQC43">
        <f t="shared" si="99"/>
        <v>0</v>
      </c>
      <c r="EQD43">
        <f t="shared" si="99"/>
        <v>0</v>
      </c>
      <c r="EQE43">
        <f t="shared" si="99"/>
        <v>0</v>
      </c>
      <c r="EQF43">
        <f t="shared" si="99"/>
        <v>0</v>
      </c>
      <c r="EQG43">
        <f t="shared" si="99"/>
        <v>0</v>
      </c>
      <c r="EQH43">
        <f t="shared" si="99"/>
        <v>0</v>
      </c>
      <c r="EQI43">
        <f t="shared" si="99"/>
        <v>0</v>
      </c>
      <c r="EQJ43">
        <f t="shared" si="99"/>
        <v>0</v>
      </c>
      <c r="EQK43">
        <f t="shared" si="99"/>
        <v>0</v>
      </c>
      <c r="EQL43">
        <f t="shared" si="99"/>
        <v>0</v>
      </c>
      <c r="EQM43">
        <f t="shared" si="99"/>
        <v>0</v>
      </c>
      <c r="EQN43">
        <f t="shared" si="99"/>
        <v>0</v>
      </c>
      <c r="EQO43">
        <f t="shared" si="99"/>
        <v>0</v>
      </c>
      <c r="EQP43">
        <f t="shared" si="100"/>
        <v>0</v>
      </c>
      <c r="EQQ43">
        <f t="shared" si="100"/>
        <v>0</v>
      </c>
      <c r="EQR43">
        <f t="shared" si="100"/>
        <v>0</v>
      </c>
      <c r="EQS43">
        <f t="shared" si="100"/>
        <v>0</v>
      </c>
      <c r="EQT43">
        <f t="shared" si="100"/>
        <v>0</v>
      </c>
      <c r="EQU43">
        <f t="shared" si="100"/>
        <v>0</v>
      </c>
      <c r="EQV43">
        <f t="shared" si="100"/>
        <v>0</v>
      </c>
      <c r="EQW43">
        <f t="shared" si="100"/>
        <v>0</v>
      </c>
      <c r="EQX43">
        <f t="shared" si="100"/>
        <v>0</v>
      </c>
      <c r="EQY43">
        <f t="shared" si="100"/>
        <v>0</v>
      </c>
      <c r="EQZ43">
        <f t="shared" si="100"/>
        <v>0</v>
      </c>
      <c r="ERA43">
        <f t="shared" si="100"/>
        <v>0</v>
      </c>
      <c r="ERB43">
        <f t="shared" si="100"/>
        <v>0</v>
      </c>
      <c r="ERC43">
        <f t="shared" si="100"/>
        <v>0</v>
      </c>
      <c r="ERD43">
        <f t="shared" si="100"/>
        <v>0</v>
      </c>
      <c r="ERE43">
        <f t="shared" si="100"/>
        <v>0</v>
      </c>
      <c r="ERF43">
        <f t="shared" si="100"/>
        <v>0</v>
      </c>
      <c r="ERG43">
        <f t="shared" si="100"/>
        <v>0</v>
      </c>
      <c r="ERH43">
        <f t="shared" si="100"/>
        <v>0</v>
      </c>
      <c r="ERI43">
        <f t="shared" si="100"/>
        <v>0</v>
      </c>
      <c r="ERJ43">
        <f t="shared" si="100"/>
        <v>0</v>
      </c>
      <c r="ERK43">
        <f t="shared" si="100"/>
        <v>0</v>
      </c>
      <c r="ERL43">
        <f t="shared" si="100"/>
        <v>0</v>
      </c>
      <c r="ERM43">
        <f t="shared" si="100"/>
        <v>0</v>
      </c>
      <c r="ERN43">
        <f t="shared" si="100"/>
        <v>0</v>
      </c>
      <c r="ERO43">
        <f t="shared" si="100"/>
        <v>0</v>
      </c>
      <c r="ERP43">
        <f t="shared" si="100"/>
        <v>0</v>
      </c>
      <c r="ERQ43">
        <f t="shared" si="100"/>
        <v>0</v>
      </c>
      <c r="ERR43">
        <f t="shared" si="100"/>
        <v>0</v>
      </c>
      <c r="ERS43">
        <f t="shared" si="100"/>
        <v>0</v>
      </c>
      <c r="ERT43">
        <f t="shared" si="100"/>
        <v>0</v>
      </c>
      <c r="ERU43">
        <f t="shared" si="100"/>
        <v>0</v>
      </c>
      <c r="ERV43">
        <f t="shared" si="100"/>
        <v>0</v>
      </c>
      <c r="ERW43">
        <f t="shared" si="100"/>
        <v>0</v>
      </c>
      <c r="ERX43">
        <f t="shared" si="100"/>
        <v>0</v>
      </c>
      <c r="ERY43">
        <f t="shared" si="100"/>
        <v>0</v>
      </c>
      <c r="ERZ43">
        <f t="shared" si="100"/>
        <v>0</v>
      </c>
      <c r="ESA43">
        <f t="shared" si="100"/>
        <v>0</v>
      </c>
      <c r="ESB43">
        <f t="shared" si="100"/>
        <v>0</v>
      </c>
      <c r="ESC43">
        <f t="shared" si="100"/>
        <v>0</v>
      </c>
      <c r="ESD43">
        <f t="shared" si="100"/>
        <v>0</v>
      </c>
      <c r="ESE43">
        <f t="shared" si="100"/>
        <v>0</v>
      </c>
      <c r="ESF43">
        <f t="shared" si="100"/>
        <v>0</v>
      </c>
      <c r="ESG43">
        <f t="shared" si="100"/>
        <v>0</v>
      </c>
      <c r="ESH43">
        <f t="shared" si="100"/>
        <v>0</v>
      </c>
      <c r="ESI43">
        <f t="shared" si="100"/>
        <v>0</v>
      </c>
      <c r="ESJ43">
        <f t="shared" si="100"/>
        <v>0</v>
      </c>
      <c r="ESK43">
        <f t="shared" si="100"/>
        <v>0</v>
      </c>
      <c r="ESL43">
        <f t="shared" si="100"/>
        <v>0</v>
      </c>
      <c r="ESM43">
        <f t="shared" si="100"/>
        <v>0</v>
      </c>
      <c r="ESN43">
        <f t="shared" si="100"/>
        <v>0</v>
      </c>
      <c r="ESO43">
        <f t="shared" si="100"/>
        <v>0</v>
      </c>
      <c r="ESP43">
        <f t="shared" si="100"/>
        <v>0</v>
      </c>
      <c r="ESQ43">
        <f t="shared" si="100"/>
        <v>0</v>
      </c>
      <c r="ESR43">
        <f t="shared" si="100"/>
        <v>0</v>
      </c>
      <c r="ESS43">
        <f t="shared" si="100"/>
        <v>0</v>
      </c>
      <c r="EST43">
        <f t="shared" si="100"/>
        <v>0</v>
      </c>
      <c r="ESU43">
        <f t="shared" si="100"/>
        <v>0</v>
      </c>
      <c r="ESV43">
        <f t="shared" si="100"/>
        <v>0</v>
      </c>
      <c r="ESW43">
        <f t="shared" si="100"/>
        <v>0</v>
      </c>
      <c r="ESX43">
        <f t="shared" si="100"/>
        <v>0</v>
      </c>
      <c r="ESY43">
        <f t="shared" si="100"/>
        <v>0</v>
      </c>
      <c r="ESZ43">
        <f t="shared" si="100"/>
        <v>0</v>
      </c>
      <c r="ETA43">
        <f t="shared" si="100"/>
        <v>0</v>
      </c>
      <c r="ETB43">
        <f t="shared" si="101"/>
        <v>0</v>
      </c>
      <c r="ETC43">
        <f t="shared" si="101"/>
        <v>0</v>
      </c>
      <c r="ETD43">
        <f t="shared" si="101"/>
        <v>0</v>
      </c>
      <c r="ETE43">
        <f t="shared" si="101"/>
        <v>0</v>
      </c>
      <c r="ETF43">
        <f t="shared" si="101"/>
        <v>0</v>
      </c>
      <c r="ETG43">
        <f t="shared" si="101"/>
        <v>0</v>
      </c>
      <c r="ETH43">
        <f t="shared" si="101"/>
        <v>0</v>
      </c>
      <c r="ETI43">
        <f t="shared" si="101"/>
        <v>0</v>
      </c>
      <c r="ETJ43">
        <f t="shared" si="101"/>
        <v>0</v>
      </c>
      <c r="ETK43">
        <f t="shared" si="101"/>
        <v>0</v>
      </c>
      <c r="ETL43">
        <f t="shared" si="101"/>
        <v>0</v>
      </c>
      <c r="ETM43">
        <f t="shared" si="101"/>
        <v>0</v>
      </c>
      <c r="ETN43">
        <f t="shared" si="101"/>
        <v>0</v>
      </c>
      <c r="ETO43">
        <f t="shared" si="101"/>
        <v>0</v>
      </c>
      <c r="ETP43">
        <f t="shared" si="101"/>
        <v>0</v>
      </c>
      <c r="ETQ43">
        <f t="shared" si="101"/>
        <v>0</v>
      </c>
      <c r="ETR43">
        <f t="shared" si="101"/>
        <v>0</v>
      </c>
      <c r="ETS43">
        <f t="shared" si="101"/>
        <v>0</v>
      </c>
      <c r="ETT43">
        <f t="shared" si="101"/>
        <v>0</v>
      </c>
      <c r="ETU43">
        <f t="shared" si="101"/>
        <v>0</v>
      </c>
      <c r="ETV43">
        <f t="shared" si="101"/>
        <v>0</v>
      </c>
      <c r="ETW43">
        <f t="shared" si="101"/>
        <v>0</v>
      </c>
      <c r="ETX43">
        <f t="shared" si="101"/>
        <v>0</v>
      </c>
      <c r="ETY43">
        <f t="shared" si="101"/>
        <v>0</v>
      </c>
      <c r="ETZ43">
        <f t="shared" si="101"/>
        <v>0</v>
      </c>
      <c r="EUA43">
        <f t="shared" si="101"/>
        <v>0</v>
      </c>
      <c r="EUB43">
        <f t="shared" si="101"/>
        <v>0</v>
      </c>
      <c r="EUC43">
        <f t="shared" si="101"/>
        <v>0</v>
      </c>
      <c r="EUD43">
        <f t="shared" si="101"/>
        <v>0</v>
      </c>
      <c r="EUE43">
        <f t="shared" si="101"/>
        <v>0</v>
      </c>
      <c r="EUF43">
        <f t="shared" si="101"/>
        <v>0</v>
      </c>
      <c r="EUG43">
        <f t="shared" si="101"/>
        <v>0</v>
      </c>
      <c r="EUH43">
        <f t="shared" si="101"/>
        <v>0</v>
      </c>
      <c r="EUI43">
        <f t="shared" si="101"/>
        <v>0</v>
      </c>
      <c r="EUJ43">
        <f t="shared" si="101"/>
        <v>0</v>
      </c>
      <c r="EUK43">
        <f t="shared" si="101"/>
        <v>0</v>
      </c>
      <c r="EUL43">
        <f t="shared" si="101"/>
        <v>0</v>
      </c>
      <c r="EUM43">
        <f t="shared" si="101"/>
        <v>0</v>
      </c>
      <c r="EUN43">
        <f t="shared" si="101"/>
        <v>0</v>
      </c>
      <c r="EUO43">
        <f t="shared" si="101"/>
        <v>0</v>
      </c>
      <c r="EUP43">
        <f t="shared" si="101"/>
        <v>0</v>
      </c>
      <c r="EUQ43">
        <f t="shared" si="101"/>
        <v>0</v>
      </c>
      <c r="EUR43">
        <f t="shared" si="101"/>
        <v>0</v>
      </c>
      <c r="EUS43">
        <f t="shared" si="101"/>
        <v>0</v>
      </c>
      <c r="EUT43">
        <f t="shared" si="101"/>
        <v>0</v>
      </c>
      <c r="EUU43">
        <f t="shared" si="101"/>
        <v>0</v>
      </c>
      <c r="EUV43">
        <f t="shared" si="101"/>
        <v>0</v>
      </c>
      <c r="EUW43">
        <f t="shared" si="101"/>
        <v>0</v>
      </c>
      <c r="EUX43">
        <f t="shared" si="101"/>
        <v>0</v>
      </c>
      <c r="EUY43">
        <f t="shared" si="101"/>
        <v>0</v>
      </c>
      <c r="EUZ43">
        <f t="shared" si="101"/>
        <v>0</v>
      </c>
      <c r="EVA43">
        <f t="shared" si="101"/>
        <v>0</v>
      </c>
      <c r="EVB43">
        <f t="shared" si="101"/>
        <v>0</v>
      </c>
      <c r="EVC43">
        <f t="shared" si="101"/>
        <v>0</v>
      </c>
      <c r="EVD43">
        <f t="shared" si="101"/>
        <v>0</v>
      </c>
      <c r="EVE43">
        <f t="shared" si="101"/>
        <v>0</v>
      </c>
      <c r="EVF43">
        <f t="shared" si="101"/>
        <v>0</v>
      </c>
      <c r="EVG43">
        <f t="shared" si="101"/>
        <v>0</v>
      </c>
      <c r="EVH43">
        <f t="shared" si="101"/>
        <v>0</v>
      </c>
      <c r="EVI43">
        <f t="shared" si="101"/>
        <v>0</v>
      </c>
      <c r="EVJ43">
        <f t="shared" si="101"/>
        <v>0</v>
      </c>
      <c r="EVK43">
        <f t="shared" si="101"/>
        <v>0</v>
      </c>
      <c r="EVL43">
        <f t="shared" si="101"/>
        <v>0</v>
      </c>
      <c r="EVM43">
        <f t="shared" si="101"/>
        <v>0</v>
      </c>
      <c r="EVN43">
        <f t="shared" si="102"/>
        <v>0</v>
      </c>
      <c r="EVO43">
        <f t="shared" si="102"/>
        <v>0</v>
      </c>
      <c r="EVP43">
        <f t="shared" si="102"/>
        <v>0</v>
      </c>
      <c r="EVQ43">
        <f t="shared" si="102"/>
        <v>0</v>
      </c>
      <c r="EVR43">
        <f t="shared" si="102"/>
        <v>0</v>
      </c>
      <c r="EVS43">
        <f t="shared" si="102"/>
        <v>0</v>
      </c>
      <c r="EVT43">
        <f t="shared" si="102"/>
        <v>0</v>
      </c>
      <c r="EVU43">
        <f t="shared" si="102"/>
        <v>0</v>
      </c>
      <c r="EVV43">
        <f t="shared" si="102"/>
        <v>0</v>
      </c>
      <c r="EVW43">
        <f t="shared" si="102"/>
        <v>0</v>
      </c>
      <c r="EVX43">
        <f t="shared" si="102"/>
        <v>0</v>
      </c>
      <c r="EVY43">
        <f t="shared" si="102"/>
        <v>0</v>
      </c>
      <c r="EVZ43">
        <f t="shared" si="102"/>
        <v>0</v>
      </c>
      <c r="EWA43">
        <f t="shared" si="102"/>
        <v>0</v>
      </c>
      <c r="EWB43">
        <f t="shared" si="102"/>
        <v>0</v>
      </c>
      <c r="EWC43">
        <f t="shared" si="102"/>
        <v>0</v>
      </c>
      <c r="EWD43">
        <f t="shared" si="102"/>
        <v>0</v>
      </c>
      <c r="EWE43">
        <f t="shared" si="102"/>
        <v>0</v>
      </c>
      <c r="EWF43">
        <f t="shared" si="102"/>
        <v>0</v>
      </c>
      <c r="EWG43">
        <f t="shared" si="102"/>
        <v>0</v>
      </c>
      <c r="EWH43">
        <f t="shared" si="102"/>
        <v>0</v>
      </c>
      <c r="EWI43">
        <f t="shared" si="102"/>
        <v>0</v>
      </c>
      <c r="EWJ43">
        <f t="shared" si="102"/>
        <v>0</v>
      </c>
      <c r="EWK43">
        <f t="shared" si="102"/>
        <v>0</v>
      </c>
      <c r="EWL43">
        <f t="shared" si="102"/>
        <v>0</v>
      </c>
      <c r="EWM43">
        <f t="shared" si="102"/>
        <v>0</v>
      </c>
      <c r="EWN43">
        <f t="shared" si="102"/>
        <v>0</v>
      </c>
      <c r="EWO43">
        <f t="shared" si="102"/>
        <v>0</v>
      </c>
      <c r="EWP43">
        <f t="shared" si="102"/>
        <v>0</v>
      </c>
      <c r="EWQ43">
        <f t="shared" si="102"/>
        <v>0</v>
      </c>
      <c r="EWR43">
        <f t="shared" si="102"/>
        <v>0</v>
      </c>
      <c r="EWS43">
        <f t="shared" si="102"/>
        <v>0</v>
      </c>
      <c r="EWT43">
        <f t="shared" si="102"/>
        <v>0</v>
      </c>
      <c r="EWU43">
        <f t="shared" si="102"/>
        <v>0</v>
      </c>
      <c r="EWV43">
        <f t="shared" si="102"/>
        <v>0</v>
      </c>
      <c r="EWW43">
        <f t="shared" si="102"/>
        <v>0</v>
      </c>
      <c r="EWX43">
        <f t="shared" si="102"/>
        <v>0</v>
      </c>
      <c r="EWY43">
        <f t="shared" si="102"/>
        <v>0</v>
      </c>
      <c r="EWZ43">
        <f t="shared" si="102"/>
        <v>0</v>
      </c>
      <c r="EXA43">
        <f t="shared" si="102"/>
        <v>0</v>
      </c>
      <c r="EXB43">
        <f t="shared" si="102"/>
        <v>0</v>
      </c>
      <c r="EXC43">
        <f t="shared" si="102"/>
        <v>0</v>
      </c>
      <c r="EXD43">
        <f t="shared" si="102"/>
        <v>0</v>
      </c>
      <c r="EXE43">
        <f t="shared" si="102"/>
        <v>0</v>
      </c>
      <c r="EXF43">
        <f t="shared" si="102"/>
        <v>0</v>
      </c>
      <c r="EXG43">
        <f t="shared" si="102"/>
        <v>0</v>
      </c>
      <c r="EXH43">
        <f t="shared" si="102"/>
        <v>0</v>
      </c>
      <c r="EXI43">
        <f t="shared" si="102"/>
        <v>0</v>
      </c>
      <c r="EXJ43">
        <f t="shared" si="102"/>
        <v>0</v>
      </c>
      <c r="EXK43">
        <f t="shared" si="102"/>
        <v>0</v>
      </c>
      <c r="EXL43">
        <f t="shared" si="102"/>
        <v>0</v>
      </c>
      <c r="EXM43">
        <f t="shared" si="102"/>
        <v>0</v>
      </c>
      <c r="EXN43">
        <f t="shared" si="102"/>
        <v>0</v>
      </c>
      <c r="EXO43">
        <f t="shared" si="102"/>
        <v>0</v>
      </c>
      <c r="EXP43">
        <f t="shared" si="102"/>
        <v>0</v>
      </c>
      <c r="EXQ43">
        <f t="shared" si="102"/>
        <v>0</v>
      </c>
      <c r="EXR43">
        <f t="shared" si="102"/>
        <v>0</v>
      </c>
      <c r="EXS43">
        <f t="shared" si="102"/>
        <v>0</v>
      </c>
      <c r="EXT43">
        <f t="shared" si="102"/>
        <v>0</v>
      </c>
      <c r="EXU43">
        <f t="shared" si="102"/>
        <v>0</v>
      </c>
      <c r="EXV43">
        <f t="shared" si="102"/>
        <v>0</v>
      </c>
      <c r="EXW43">
        <f t="shared" si="102"/>
        <v>0</v>
      </c>
      <c r="EXX43">
        <f t="shared" si="102"/>
        <v>0</v>
      </c>
      <c r="EXY43">
        <f t="shared" si="102"/>
        <v>0</v>
      </c>
      <c r="EXZ43">
        <f t="shared" si="103"/>
        <v>0</v>
      </c>
      <c r="EYA43">
        <f t="shared" si="103"/>
        <v>0</v>
      </c>
      <c r="EYB43">
        <f t="shared" si="103"/>
        <v>0</v>
      </c>
      <c r="EYC43">
        <f t="shared" si="103"/>
        <v>0</v>
      </c>
      <c r="EYD43">
        <f t="shared" si="103"/>
        <v>0</v>
      </c>
      <c r="EYE43">
        <f t="shared" si="103"/>
        <v>0</v>
      </c>
      <c r="EYF43">
        <f t="shared" si="103"/>
        <v>0</v>
      </c>
      <c r="EYG43">
        <f t="shared" si="103"/>
        <v>0</v>
      </c>
      <c r="EYH43">
        <f t="shared" si="103"/>
        <v>0</v>
      </c>
      <c r="EYI43">
        <f t="shared" si="103"/>
        <v>0</v>
      </c>
      <c r="EYJ43">
        <f t="shared" si="103"/>
        <v>0</v>
      </c>
      <c r="EYK43">
        <f t="shared" si="103"/>
        <v>0</v>
      </c>
      <c r="EYL43">
        <f t="shared" si="103"/>
        <v>0</v>
      </c>
      <c r="EYM43">
        <f t="shared" si="103"/>
        <v>0</v>
      </c>
      <c r="EYN43">
        <f t="shared" si="103"/>
        <v>0</v>
      </c>
      <c r="EYO43">
        <f t="shared" si="103"/>
        <v>0</v>
      </c>
      <c r="EYP43">
        <f t="shared" si="103"/>
        <v>0</v>
      </c>
      <c r="EYQ43">
        <f t="shared" si="103"/>
        <v>0</v>
      </c>
      <c r="EYR43">
        <f t="shared" si="103"/>
        <v>0</v>
      </c>
      <c r="EYS43">
        <f t="shared" si="103"/>
        <v>0</v>
      </c>
      <c r="EYT43">
        <f t="shared" si="103"/>
        <v>0</v>
      </c>
      <c r="EYU43">
        <f t="shared" si="103"/>
        <v>0</v>
      </c>
      <c r="EYV43">
        <f t="shared" si="103"/>
        <v>0</v>
      </c>
      <c r="EYW43">
        <f t="shared" si="103"/>
        <v>0</v>
      </c>
      <c r="EYX43">
        <f t="shared" si="103"/>
        <v>0</v>
      </c>
      <c r="EYY43">
        <f t="shared" si="103"/>
        <v>0</v>
      </c>
      <c r="EYZ43">
        <f t="shared" si="103"/>
        <v>0</v>
      </c>
      <c r="EZA43">
        <f t="shared" si="103"/>
        <v>0</v>
      </c>
      <c r="EZB43">
        <f t="shared" si="103"/>
        <v>0</v>
      </c>
      <c r="EZC43">
        <f t="shared" si="103"/>
        <v>0</v>
      </c>
      <c r="EZD43">
        <f t="shared" si="103"/>
        <v>0</v>
      </c>
      <c r="EZE43">
        <f t="shared" si="103"/>
        <v>0</v>
      </c>
      <c r="EZF43">
        <f t="shared" si="103"/>
        <v>0</v>
      </c>
      <c r="EZG43">
        <f t="shared" si="103"/>
        <v>0</v>
      </c>
      <c r="EZH43">
        <f t="shared" si="103"/>
        <v>0</v>
      </c>
      <c r="EZI43">
        <f t="shared" si="103"/>
        <v>0</v>
      </c>
      <c r="EZJ43">
        <f t="shared" si="103"/>
        <v>0</v>
      </c>
      <c r="EZK43">
        <f t="shared" si="103"/>
        <v>0</v>
      </c>
      <c r="EZL43">
        <f t="shared" si="103"/>
        <v>0</v>
      </c>
      <c r="EZM43">
        <f t="shared" si="103"/>
        <v>0</v>
      </c>
      <c r="EZN43">
        <f t="shared" si="103"/>
        <v>0</v>
      </c>
      <c r="EZO43">
        <f t="shared" si="103"/>
        <v>0</v>
      </c>
      <c r="EZP43">
        <f t="shared" si="103"/>
        <v>0</v>
      </c>
      <c r="EZQ43">
        <f t="shared" si="103"/>
        <v>0</v>
      </c>
      <c r="EZR43">
        <f t="shared" si="103"/>
        <v>0</v>
      </c>
      <c r="EZS43">
        <f t="shared" si="103"/>
        <v>0</v>
      </c>
      <c r="EZT43">
        <f t="shared" si="103"/>
        <v>0</v>
      </c>
      <c r="EZU43">
        <f t="shared" si="103"/>
        <v>0</v>
      </c>
      <c r="EZV43">
        <f t="shared" si="103"/>
        <v>0</v>
      </c>
      <c r="EZW43">
        <f t="shared" si="103"/>
        <v>0</v>
      </c>
      <c r="EZX43">
        <f t="shared" si="103"/>
        <v>0</v>
      </c>
      <c r="EZY43">
        <f t="shared" si="103"/>
        <v>0</v>
      </c>
      <c r="EZZ43">
        <f t="shared" si="103"/>
        <v>0</v>
      </c>
      <c r="FAA43">
        <f t="shared" si="103"/>
        <v>0</v>
      </c>
      <c r="FAB43">
        <f t="shared" si="103"/>
        <v>0</v>
      </c>
      <c r="FAC43">
        <f t="shared" si="103"/>
        <v>0</v>
      </c>
      <c r="FAD43">
        <f t="shared" si="103"/>
        <v>0</v>
      </c>
      <c r="FAE43">
        <f t="shared" si="103"/>
        <v>0</v>
      </c>
      <c r="FAF43">
        <f t="shared" si="103"/>
        <v>0</v>
      </c>
      <c r="FAG43">
        <f t="shared" si="103"/>
        <v>0</v>
      </c>
      <c r="FAH43">
        <f t="shared" si="103"/>
        <v>0</v>
      </c>
      <c r="FAI43">
        <f t="shared" si="103"/>
        <v>0</v>
      </c>
      <c r="FAJ43">
        <f t="shared" si="103"/>
        <v>0</v>
      </c>
      <c r="FAK43">
        <f t="shared" si="103"/>
        <v>0</v>
      </c>
      <c r="FAL43">
        <f t="shared" si="104"/>
        <v>0</v>
      </c>
      <c r="FAM43">
        <f t="shared" si="104"/>
        <v>0</v>
      </c>
      <c r="FAN43">
        <f t="shared" si="104"/>
        <v>0</v>
      </c>
      <c r="FAO43">
        <f t="shared" si="104"/>
        <v>0</v>
      </c>
      <c r="FAP43">
        <f t="shared" si="104"/>
        <v>0</v>
      </c>
      <c r="FAQ43">
        <f t="shared" si="104"/>
        <v>0</v>
      </c>
      <c r="FAR43">
        <f t="shared" si="104"/>
        <v>0</v>
      </c>
      <c r="FAS43">
        <f t="shared" si="104"/>
        <v>0</v>
      </c>
      <c r="FAT43">
        <f t="shared" si="104"/>
        <v>0</v>
      </c>
      <c r="FAU43">
        <f t="shared" si="104"/>
        <v>0</v>
      </c>
      <c r="FAV43">
        <f t="shared" si="104"/>
        <v>0</v>
      </c>
      <c r="FAW43">
        <f t="shared" si="104"/>
        <v>0</v>
      </c>
      <c r="FAX43">
        <f t="shared" si="104"/>
        <v>0</v>
      </c>
      <c r="FAY43">
        <f t="shared" si="104"/>
        <v>0</v>
      </c>
      <c r="FAZ43">
        <f t="shared" si="104"/>
        <v>0</v>
      </c>
      <c r="FBA43">
        <f t="shared" si="104"/>
        <v>0</v>
      </c>
      <c r="FBB43">
        <f t="shared" si="104"/>
        <v>0</v>
      </c>
      <c r="FBC43">
        <f t="shared" si="104"/>
        <v>0</v>
      </c>
      <c r="FBD43">
        <f t="shared" si="104"/>
        <v>0</v>
      </c>
      <c r="FBE43">
        <f t="shared" si="104"/>
        <v>0</v>
      </c>
      <c r="FBF43">
        <f t="shared" si="104"/>
        <v>0</v>
      </c>
      <c r="FBG43">
        <f t="shared" si="104"/>
        <v>0</v>
      </c>
      <c r="FBH43">
        <f t="shared" si="104"/>
        <v>0</v>
      </c>
      <c r="FBI43">
        <f t="shared" si="104"/>
        <v>0</v>
      </c>
      <c r="FBJ43">
        <f t="shared" si="104"/>
        <v>0</v>
      </c>
      <c r="FBK43">
        <f t="shared" si="104"/>
        <v>0</v>
      </c>
      <c r="FBL43">
        <f t="shared" si="104"/>
        <v>0</v>
      </c>
      <c r="FBM43">
        <f t="shared" si="104"/>
        <v>0</v>
      </c>
      <c r="FBN43">
        <f t="shared" si="104"/>
        <v>0</v>
      </c>
      <c r="FBO43">
        <f t="shared" si="104"/>
        <v>0</v>
      </c>
      <c r="FBP43">
        <f t="shared" si="104"/>
        <v>0</v>
      </c>
      <c r="FBQ43">
        <f t="shared" si="104"/>
        <v>0</v>
      </c>
      <c r="FBR43">
        <f t="shared" si="104"/>
        <v>0</v>
      </c>
      <c r="FBS43">
        <f t="shared" si="104"/>
        <v>0</v>
      </c>
      <c r="FBT43">
        <f t="shared" si="104"/>
        <v>0</v>
      </c>
      <c r="FBU43">
        <f t="shared" si="104"/>
        <v>0</v>
      </c>
      <c r="FBV43">
        <f t="shared" si="104"/>
        <v>0</v>
      </c>
      <c r="FBW43">
        <f t="shared" si="104"/>
        <v>0</v>
      </c>
      <c r="FBX43">
        <f t="shared" si="104"/>
        <v>0</v>
      </c>
      <c r="FBY43">
        <f t="shared" si="104"/>
        <v>0</v>
      </c>
      <c r="FBZ43">
        <f t="shared" si="104"/>
        <v>0</v>
      </c>
      <c r="FCA43">
        <f t="shared" si="104"/>
        <v>0</v>
      </c>
      <c r="FCB43">
        <f t="shared" si="104"/>
        <v>0</v>
      </c>
      <c r="FCC43">
        <f t="shared" si="104"/>
        <v>0</v>
      </c>
      <c r="FCD43">
        <f t="shared" si="104"/>
        <v>0</v>
      </c>
      <c r="FCE43">
        <f t="shared" si="104"/>
        <v>0</v>
      </c>
      <c r="FCF43">
        <f t="shared" si="104"/>
        <v>0</v>
      </c>
      <c r="FCG43">
        <f t="shared" si="104"/>
        <v>0</v>
      </c>
      <c r="FCH43">
        <f t="shared" si="104"/>
        <v>0</v>
      </c>
      <c r="FCI43">
        <f t="shared" si="104"/>
        <v>0</v>
      </c>
      <c r="FCJ43">
        <f t="shared" si="104"/>
        <v>0</v>
      </c>
      <c r="FCK43">
        <f t="shared" si="104"/>
        <v>0</v>
      </c>
      <c r="FCL43">
        <f t="shared" si="104"/>
        <v>0</v>
      </c>
      <c r="FCM43">
        <f t="shared" si="104"/>
        <v>0</v>
      </c>
      <c r="FCN43">
        <f t="shared" si="104"/>
        <v>0</v>
      </c>
      <c r="FCO43">
        <f t="shared" si="104"/>
        <v>0</v>
      </c>
      <c r="FCP43">
        <f t="shared" si="104"/>
        <v>0</v>
      </c>
      <c r="FCQ43">
        <f t="shared" si="104"/>
        <v>0</v>
      </c>
      <c r="FCR43">
        <f t="shared" si="104"/>
        <v>0</v>
      </c>
      <c r="FCS43">
        <f t="shared" si="104"/>
        <v>0</v>
      </c>
      <c r="FCT43">
        <f t="shared" si="104"/>
        <v>0</v>
      </c>
      <c r="FCU43">
        <f t="shared" si="104"/>
        <v>0</v>
      </c>
      <c r="FCV43">
        <f t="shared" si="104"/>
        <v>0</v>
      </c>
      <c r="FCW43">
        <f t="shared" si="104"/>
        <v>0</v>
      </c>
      <c r="FCX43">
        <f t="shared" si="105"/>
        <v>0</v>
      </c>
      <c r="FCY43">
        <f t="shared" si="105"/>
        <v>0</v>
      </c>
      <c r="FCZ43">
        <f t="shared" si="105"/>
        <v>0</v>
      </c>
      <c r="FDA43">
        <f t="shared" si="105"/>
        <v>0</v>
      </c>
      <c r="FDB43">
        <f t="shared" si="105"/>
        <v>0</v>
      </c>
      <c r="FDC43">
        <f t="shared" si="105"/>
        <v>0</v>
      </c>
      <c r="FDD43">
        <f t="shared" si="105"/>
        <v>0</v>
      </c>
      <c r="FDE43">
        <f t="shared" si="105"/>
        <v>0</v>
      </c>
      <c r="FDF43">
        <f t="shared" si="105"/>
        <v>0</v>
      </c>
      <c r="FDG43">
        <f t="shared" si="105"/>
        <v>0</v>
      </c>
      <c r="FDH43">
        <f t="shared" si="105"/>
        <v>0</v>
      </c>
      <c r="FDI43">
        <f t="shared" si="105"/>
        <v>0</v>
      </c>
      <c r="FDJ43">
        <f t="shared" si="105"/>
        <v>0</v>
      </c>
      <c r="FDK43">
        <f t="shared" si="105"/>
        <v>0</v>
      </c>
      <c r="FDL43">
        <f t="shared" si="105"/>
        <v>0</v>
      </c>
      <c r="FDM43">
        <f t="shared" si="105"/>
        <v>0</v>
      </c>
      <c r="FDN43">
        <f t="shared" si="105"/>
        <v>0</v>
      </c>
      <c r="FDO43">
        <f t="shared" si="105"/>
        <v>0</v>
      </c>
      <c r="FDP43">
        <f t="shared" si="105"/>
        <v>0</v>
      </c>
      <c r="FDQ43">
        <f t="shared" si="105"/>
        <v>0</v>
      </c>
      <c r="FDR43">
        <f t="shared" si="105"/>
        <v>0</v>
      </c>
      <c r="FDS43">
        <f t="shared" si="105"/>
        <v>0</v>
      </c>
      <c r="FDT43">
        <f t="shared" si="105"/>
        <v>0</v>
      </c>
      <c r="FDU43">
        <f t="shared" si="105"/>
        <v>0</v>
      </c>
      <c r="FDV43">
        <f t="shared" si="105"/>
        <v>0</v>
      </c>
      <c r="FDW43">
        <f t="shared" si="105"/>
        <v>0</v>
      </c>
      <c r="FDX43">
        <f t="shared" si="105"/>
        <v>0</v>
      </c>
      <c r="FDY43">
        <f t="shared" si="105"/>
        <v>0</v>
      </c>
      <c r="FDZ43">
        <f t="shared" si="105"/>
        <v>0</v>
      </c>
      <c r="FEA43">
        <f t="shared" si="105"/>
        <v>0</v>
      </c>
      <c r="FEB43">
        <f t="shared" si="105"/>
        <v>0</v>
      </c>
      <c r="FEC43">
        <f t="shared" si="105"/>
        <v>0</v>
      </c>
      <c r="FED43">
        <f t="shared" si="105"/>
        <v>0</v>
      </c>
      <c r="FEE43">
        <f t="shared" si="105"/>
        <v>0</v>
      </c>
      <c r="FEF43">
        <f t="shared" si="105"/>
        <v>0</v>
      </c>
      <c r="FEG43">
        <f t="shared" si="105"/>
        <v>0</v>
      </c>
      <c r="FEH43">
        <f t="shared" si="105"/>
        <v>0</v>
      </c>
      <c r="FEI43">
        <f t="shared" si="105"/>
        <v>0</v>
      </c>
      <c r="FEJ43">
        <f t="shared" si="105"/>
        <v>0</v>
      </c>
      <c r="FEK43">
        <f t="shared" si="105"/>
        <v>0</v>
      </c>
      <c r="FEL43">
        <f t="shared" si="105"/>
        <v>0</v>
      </c>
      <c r="FEM43">
        <f t="shared" si="105"/>
        <v>0</v>
      </c>
      <c r="FEN43">
        <f t="shared" si="105"/>
        <v>0</v>
      </c>
      <c r="FEO43">
        <f t="shared" si="105"/>
        <v>0</v>
      </c>
      <c r="FEP43">
        <f t="shared" si="105"/>
        <v>0</v>
      </c>
      <c r="FEQ43">
        <f t="shared" si="105"/>
        <v>0</v>
      </c>
      <c r="FER43">
        <f t="shared" si="105"/>
        <v>0</v>
      </c>
      <c r="FES43">
        <f t="shared" si="105"/>
        <v>0</v>
      </c>
      <c r="FET43">
        <f t="shared" si="105"/>
        <v>0</v>
      </c>
      <c r="FEU43">
        <f t="shared" si="105"/>
        <v>0</v>
      </c>
      <c r="FEV43">
        <f t="shared" si="105"/>
        <v>0</v>
      </c>
      <c r="FEW43">
        <f t="shared" si="105"/>
        <v>0</v>
      </c>
      <c r="FEX43">
        <f t="shared" si="105"/>
        <v>0</v>
      </c>
      <c r="FEY43">
        <f t="shared" si="105"/>
        <v>0</v>
      </c>
      <c r="FEZ43">
        <f t="shared" si="105"/>
        <v>0</v>
      </c>
      <c r="FFA43">
        <f t="shared" si="105"/>
        <v>0</v>
      </c>
      <c r="FFB43">
        <f t="shared" si="105"/>
        <v>0</v>
      </c>
      <c r="FFC43">
        <f t="shared" si="105"/>
        <v>0</v>
      </c>
      <c r="FFD43">
        <f t="shared" si="105"/>
        <v>0</v>
      </c>
      <c r="FFE43">
        <f t="shared" si="105"/>
        <v>0</v>
      </c>
      <c r="FFF43">
        <f t="shared" si="105"/>
        <v>0</v>
      </c>
      <c r="FFG43">
        <f t="shared" si="105"/>
        <v>0</v>
      </c>
      <c r="FFH43">
        <f t="shared" si="105"/>
        <v>0</v>
      </c>
      <c r="FFI43">
        <f t="shared" si="105"/>
        <v>0</v>
      </c>
      <c r="FFJ43">
        <f t="shared" si="106"/>
        <v>0</v>
      </c>
      <c r="FFK43">
        <f t="shared" si="106"/>
        <v>0</v>
      </c>
      <c r="FFL43">
        <f t="shared" si="106"/>
        <v>0</v>
      </c>
      <c r="FFM43">
        <f t="shared" si="106"/>
        <v>0</v>
      </c>
      <c r="FFN43">
        <f t="shared" si="106"/>
        <v>0</v>
      </c>
      <c r="FFO43">
        <f t="shared" si="106"/>
        <v>0</v>
      </c>
      <c r="FFP43">
        <f t="shared" si="106"/>
        <v>0</v>
      </c>
      <c r="FFQ43">
        <f t="shared" si="106"/>
        <v>0</v>
      </c>
      <c r="FFR43">
        <f t="shared" si="106"/>
        <v>0</v>
      </c>
      <c r="FFS43">
        <f t="shared" si="106"/>
        <v>0</v>
      </c>
      <c r="FFT43">
        <f t="shared" si="106"/>
        <v>0</v>
      </c>
      <c r="FFU43">
        <f t="shared" si="106"/>
        <v>0</v>
      </c>
      <c r="FFV43">
        <f t="shared" si="106"/>
        <v>0</v>
      </c>
      <c r="FFW43">
        <f t="shared" si="106"/>
        <v>0</v>
      </c>
      <c r="FFX43">
        <f t="shared" si="106"/>
        <v>0</v>
      </c>
      <c r="FFY43">
        <f t="shared" si="106"/>
        <v>0</v>
      </c>
      <c r="FFZ43">
        <f t="shared" si="106"/>
        <v>0</v>
      </c>
      <c r="FGA43">
        <f t="shared" si="106"/>
        <v>0</v>
      </c>
      <c r="FGB43">
        <f t="shared" si="106"/>
        <v>0</v>
      </c>
      <c r="FGC43">
        <f t="shared" si="106"/>
        <v>0</v>
      </c>
      <c r="FGD43">
        <f t="shared" si="106"/>
        <v>0</v>
      </c>
      <c r="FGE43">
        <f t="shared" si="106"/>
        <v>0</v>
      </c>
      <c r="FGF43">
        <f t="shared" si="106"/>
        <v>0</v>
      </c>
      <c r="FGG43">
        <f t="shared" si="106"/>
        <v>0</v>
      </c>
      <c r="FGH43">
        <f t="shared" si="106"/>
        <v>0</v>
      </c>
      <c r="FGI43">
        <f t="shared" si="106"/>
        <v>0</v>
      </c>
      <c r="FGJ43">
        <f t="shared" si="106"/>
        <v>0</v>
      </c>
      <c r="FGK43">
        <f t="shared" si="106"/>
        <v>0</v>
      </c>
      <c r="FGL43">
        <f t="shared" si="106"/>
        <v>0</v>
      </c>
      <c r="FGM43">
        <f t="shared" si="106"/>
        <v>0</v>
      </c>
      <c r="FGN43">
        <f t="shared" si="106"/>
        <v>0</v>
      </c>
      <c r="FGO43">
        <f t="shared" si="106"/>
        <v>0</v>
      </c>
      <c r="FGP43">
        <f t="shared" si="106"/>
        <v>0</v>
      </c>
      <c r="FGQ43">
        <f t="shared" si="106"/>
        <v>0</v>
      </c>
      <c r="FGR43">
        <f t="shared" si="106"/>
        <v>0</v>
      </c>
      <c r="FGS43">
        <f t="shared" si="106"/>
        <v>0</v>
      </c>
      <c r="FGT43">
        <f t="shared" si="106"/>
        <v>0</v>
      </c>
      <c r="FGU43">
        <f t="shared" si="106"/>
        <v>0</v>
      </c>
      <c r="FGV43">
        <f t="shared" si="106"/>
        <v>0</v>
      </c>
      <c r="FGW43">
        <f t="shared" si="106"/>
        <v>0</v>
      </c>
      <c r="FGX43">
        <f t="shared" si="106"/>
        <v>0</v>
      </c>
      <c r="FGY43">
        <f t="shared" si="106"/>
        <v>0</v>
      </c>
      <c r="FGZ43">
        <f t="shared" si="106"/>
        <v>0</v>
      </c>
      <c r="FHA43">
        <f t="shared" si="106"/>
        <v>0</v>
      </c>
      <c r="FHB43">
        <f t="shared" si="106"/>
        <v>0</v>
      </c>
      <c r="FHC43">
        <f t="shared" si="106"/>
        <v>0</v>
      </c>
      <c r="FHD43">
        <f t="shared" si="106"/>
        <v>0</v>
      </c>
      <c r="FHE43">
        <f t="shared" si="106"/>
        <v>0</v>
      </c>
      <c r="FHF43">
        <f t="shared" si="106"/>
        <v>0</v>
      </c>
      <c r="FHG43">
        <f t="shared" si="106"/>
        <v>0</v>
      </c>
      <c r="FHH43">
        <f t="shared" si="106"/>
        <v>0</v>
      </c>
      <c r="FHI43">
        <f t="shared" si="106"/>
        <v>0</v>
      </c>
      <c r="FHJ43">
        <f t="shared" si="106"/>
        <v>0</v>
      </c>
      <c r="FHK43">
        <f t="shared" si="106"/>
        <v>0</v>
      </c>
      <c r="FHL43">
        <f t="shared" si="106"/>
        <v>0</v>
      </c>
      <c r="FHM43">
        <f t="shared" si="106"/>
        <v>0</v>
      </c>
      <c r="FHN43">
        <f t="shared" si="106"/>
        <v>0</v>
      </c>
      <c r="FHO43">
        <f t="shared" si="106"/>
        <v>0</v>
      </c>
      <c r="FHP43">
        <f t="shared" si="106"/>
        <v>0</v>
      </c>
      <c r="FHQ43">
        <f t="shared" si="106"/>
        <v>0</v>
      </c>
      <c r="FHR43">
        <f t="shared" si="106"/>
        <v>0</v>
      </c>
      <c r="FHS43">
        <f t="shared" si="106"/>
        <v>0</v>
      </c>
      <c r="FHT43">
        <f t="shared" si="106"/>
        <v>0</v>
      </c>
      <c r="FHU43">
        <f t="shared" si="106"/>
        <v>0</v>
      </c>
      <c r="FHV43">
        <f t="shared" si="107"/>
        <v>0</v>
      </c>
      <c r="FHW43">
        <f t="shared" si="107"/>
        <v>0</v>
      </c>
      <c r="FHX43">
        <f t="shared" si="107"/>
        <v>0</v>
      </c>
      <c r="FHY43">
        <f t="shared" si="107"/>
        <v>0</v>
      </c>
      <c r="FHZ43">
        <f t="shared" si="107"/>
        <v>0</v>
      </c>
      <c r="FIA43">
        <f t="shared" si="107"/>
        <v>0</v>
      </c>
      <c r="FIB43">
        <f t="shared" si="107"/>
        <v>0</v>
      </c>
      <c r="FIC43">
        <f t="shared" si="107"/>
        <v>0</v>
      </c>
      <c r="FID43">
        <f t="shared" si="107"/>
        <v>0</v>
      </c>
      <c r="FIE43">
        <f t="shared" si="107"/>
        <v>0</v>
      </c>
      <c r="FIF43">
        <f t="shared" si="107"/>
        <v>0</v>
      </c>
      <c r="FIG43">
        <f t="shared" si="107"/>
        <v>0</v>
      </c>
      <c r="FIH43">
        <f t="shared" si="107"/>
        <v>0</v>
      </c>
      <c r="FII43">
        <f t="shared" si="107"/>
        <v>0</v>
      </c>
      <c r="FIJ43">
        <f t="shared" si="107"/>
        <v>0</v>
      </c>
      <c r="FIK43">
        <f t="shared" si="107"/>
        <v>0</v>
      </c>
      <c r="FIL43">
        <f t="shared" si="107"/>
        <v>0</v>
      </c>
      <c r="FIM43">
        <f t="shared" si="107"/>
        <v>0</v>
      </c>
      <c r="FIN43">
        <f t="shared" si="107"/>
        <v>0</v>
      </c>
      <c r="FIO43">
        <f t="shared" si="107"/>
        <v>0</v>
      </c>
      <c r="FIP43">
        <f t="shared" si="107"/>
        <v>0</v>
      </c>
      <c r="FIQ43">
        <f t="shared" si="107"/>
        <v>0</v>
      </c>
      <c r="FIR43">
        <f t="shared" si="107"/>
        <v>0</v>
      </c>
      <c r="FIS43">
        <f t="shared" si="107"/>
        <v>0</v>
      </c>
      <c r="FIT43">
        <f t="shared" si="107"/>
        <v>0</v>
      </c>
      <c r="FIU43">
        <f t="shared" si="107"/>
        <v>0</v>
      </c>
      <c r="FIV43">
        <f t="shared" si="107"/>
        <v>0</v>
      </c>
      <c r="FIW43">
        <f t="shared" si="107"/>
        <v>0</v>
      </c>
      <c r="FIX43">
        <f t="shared" si="107"/>
        <v>0</v>
      </c>
      <c r="FIY43">
        <f t="shared" si="107"/>
        <v>0</v>
      </c>
      <c r="FIZ43">
        <f t="shared" si="107"/>
        <v>0</v>
      </c>
      <c r="FJA43">
        <f t="shared" si="107"/>
        <v>0</v>
      </c>
      <c r="FJB43">
        <f t="shared" si="107"/>
        <v>0</v>
      </c>
      <c r="FJC43">
        <f t="shared" si="107"/>
        <v>0</v>
      </c>
      <c r="FJD43">
        <f t="shared" si="107"/>
        <v>0</v>
      </c>
      <c r="FJE43">
        <f t="shared" si="107"/>
        <v>0</v>
      </c>
      <c r="FJF43">
        <f t="shared" si="107"/>
        <v>0</v>
      </c>
      <c r="FJG43">
        <f t="shared" si="107"/>
        <v>0</v>
      </c>
      <c r="FJH43">
        <f t="shared" si="107"/>
        <v>0</v>
      </c>
      <c r="FJI43">
        <f t="shared" si="107"/>
        <v>0</v>
      </c>
      <c r="FJJ43">
        <f t="shared" si="107"/>
        <v>0</v>
      </c>
      <c r="FJK43">
        <f t="shared" si="107"/>
        <v>0</v>
      </c>
      <c r="FJL43">
        <f t="shared" si="107"/>
        <v>0</v>
      </c>
      <c r="FJM43">
        <f t="shared" si="107"/>
        <v>0</v>
      </c>
      <c r="FJN43">
        <f t="shared" si="107"/>
        <v>0</v>
      </c>
      <c r="FJO43">
        <f t="shared" si="107"/>
        <v>0</v>
      </c>
      <c r="FJP43">
        <f t="shared" si="107"/>
        <v>0</v>
      </c>
      <c r="FJQ43">
        <f t="shared" si="107"/>
        <v>0</v>
      </c>
      <c r="FJR43">
        <f t="shared" si="107"/>
        <v>0</v>
      </c>
      <c r="FJS43">
        <f t="shared" si="107"/>
        <v>0</v>
      </c>
      <c r="FJT43">
        <f t="shared" si="107"/>
        <v>0</v>
      </c>
      <c r="FJU43">
        <f t="shared" si="107"/>
        <v>0</v>
      </c>
      <c r="FJV43">
        <f t="shared" si="107"/>
        <v>0</v>
      </c>
      <c r="FJW43">
        <f t="shared" si="107"/>
        <v>0</v>
      </c>
      <c r="FJX43">
        <f t="shared" si="107"/>
        <v>0</v>
      </c>
      <c r="FJY43">
        <f t="shared" si="107"/>
        <v>0</v>
      </c>
      <c r="FJZ43">
        <f t="shared" si="107"/>
        <v>0</v>
      </c>
      <c r="FKA43">
        <f t="shared" si="107"/>
        <v>0</v>
      </c>
      <c r="FKB43">
        <f t="shared" si="107"/>
        <v>0</v>
      </c>
      <c r="FKC43">
        <f t="shared" si="107"/>
        <v>0</v>
      </c>
      <c r="FKD43">
        <f t="shared" si="107"/>
        <v>0</v>
      </c>
      <c r="FKE43">
        <f t="shared" si="107"/>
        <v>0</v>
      </c>
      <c r="FKF43">
        <f t="shared" si="107"/>
        <v>0</v>
      </c>
      <c r="FKG43">
        <f t="shared" si="107"/>
        <v>0</v>
      </c>
      <c r="FKH43">
        <f t="shared" si="108"/>
        <v>0</v>
      </c>
      <c r="FKI43">
        <f t="shared" si="108"/>
        <v>0</v>
      </c>
      <c r="FKJ43">
        <f t="shared" si="108"/>
        <v>0</v>
      </c>
      <c r="FKK43">
        <f t="shared" si="108"/>
        <v>0</v>
      </c>
      <c r="FKL43">
        <f t="shared" si="108"/>
        <v>0</v>
      </c>
      <c r="FKM43">
        <f t="shared" si="108"/>
        <v>0</v>
      </c>
      <c r="FKN43">
        <f t="shared" si="108"/>
        <v>0</v>
      </c>
      <c r="FKO43">
        <f t="shared" si="108"/>
        <v>0</v>
      </c>
      <c r="FKP43">
        <f t="shared" si="108"/>
        <v>0</v>
      </c>
      <c r="FKQ43">
        <f t="shared" si="108"/>
        <v>0</v>
      </c>
      <c r="FKR43">
        <f t="shared" si="108"/>
        <v>0</v>
      </c>
      <c r="FKS43">
        <f t="shared" si="108"/>
        <v>0</v>
      </c>
      <c r="FKT43">
        <f t="shared" si="108"/>
        <v>0</v>
      </c>
      <c r="FKU43">
        <f t="shared" si="108"/>
        <v>0</v>
      </c>
      <c r="FKV43">
        <f t="shared" si="108"/>
        <v>0</v>
      </c>
      <c r="FKW43">
        <f t="shared" si="108"/>
        <v>0</v>
      </c>
      <c r="FKX43">
        <f t="shared" si="108"/>
        <v>0</v>
      </c>
      <c r="FKY43">
        <f t="shared" si="108"/>
        <v>0</v>
      </c>
      <c r="FKZ43">
        <f t="shared" si="108"/>
        <v>0</v>
      </c>
      <c r="FLA43">
        <f t="shared" si="108"/>
        <v>0</v>
      </c>
      <c r="FLB43">
        <f t="shared" si="108"/>
        <v>0</v>
      </c>
      <c r="FLC43">
        <f t="shared" si="108"/>
        <v>0</v>
      </c>
      <c r="FLD43">
        <f t="shared" si="108"/>
        <v>0</v>
      </c>
      <c r="FLE43">
        <f t="shared" si="108"/>
        <v>0</v>
      </c>
      <c r="FLF43">
        <f t="shared" si="108"/>
        <v>0</v>
      </c>
      <c r="FLG43">
        <f t="shared" si="108"/>
        <v>0</v>
      </c>
      <c r="FLH43">
        <f t="shared" si="108"/>
        <v>0</v>
      </c>
      <c r="FLI43">
        <f t="shared" si="108"/>
        <v>0</v>
      </c>
      <c r="FLJ43">
        <f t="shared" si="108"/>
        <v>0</v>
      </c>
      <c r="FLK43">
        <f t="shared" si="108"/>
        <v>0</v>
      </c>
      <c r="FLL43">
        <f t="shared" si="108"/>
        <v>0</v>
      </c>
      <c r="FLM43">
        <f t="shared" si="108"/>
        <v>0</v>
      </c>
      <c r="FLN43">
        <f t="shared" si="108"/>
        <v>0</v>
      </c>
      <c r="FLO43">
        <f t="shared" si="108"/>
        <v>0</v>
      </c>
      <c r="FLP43">
        <f t="shared" si="108"/>
        <v>0</v>
      </c>
      <c r="FLQ43">
        <f t="shared" si="108"/>
        <v>0</v>
      </c>
      <c r="FLR43">
        <f t="shared" si="108"/>
        <v>0</v>
      </c>
      <c r="FLS43">
        <f t="shared" si="108"/>
        <v>0</v>
      </c>
      <c r="FLT43">
        <f t="shared" si="108"/>
        <v>0</v>
      </c>
      <c r="FLU43">
        <f t="shared" si="108"/>
        <v>0</v>
      </c>
      <c r="FLV43">
        <f t="shared" si="108"/>
        <v>0</v>
      </c>
      <c r="FLW43">
        <f t="shared" si="108"/>
        <v>0</v>
      </c>
      <c r="FLX43">
        <f t="shared" si="108"/>
        <v>0</v>
      </c>
      <c r="FLY43">
        <f t="shared" si="108"/>
        <v>0</v>
      </c>
      <c r="FLZ43">
        <f t="shared" si="108"/>
        <v>0</v>
      </c>
      <c r="FMA43">
        <f t="shared" si="108"/>
        <v>0</v>
      </c>
      <c r="FMB43">
        <f t="shared" si="108"/>
        <v>0</v>
      </c>
      <c r="FMC43">
        <f t="shared" si="108"/>
        <v>0</v>
      </c>
      <c r="FMD43">
        <f t="shared" si="108"/>
        <v>0</v>
      </c>
      <c r="FME43">
        <f t="shared" si="108"/>
        <v>0</v>
      </c>
      <c r="FMF43">
        <f t="shared" si="108"/>
        <v>0</v>
      </c>
      <c r="FMG43">
        <f t="shared" si="108"/>
        <v>0</v>
      </c>
      <c r="FMH43">
        <f t="shared" si="108"/>
        <v>0</v>
      </c>
      <c r="FMI43">
        <f t="shared" si="108"/>
        <v>0</v>
      </c>
      <c r="FMJ43">
        <f t="shared" si="108"/>
        <v>0</v>
      </c>
      <c r="FMK43">
        <f t="shared" si="108"/>
        <v>0</v>
      </c>
      <c r="FML43">
        <f t="shared" si="108"/>
        <v>0</v>
      </c>
      <c r="FMM43">
        <f t="shared" si="108"/>
        <v>0</v>
      </c>
      <c r="FMN43">
        <f t="shared" si="108"/>
        <v>0</v>
      </c>
      <c r="FMO43">
        <f t="shared" si="108"/>
        <v>0</v>
      </c>
      <c r="FMP43">
        <f t="shared" si="108"/>
        <v>0</v>
      </c>
      <c r="FMQ43">
        <f t="shared" si="108"/>
        <v>0</v>
      </c>
      <c r="FMR43">
        <f t="shared" si="108"/>
        <v>0</v>
      </c>
      <c r="FMS43">
        <f t="shared" si="108"/>
        <v>0</v>
      </c>
      <c r="FMT43">
        <f t="shared" si="109"/>
        <v>0</v>
      </c>
      <c r="FMU43">
        <f t="shared" si="109"/>
        <v>0</v>
      </c>
      <c r="FMV43">
        <f t="shared" si="109"/>
        <v>0</v>
      </c>
      <c r="FMW43">
        <f t="shared" si="109"/>
        <v>0</v>
      </c>
      <c r="FMX43">
        <f t="shared" si="109"/>
        <v>0</v>
      </c>
      <c r="FMY43">
        <f t="shared" si="109"/>
        <v>0</v>
      </c>
      <c r="FMZ43">
        <f t="shared" si="109"/>
        <v>0</v>
      </c>
      <c r="FNA43">
        <f t="shared" si="109"/>
        <v>0</v>
      </c>
      <c r="FNB43">
        <f t="shared" si="109"/>
        <v>0</v>
      </c>
      <c r="FNC43">
        <f t="shared" si="109"/>
        <v>0</v>
      </c>
      <c r="FND43">
        <f t="shared" si="109"/>
        <v>0</v>
      </c>
      <c r="FNE43">
        <f t="shared" si="109"/>
        <v>0</v>
      </c>
      <c r="FNF43">
        <f t="shared" si="109"/>
        <v>0</v>
      </c>
      <c r="FNG43">
        <f t="shared" si="109"/>
        <v>0</v>
      </c>
      <c r="FNH43">
        <f t="shared" si="109"/>
        <v>0</v>
      </c>
      <c r="FNI43">
        <f t="shared" si="109"/>
        <v>0</v>
      </c>
      <c r="FNJ43">
        <f t="shared" si="109"/>
        <v>0</v>
      </c>
      <c r="FNK43">
        <f t="shared" si="109"/>
        <v>0</v>
      </c>
      <c r="FNL43">
        <f t="shared" si="109"/>
        <v>0</v>
      </c>
      <c r="FNM43">
        <f t="shared" si="109"/>
        <v>0</v>
      </c>
      <c r="FNN43">
        <f t="shared" si="109"/>
        <v>0</v>
      </c>
      <c r="FNO43">
        <f t="shared" si="109"/>
        <v>0</v>
      </c>
      <c r="FNP43">
        <f t="shared" si="109"/>
        <v>0</v>
      </c>
      <c r="FNQ43">
        <f t="shared" si="109"/>
        <v>0</v>
      </c>
      <c r="FNR43">
        <f t="shared" si="109"/>
        <v>0</v>
      </c>
      <c r="FNS43">
        <f t="shared" si="109"/>
        <v>0</v>
      </c>
      <c r="FNT43">
        <f t="shared" si="109"/>
        <v>0</v>
      </c>
      <c r="FNU43">
        <f t="shared" si="109"/>
        <v>0</v>
      </c>
      <c r="FNV43">
        <f t="shared" si="109"/>
        <v>0</v>
      </c>
      <c r="FNW43">
        <f t="shared" si="109"/>
        <v>0</v>
      </c>
      <c r="FNX43">
        <f t="shared" si="109"/>
        <v>0</v>
      </c>
      <c r="FNY43">
        <f t="shared" si="109"/>
        <v>0</v>
      </c>
      <c r="FNZ43">
        <f t="shared" si="109"/>
        <v>0</v>
      </c>
      <c r="FOA43">
        <f t="shared" si="109"/>
        <v>0</v>
      </c>
      <c r="FOB43">
        <f t="shared" si="109"/>
        <v>0</v>
      </c>
      <c r="FOC43">
        <f t="shared" si="109"/>
        <v>0</v>
      </c>
      <c r="FOD43">
        <f t="shared" si="109"/>
        <v>0</v>
      </c>
      <c r="FOE43">
        <f t="shared" si="109"/>
        <v>0</v>
      </c>
      <c r="FOF43">
        <f t="shared" si="109"/>
        <v>0</v>
      </c>
      <c r="FOG43">
        <f t="shared" si="109"/>
        <v>0</v>
      </c>
      <c r="FOH43">
        <f t="shared" si="109"/>
        <v>0</v>
      </c>
      <c r="FOI43">
        <f t="shared" si="109"/>
        <v>0</v>
      </c>
      <c r="FOJ43">
        <f t="shared" si="109"/>
        <v>0</v>
      </c>
      <c r="FOK43">
        <f t="shared" si="109"/>
        <v>0</v>
      </c>
      <c r="FOL43">
        <f t="shared" si="109"/>
        <v>0</v>
      </c>
      <c r="FOM43">
        <f t="shared" si="109"/>
        <v>0</v>
      </c>
      <c r="FON43">
        <f t="shared" si="109"/>
        <v>0</v>
      </c>
      <c r="FOO43">
        <f t="shared" si="109"/>
        <v>0</v>
      </c>
      <c r="FOP43">
        <f t="shared" si="109"/>
        <v>0</v>
      </c>
      <c r="FOQ43">
        <f t="shared" si="109"/>
        <v>0</v>
      </c>
      <c r="FOR43">
        <f t="shared" si="109"/>
        <v>0</v>
      </c>
      <c r="FOS43">
        <f t="shared" si="109"/>
        <v>0</v>
      </c>
      <c r="FOT43">
        <f t="shared" si="109"/>
        <v>0</v>
      </c>
      <c r="FOU43">
        <f t="shared" si="109"/>
        <v>0</v>
      </c>
      <c r="FOV43">
        <f t="shared" si="109"/>
        <v>0</v>
      </c>
      <c r="FOW43">
        <f t="shared" si="109"/>
        <v>0</v>
      </c>
      <c r="FOX43">
        <f t="shared" si="109"/>
        <v>0</v>
      </c>
      <c r="FOY43">
        <f t="shared" si="109"/>
        <v>0</v>
      </c>
      <c r="FOZ43">
        <f t="shared" si="109"/>
        <v>0</v>
      </c>
      <c r="FPA43">
        <f t="shared" si="109"/>
        <v>0</v>
      </c>
      <c r="FPB43">
        <f t="shared" si="109"/>
        <v>0</v>
      </c>
      <c r="FPC43">
        <f t="shared" si="109"/>
        <v>0</v>
      </c>
      <c r="FPD43">
        <f t="shared" si="109"/>
        <v>0</v>
      </c>
      <c r="FPE43">
        <f t="shared" si="109"/>
        <v>0</v>
      </c>
      <c r="FPF43">
        <f t="shared" si="110"/>
        <v>0</v>
      </c>
      <c r="FPG43">
        <f t="shared" si="110"/>
        <v>0</v>
      </c>
      <c r="FPH43">
        <f t="shared" si="110"/>
        <v>0</v>
      </c>
      <c r="FPI43">
        <f t="shared" si="110"/>
        <v>0</v>
      </c>
      <c r="FPJ43">
        <f t="shared" si="110"/>
        <v>0</v>
      </c>
      <c r="FPK43">
        <f t="shared" si="110"/>
        <v>0</v>
      </c>
      <c r="FPL43">
        <f t="shared" si="110"/>
        <v>0</v>
      </c>
      <c r="FPM43">
        <f t="shared" si="110"/>
        <v>0</v>
      </c>
      <c r="FPN43">
        <f t="shared" si="110"/>
        <v>0</v>
      </c>
      <c r="FPO43">
        <f t="shared" si="110"/>
        <v>0</v>
      </c>
      <c r="FPP43">
        <f t="shared" si="110"/>
        <v>0</v>
      </c>
      <c r="FPQ43">
        <f t="shared" si="110"/>
        <v>0</v>
      </c>
      <c r="FPR43">
        <f t="shared" si="110"/>
        <v>0</v>
      </c>
      <c r="FPS43">
        <f t="shared" si="110"/>
        <v>0</v>
      </c>
      <c r="FPT43">
        <f t="shared" si="110"/>
        <v>0</v>
      </c>
      <c r="FPU43">
        <f t="shared" si="110"/>
        <v>0</v>
      </c>
      <c r="FPV43">
        <f t="shared" si="110"/>
        <v>0</v>
      </c>
      <c r="FPW43">
        <f t="shared" si="110"/>
        <v>0</v>
      </c>
      <c r="FPX43">
        <f t="shared" si="110"/>
        <v>0</v>
      </c>
      <c r="FPY43">
        <f t="shared" si="110"/>
        <v>0</v>
      </c>
      <c r="FPZ43">
        <f t="shared" si="110"/>
        <v>0</v>
      </c>
      <c r="FQA43">
        <f t="shared" si="110"/>
        <v>0</v>
      </c>
      <c r="FQB43">
        <f t="shared" si="110"/>
        <v>0</v>
      </c>
      <c r="FQC43">
        <f t="shared" si="110"/>
        <v>0</v>
      </c>
      <c r="FQD43">
        <f t="shared" si="110"/>
        <v>0</v>
      </c>
      <c r="FQE43">
        <f t="shared" si="110"/>
        <v>0</v>
      </c>
      <c r="FQF43">
        <f t="shared" si="110"/>
        <v>0</v>
      </c>
      <c r="FQG43">
        <f t="shared" si="110"/>
        <v>0</v>
      </c>
      <c r="FQH43">
        <f t="shared" si="110"/>
        <v>0</v>
      </c>
      <c r="FQI43">
        <f t="shared" si="110"/>
        <v>0</v>
      </c>
      <c r="FQJ43">
        <f t="shared" si="110"/>
        <v>0</v>
      </c>
      <c r="FQK43">
        <f t="shared" si="110"/>
        <v>0</v>
      </c>
      <c r="FQL43">
        <f t="shared" si="110"/>
        <v>0</v>
      </c>
      <c r="FQM43">
        <f t="shared" si="110"/>
        <v>0</v>
      </c>
      <c r="FQN43">
        <f t="shared" si="110"/>
        <v>0</v>
      </c>
      <c r="FQO43">
        <f t="shared" si="110"/>
        <v>0</v>
      </c>
      <c r="FQP43">
        <f t="shared" si="110"/>
        <v>0</v>
      </c>
      <c r="FQQ43">
        <f t="shared" si="110"/>
        <v>0</v>
      </c>
      <c r="FQR43">
        <f t="shared" si="110"/>
        <v>0</v>
      </c>
      <c r="FQS43">
        <f t="shared" si="110"/>
        <v>0</v>
      </c>
      <c r="FQT43">
        <f t="shared" si="110"/>
        <v>0</v>
      </c>
      <c r="FQU43">
        <f t="shared" si="110"/>
        <v>0</v>
      </c>
      <c r="FQV43">
        <f t="shared" si="110"/>
        <v>0</v>
      </c>
      <c r="FQW43">
        <f t="shared" si="110"/>
        <v>0</v>
      </c>
      <c r="FQX43">
        <f t="shared" si="110"/>
        <v>0</v>
      </c>
      <c r="FQY43">
        <f t="shared" si="110"/>
        <v>0</v>
      </c>
      <c r="FQZ43">
        <f t="shared" si="110"/>
        <v>0</v>
      </c>
      <c r="FRA43">
        <f t="shared" si="110"/>
        <v>0</v>
      </c>
      <c r="FRB43">
        <f t="shared" si="110"/>
        <v>0</v>
      </c>
      <c r="FRC43">
        <f t="shared" si="110"/>
        <v>0</v>
      </c>
      <c r="FRD43">
        <f t="shared" si="110"/>
        <v>0</v>
      </c>
      <c r="FRE43">
        <f t="shared" si="110"/>
        <v>0</v>
      </c>
      <c r="FRF43">
        <f t="shared" si="110"/>
        <v>0</v>
      </c>
      <c r="FRG43">
        <f t="shared" si="110"/>
        <v>0</v>
      </c>
      <c r="FRH43">
        <f t="shared" si="110"/>
        <v>0</v>
      </c>
      <c r="FRI43">
        <f t="shared" si="110"/>
        <v>0</v>
      </c>
      <c r="FRJ43">
        <f t="shared" si="110"/>
        <v>0</v>
      </c>
      <c r="FRK43">
        <f t="shared" si="110"/>
        <v>0</v>
      </c>
      <c r="FRL43">
        <f t="shared" si="110"/>
        <v>0</v>
      </c>
      <c r="FRM43">
        <f t="shared" si="110"/>
        <v>0</v>
      </c>
      <c r="FRN43">
        <f t="shared" si="110"/>
        <v>0</v>
      </c>
      <c r="FRO43">
        <f t="shared" si="110"/>
        <v>0</v>
      </c>
      <c r="FRP43">
        <f t="shared" si="110"/>
        <v>0</v>
      </c>
      <c r="FRQ43">
        <f t="shared" si="110"/>
        <v>0</v>
      </c>
      <c r="FRR43">
        <f t="shared" si="111"/>
        <v>0</v>
      </c>
      <c r="FRS43">
        <f t="shared" si="111"/>
        <v>0</v>
      </c>
      <c r="FRT43">
        <f t="shared" si="111"/>
        <v>0</v>
      </c>
      <c r="FRU43">
        <f t="shared" si="111"/>
        <v>0</v>
      </c>
      <c r="FRV43">
        <f t="shared" si="111"/>
        <v>0</v>
      </c>
      <c r="FRW43">
        <f t="shared" si="111"/>
        <v>0</v>
      </c>
      <c r="FRX43">
        <f t="shared" si="111"/>
        <v>0</v>
      </c>
      <c r="FRY43">
        <f t="shared" si="111"/>
        <v>0</v>
      </c>
      <c r="FRZ43">
        <f t="shared" si="111"/>
        <v>0</v>
      </c>
      <c r="FSA43">
        <f t="shared" si="111"/>
        <v>0</v>
      </c>
      <c r="FSB43">
        <f t="shared" si="111"/>
        <v>0</v>
      </c>
      <c r="FSC43">
        <f t="shared" si="111"/>
        <v>0</v>
      </c>
      <c r="FSD43">
        <f t="shared" si="111"/>
        <v>0</v>
      </c>
      <c r="FSE43">
        <f t="shared" si="111"/>
        <v>0</v>
      </c>
      <c r="FSF43">
        <f t="shared" si="111"/>
        <v>0</v>
      </c>
      <c r="FSG43">
        <f t="shared" si="111"/>
        <v>0</v>
      </c>
      <c r="FSH43">
        <f t="shared" si="111"/>
        <v>0</v>
      </c>
      <c r="FSI43">
        <f t="shared" si="111"/>
        <v>0</v>
      </c>
      <c r="FSJ43">
        <f t="shared" si="111"/>
        <v>0</v>
      </c>
      <c r="FSK43">
        <f t="shared" si="111"/>
        <v>0</v>
      </c>
      <c r="FSL43">
        <f t="shared" si="111"/>
        <v>0</v>
      </c>
      <c r="FSM43">
        <f t="shared" si="111"/>
        <v>0</v>
      </c>
      <c r="FSN43">
        <f t="shared" si="111"/>
        <v>0</v>
      </c>
      <c r="FSO43">
        <f t="shared" si="111"/>
        <v>0</v>
      </c>
      <c r="FSP43">
        <f t="shared" si="111"/>
        <v>0</v>
      </c>
      <c r="FSQ43">
        <f t="shared" si="111"/>
        <v>0</v>
      </c>
      <c r="FSR43">
        <f t="shared" si="111"/>
        <v>0</v>
      </c>
      <c r="FSS43">
        <f t="shared" si="111"/>
        <v>0</v>
      </c>
      <c r="FST43">
        <f t="shared" si="111"/>
        <v>0</v>
      </c>
      <c r="FSU43">
        <f t="shared" si="111"/>
        <v>0</v>
      </c>
      <c r="FSV43">
        <f t="shared" si="111"/>
        <v>0</v>
      </c>
      <c r="FSW43">
        <f t="shared" si="111"/>
        <v>0</v>
      </c>
      <c r="FSX43">
        <f t="shared" si="111"/>
        <v>0</v>
      </c>
      <c r="FSY43">
        <f t="shared" si="111"/>
        <v>0</v>
      </c>
      <c r="FSZ43">
        <f t="shared" si="111"/>
        <v>0</v>
      </c>
      <c r="FTA43">
        <f t="shared" si="111"/>
        <v>0</v>
      </c>
      <c r="FTB43">
        <f t="shared" si="111"/>
        <v>0</v>
      </c>
      <c r="FTC43">
        <f t="shared" si="111"/>
        <v>0</v>
      </c>
      <c r="FTD43">
        <f t="shared" si="111"/>
        <v>0</v>
      </c>
      <c r="FTE43">
        <f t="shared" si="111"/>
        <v>0</v>
      </c>
      <c r="FTF43">
        <f t="shared" si="111"/>
        <v>0</v>
      </c>
      <c r="FTG43">
        <f t="shared" si="111"/>
        <v>0</v>
      </c>
      <c r="FTH43">
        <f t="shared" si="111"/>
        <v>0</v>
      </c>
      <c r="FTI43">
        <f t="shared" si="111"/>
        <v>0</v>
      </c>
      <c r="FTJ43">
        <f t="shared" si="111"/>
        <v>0</v>
      </c>
      <c r="FTK43">
        <f t="shared" si="111"/>
        <v>0</v>
      </c>
      <c r="FTL43">
        <f t="shared" si="111"/>
        <v>0</v>
      </c>
      <c r="FTM43">
        <f t="shared" si="111"/>
        <v>0</v>
      </c>
      <c r="FTN43">
        <f t="shared" si="111"/>
        <v>0</v>
      </c>
      <c r="FTO43">
        <f t="shared" si="111"/>
        <v>0</v>
      </c>
      <c r="FTP43">
        <f t="shared" si="111"/>
        <v>0</v>
      </c>
      <c r="FTQ43">
        <f t="shared" si="111"/>
        <v>0</v>
      </c>
      <c r="FTR43">
        <f t="shared" si="111"/>
        <v>0</v>
      </c>
      <c r="FTS43">
        <f t="shared" si="111"/>
        <v>0</v>
      </c>
      <c r="FTT43">
        <f t="shared" si="111"/>
        <v>0</v>
      </c>
      <c r="FTU43">
        <f t="shared" si="111"/>
        <v>0</v>
      </c>
      <c r="FTV43">
        <f t="shared" si="111"/>
        <v>0</v>
      </c>
      <c r="FTW43">
        <f t="shared" si="111"/>
        <v>0</v>
      </c>
      <c r="FTX43">
        <f t="shared" si="111"/>
        <v>0</v>
      </c>
      <c r="FTY43">
        <f t="shared" si="111"/>
        <v>0</v>
      </c>
      <c r="FTZ43">
        <f t="shared" si="111"/>
        <v>0</v>
      </c>
      <c r="FUA43">
        <f t="shared" si="111"/>
        <v>0</v>
      </c>
      <c r="FUB43">
        <f t="shared" si="111"/>
        <v>0</v>
      </c>
      <c r="FUC43">
        <f t="shared" si="111"/>
        <v>0</v>
      </c>
      <c r="FUD43">
        <f t="shared" si="112"/>
        <v>0</v>
      </c>
      <c r="FUE43">
        <f t="shared" si="112"/>
        <v>0</v>
      </c>
      <c r="FUF43">
        <f t="shared" si="112"/>
        <v>0</v>
      </c>
      <c r="FUG43">
        <f t="shared" si="112"/>
        <v>0</v>
      </c>
      <c r="FUH43">
        <f t="shared" si="112"/>
        <v>0</v>
      </c>
      <c r="FUI43">
        <f t="shared" si="112"/>
        <v>0</v>
      </c>
      <c r="FUJ43">
        <f t="shared" si="112"/>
        <v>0</v>
      </c>
      <c r="FUK43">
        <f t="shared" si="112"/>
        <v>0</v>
      </c>
      <c r="FUL43">
        <f t="shared" si="112"/>
        <v>0</v>
      </c>
      <c r="FUM43">
        <f t="shared" si="112"/>
        <v>0</v>
      </c>
      <c r="FUN43">
        <f t="shared" si="112"/>
        <v>0</v>
      </c>
      <c r="FUO43">
        <f t="shared" si="112"/>
        <v>0</v>
      </c>
      <c r="FUP43">
        <f t="shared" si="112"/>
        <v>0</v>
      </c>
      <c r="FUQ43">
        <f t="shared" si="112"/>
        <v>0</v>
      </c>
      <c r="FUR43">
        <f t="shared" si="112"/>
        <v>0</v>
      </c>
      <c r="FUS43">
        <f t="shared" si="112"/>
        <v>0</v>
      </c>
      <c r="FUT43">
        <f t="shared" si="112"/>
        <v>0</v>
      </c>
      <c r="FUU43">
        <f t="shared" si="112"/>
        <v>0</v>
      </c>
      <c r="FUV43">
        <f t="shared" si="112"/>
        <v>0</v>
      </c>
      <c r="FUW43">
        <f t="shared" si="112"/>
        <v>0</v>
      </c>
      <c r="FUX43">
        <f t="shared" si="112"/>
        <v>0</v>
      </c>
      <c r="FUY43">
        <f t="shared" si="112"/>
        <v>0</v>
      </c>
      <c r="FUZ43">
        <f t="shared" si="112"/>
        <v>0</v>
      </c>
      <c r="FVA43">
        <f t="shared" si="112"/>
        <v>0</v>
      </c>
      <c r="FVB43">
        <f t="shared" si="112"/>
        <v>0</v>
      </c>
      <c r="FVC43">
        <f t="shared" si="112"/>
        <v>0</v>
      </c>
      <c r="FVD43">
        <f t="shared" si="112"/>
        <v>0</v>
      </c>
      <c r="FVE43">
        <f t="shared" si="112"/>
        <v>0</v>
      </c>
      <c r="FVF43">
        <f t="shared" si="112"/>
        <v>0</v>
      </c>
      <c r="FVG43">
        <f t="shared" si="112"/>
        <v>0</v>
      </c>
      <c r="FVH43">
        <f t="shared" si="112"/>
        <v>0</v>
      </c>
      <c r="FVI43">
        <f t="shared" si="112"/>
        <v>0</v>
      </c>
      <c r="FVJ43">
        <f t="shared" si="112"/>
        <v>0</v>
      </c>
      <c r="FVK43">
        <f t="shared" si="112"/>
        <v>0</v>
      </c>
      <c r="FVL43">
        <f t="shared" si="112"/>
        <v>0</v>
      </c>
      <c r="FVM43">
        <f t="shared" si="112"/>
        <v>0</v>
      </c>
      <c r="FVN43">
        <f t="shared" si="112"/>
        <v>0</v>
      </c>
      <c r="FVO43">
        <f t="shared" si="112"/>
        <v>0</v>
      </c>
      <c r="FVP43">
        <f t="shared" si="112"/>
        <v>0</v>
      </c>
      <c r="FVQ43">
        <f t="shared" si="112"/>
        <v>0</v>
      </c>
      <c r="FVR43">
        <f t="shared" si="112"/>
        <v>0</v>
      </c>
      <c r="FVS43">
        <f t="shared" si="112"/>
        <v>0</v>
      </c>
      <c r="FVT43">
        <f t="shared" si="112"/>
        <v>0</v>
      </c>
      <c r="FVU43">
        <f t="shared" si="112"/>
        <v>0</v>
      </c>
      <c r="FVV43">
        <f t="shared" si="112"/>
        <v>0</v>
      </c>
      <c r="FVW43">
        <f t="shared" si="112"/>
        <v>0</v>
      </c>
      <c r="FVX43">
        <f t="shared" si="112"/>
        <v>0</v>
      </c>
      <c r="FVY43">
        <f t="shared" si="112"/>
        <v>0</v>
      </c>
      <c r="FVZ43">
        <f t="shared" si="112"/>
        <v>0</v>
      </c>
      <c r="FWA43">
        <f t="shared" si="112"/>
        <v>0</v>
      </c>
      <c r="FWB43">
        <f t="shared" si="112"/>
        <v>0</v>
      </c>
      <c r="FWC43">
        <f t="shared" si="112"/>
        <v>0</v>
      </c>
      <c r="FWD43">
        <f t="shared" si="112"/>
        <v>0</v>
      </c>
      <c r="FWE43">
        <f t="shared" si="112"/>
        <v>0</v>
      </c>
      <c r="FWF43">
        <f t="shared" si="112"/>
        <v>0</v>
      </c>
      <c r="FWG43">
        <f t="shared" si="112"/>
        <v>0</v>
      </c>
      <c r="FWH43">
        <f t="shared" si="112"/>
        <v>0</v>
      </c>
      <c r="FWI43">
        <f t="shared" si="112"/>
        <v>0</v>
      </c>
      <c r="FWJ43">
        <f t="shared" si="112"/>
        <v>0</v>
      </c>
      <c r="FWK43">
        <f t="shared" si="112"/>
        <v>0</v>
      </c>
      <c r="FWL43">
        <f t="shared" si="112"/>
        <v>0</v>
      </c>
      <c r="FWM43">
        <f t="shared" si="112"/>
        <v>0</v>
      </c>
      <c r="FWN43">
        <f t="shared" si="112"/>
        <v>0</v>
      </c>
      <c r="FWO43">
        <f t="shared" si="112"/>
        <v>0</v>
      </c>
      <c r="FWP43">
        <f t="shared" si="113"/>
        <v>0</v>
      </c>
      <c r="FWQ43">
        <f t="shared" si="113"/>
        <v>0</v>
      </c>
      <c r="FWR43">
        <f t="shared" si="113"/>
        <v>0</v>
      </c>
      <c r="FWS43">
        <f t="shared" si="113"/>
        <v>0</v>
      </c>
      <c r="FWT43">
        <f t="shared" si="113"/>
        <v>0</v>
      </c>
      <c r="FWU43">
        <f t="shared" si="113"/>
        <v>0</v>
      </c>
      <c r="FWV43">
        <f t="shared" si="113"/>
        <v>0</v>
      </c>
      <c r="FWW43">
        <f t="shared" si="113"/>
        <v>0</v>
      </c>
      <c r="FWX43">
        <f t="shared" si="113"/>
        <v>0</v>
      </c>
      <c r="FWY43">
        <f t="shared" si="113"/>
        <v>0</v>
      </c>
      <c r="FWZ43">
        <f t="shared" si="113"/>
        <v>0</v>
      </c>
      <c r="FXA43">
        <f t="shared" si="113"/>
        <v>0</v>
      </c>
      <c r="FXB43">
        <f t="shared" si="113"/>
        <v>0</v>
      </c>
      <c r="FXC43">
        <f t="shared" si="113"/>
        <v>0</v>
      </c>
      <c r="FXD43">
        <f t="shared" si="113"/>
        <v>0</v>
      </c>
      <c r="FXE43">
        <f t="shared" si="113"/>
        <v>0</v>
      </c>
      <c r="FXF43">
        <f t="shared" si="113"/>
        <v>0</v>
      </c>
      <c r="FXG43">
        <f t="shared" si="113"/>
        <v>0</v>
      </c>
      <c r="FXH43">
        <f t="shared" si="113"/>
        <v>0</v>
      </c>
      <c r="FXI43">
        <f t="shared" si="113"/>
        <v>0</v>
      </c>
      <c r="FXJ43">
        <f t="shared" si="113"/>
        <v>0</v>
      </c>
      <c r="FXK43">
        <f t="shared" si="113"/>
        <v>0</v>
      </c>
      <c r="FXL43">
        <f t="shared" si="113"/>
        <v>0</v>
      </c>
      <c r="FXM43">
        <f t="shared" si="113"/>
        <v>0</v>
      </c>
      <c r="FXN43">
        <f t="shared" si="113"/>
        <v>0</v>
      </c>
      <c r="FXO43">
        <f t="shared" si="113"/>
        <v>0</v>
      </c>
      <c r="FXP43">
        <f t="shared" si="113"/>
        <v>0</v>
      </c>
      <c r="FXQ43">
        <f t="shared" si="113"/>
        <v>0</v>
      </c>
      <c r="FXR43">
        <f t="shared" si="113"/>
        <v>0</v>
      </c>
      <c r="FXS43">
        <f t="shared" si="113"/>
        <v>0</v>
      </c>
      <c r="FXT43">
        <f t="shared" si="113"/>
        <v>0</v>
      </c>
      <c r="FXU43">
        <f t="shared" si="113"/>
        <v>0</v>
      </c>
      <c r="FXV43">
        <f t="shared" si="113"/>
        <v>0</v>
      </c>
      <c r="FXW43">
        <f t="shared" si="113"/>
        <v>0</v>
      </c>
      <c r="FXX43">
        <f t="shared" si="113"/>
        <v>0</v>
      </c>
      <c r="FXY43">
        <f t="shared" si="113"/>
        <v>0</v>
      </c>
      <c r="FXZ43">
        <f t="shared" si="113"/>
        <v>0</v>
      </c>
      <c r="FYA43">
        <f t="shared" si="113"/>
        <v>0</v>
      </c>
      <c r="FYB43">
        <f t="shared" si="113"/>
        <v>0</v>
      </c>
      <c r="FYC43">
        <f t="shared" si="113"/>
        <v>0</v>
      </c>
      <c r="FYD43">
        <f t="shared" si="113"/>
        <v>0</v>
      </c>
      <c r="FYE43">
        <f t="shared" si="113"/>
        <v>0</v>
      </c>
      <c r="FYF43">
        <f t="shared" si="113"/>
        <v>0</v>
      </c>
      <c r="FYG43">
        <f t="shared" si="113"/>
        <v>0</v>
      </c>
      <c r="FYH43">
        <f t="shared" si="113"/>
        <v>0</v>
      </c>
      <c r="FYI43">
        <f t="shared" si="113"/>
        <v>0</v>
      </c>
      <c r="FYJ43">
        <f t="shared" si="113"/>
        <v>0</v>
      </c>
      <c r="FYK43">
        <f t="shared" si="113"/>
        <v>0</v>
      </c>
      <c r="FYL43">
        <f t="shared" si="113"/>
        <v>0</v>
      </c>
      <c r="FYM43">
        <f t="shared" si="113"/>
        <v>0</v>
      </c>
      <c r="FYN43">
        <f t="shared" si="113"/>
        <v>0</v>
      </c>
      <c r="FYO43">
        <f t="shared" si="113"/>
        <v>0</v>
      </c>
      <c r="FYP43">
        <f t="shared" si="113"/>
        <v>0</v>
      </c>
      <c r="FYQ43">
        <f t="shared" si="113"/>
        <v>0</v>
      </c>
      <c r="FYR43">
        <f t="shared" si="113"/>
        <v>0</v>
      </c>
      <c r="FYS43">
        <f t="shared" si="113"/>
        <v>0</v>
      </c>
      <c r="FYT43">
        <f t="shared" si="113"/>
        <v>0</v>
      </c>
      <c r="FYU43">
        <f t="shared" si="113"/>
        <v>0</v>
      </c>
      <c r="FYV43">
        <f t="shared" si="113"/>
        <v>0</v>
      </c>
      <c r="FYW43">
        <f t="shared" si="113"/>
        <v>0</v>
      </c>
      <c r="FYX43">
        <f t="shared" si="113"/>
        <v>0</v>
      </c>
      <c r="FYY43">
        <f t="shared" si="113"/>
        <v>0</v>
      </c>
      <c r="FYZ43">
        <f t="shared" si="113"/>
        <v>0</v>
      </c>
      <c r="FZA43">
        <f t="shared" si="113"/>
        <v>0</v>
      </c>
      <c r="FZB43">
        <f t="shared" si="114"/>
        <v>0</v>
      </c>
      <c r="FZC43">
        <f t="shared" si="114"/>
        <v>0</v>
      </c>
      <c r="FZD43">
        <f t="shared" si="114"/>
        <v>0</v>
      </c>
      <c r="FZE43">
        <f t="shared" si="114"/>
        <v>0</v>
      </c>
      <c r="FZF43">
        <f t="shared" si="114"/>
        <v>0</v>
      </c>
      <c r="FZG43">
        <f t="shared" si="114"/>
        <v>0</v>
      </c>
      <c r="FZH43">
        <f t="shared" si="114"/>
        <v>0</v>
      </c>
      <c r="FZI43">
        <f t="shared" si="114"/>
        <v>0</v>
      </c>
      <c r="FZJ43">
        <f t="shared" si="114"/>
        <v>0</v>
      </c>
      <c r="FZK43">
        <f t="shared" si="114"/>
        <v>0</v>
      </c>
      <c r="FZL43">
        <f t="shared" si="114"/>
        <v>0</v>
      </c>
      <c r="FZM43">
        <f t="shared" si="114"/>
        <v>0</v>
      </c>
      <c r="FZN43">
        <f t="shared" si="114"/>
        <v>0</v>
      </c>
      <c r="FZO43">
        <f t="shared" si="114"/>
        <v>0</v>
      </c>
      <c r="FZP43">
        <f t="shared" si="114"/>
        <v>0</v>
      </c>
      <c r="FZQ43">
        <f t="shared" si="114"/>
        <v>0</v>
      </c>
      <c r="FZR43">
        <f t="shared" si="114"/>
        <v>0</v>
      </c>
      <c r="FZS43">
        <f t="shared" si="114"/>
        <v>0</v>
      </c>
      <c r="FZT43">
        <f t="shared" si="114"/>
        <v>0</v>
      </c>
      <c r="FZU43">
        <f t="shared" si="114"/>
        <v>0</v>
      </c>
      <c r="FZV43">
        <f t="shared" si="114"/>
        <v>0</v>
      </c>
      <c r="FZW43">
        <f t="shared" si="114"/>
        <v>0</v>
      </c>
      <c r="FZX43">
        <f t="shared" si="114"/>
        <v>0</v>
      </c>
      <c r="FZY43">
        <f t="shared" si="114"/>
        <v>0</v>
      </c>
      <c r="FZZ43">
        <f t="shared" si="114"/>
        <v>0</v>
      </c>
      <c r="GAA43">
        <f t="shared" si="114"/>
        <v>0</v>
      </c>
      <c r="GAB43">
        <f t="shared" si="114"/>
        <v>0</v>
      </c>
      <c r="GAC43">
        <f t="shared" si="114"/>
        <v>0</v>
      </c>
      <c r="GAD43">
        <f t="shared" si="114"/>
        <v>0</v>
      </c>
      <c r="GAE43">
        <f t="shared" si="114"/>
        <v>0</v>
      </c>
      <c r="GAF43">
        <f t="shared" si="114"/>
        <v>0</v>
      </c>
      <c r="GAG43">
        <f t="shared" si="114"/>
        <v>0</v>
      </c>
      <c r="GAH43">
        <f t="shared" si="114"/>
        <v>0</v>
      </c>
      <c r="GAI43">
        <f t="shared" si="114"/>
        <v>0</v>
      </c>
      <c r="GAJ43">
        <f t="shared" si="114"/>
        <v>0</v>
      </c>
      <c r="GAK43">
        <f t="shared" si="114"/>
        <v>0</v>
      </c>
      <c r="GAL43">
        <f t="shared" si="114"/>
        <v>0</v>
      </c>
      <c r="GAM43">
        <f t="shared" si="114"/>
        <v>0</v>
      </c>
      <c r="GAN43">
        <f t="shared" si="114"/>
        <v>0</v>
      </c>
      <c r="GAO43">
        <f t="shared" si="114"/>
        <v>0</v>
      </c>
      <c r="GAP43">
        <f t="shared" si="114"/>
        <v>0</v>
      </c>
      <c r="GAQ43">
        <f t="shared" si="114"/>
        <v>0</v>
      </c>
      <c r="GAR43">
        <f t="shared" si="114"/>
        <v>0</v>
      </c>
      <c r="GAS43">
        <f t="shared" si="114"/>
        <v>0</v>
      </c>
      <c r="GAT43">
        <f t="shared" si="114"/>
        <v>0</v>
      </c>
      <c r="GAU43">
        <f t="shared" si="114"/>
        <v>0</v>
      </c>
      <c r="GAV43">
        <f t="shared" si="114"/>
        <v>0</v>
      </c>
      <c r="GAW43">
        <f t="shared" si="114"/>
        <v>0</v>
      </c>
      <c r="GAX43">
        <f t="shared" si="114"/>
        <v>0</v>
      </c>
      <c r="GAY43">
        <f t="shared" si="114"/>
        <v>0</v>
      </c>
      <c r="GAZ43">
        <f t="shared" si="114"/>
        <v>0</v>
      </c>
      <c r="GBA43">
        <f t="shared" si="114"/>
        <v>0</v>
      </c>
      <c r="GBB43">
        <f t="shared" si="114"/>
        <v>0</v>
      </c>
      <c r="GBC43">
        <f t="shared" si="114"/>
        <v>0</v>
      </c>
      <c r="GBD43">
        <f t="shared" si="114"/>
        <v>0</v>
      </c>
      <c r="GBE43">
        <f t="shared" si="114"/>
        <v>0</v>
      </c>
      <c r="GBF43">
        <f t="shared" si="114"/>
        <v>0</v>
      </c>
      <c r="GBG43">
        <f t="shared" si="114"/>
        <v>0</v>
      </c>
      <c r="GBH43">
        <f t="shared" si="114"/>
        <v>0</v>
      </c>
      <c r="GBI43">
        <f t="shared" si="114"/>
        <v>0</v>
      </c>
      <c r="GBJ43">
        <f t="shared" si="114"/>
        <v>0</v>
      </c>
      <c r="GBK43">
        <f t="shared" si="114"/>
        <v>0</v>
      </c>
      <c r="GBL43">
        <f t="shared" si="114"/>
        <v>0</v>
      </c>
      <c r="GBM43">
        <f t="shared" si="114"/>
        <v>0</v>
      </c>
      <c r="GBN43">
        <f t="shared" si="115"/>
        <v>0</v>
      </c>
      <c r="GBO43">
        <f t="shared" si="115"/>
        <v>0</v>
      </c>
      <c r="GBP43">
        <f t="shared" si="115"/>
        <v>0</v>
      </c>
      <c r="GBQ43">
        <f t="shared" si="115"/>
        <v>0</v>
      </c>
      <c r="GBR43">
        <f t="shared" si="115"/>
        <v>0</v>
      </c>
      <c r="GBS43">
        <f t="shared" si="115"/>
        <v>0</v>
      </c>
      <c r="GBT43">
        <f t="shared" si="115"/>
        <v>0</v>
      </c>
      <c r="GBU43">
        <f t="shared" si="115"/>
        <v>0</v>
      </c>
      <c r="GBV43">
        <f t="shared" si="115"/>
        <v>0</v>
      </c>
      <c r="GBW43">
        <f t="shared" si="115"/>
        <v>0</v>
      </c>
      <c r="GBX43">
        <f t="shared" si="115"/>
        <v>0</v>
      </c>
      <c r="GBY43">
        <f t="shared" si="115"/>
        <v>0</v>
      </c>
      <c r="GBZ43">
        <f t="shared" si="115"/>
        <v>0</v>
      </c>
      <c r="GCA43">
        <f t="shared" si="115"/>
        <v>0</v>
      </c>
      <c r="GCB43">
        <f t="shared" si="115"/>
        <v>0</v>
      </c>
      <c r="GCC43">
        <f t="shared" si="115"/>
        <v>0</v>
      </c>
      <c r="GCD43">
        <f t="shared" si="115"/>
        <v>0</v>
      </c>
      <c r="GCE43">
        <f t="shared" si="115"/>
        <v>0</v>
      </c>
      <c r="GCF43">
        <f t="shared" si="115"/>
        <v>0</v>
      </c>
      <c r="GCG43">
        <f t="shared" si="115"/>
        <v>0</v>
      </c>
      <c r="GCH43">
        <f t="shared" si="115"/>
        <v>0</v>
      </c>
      <c r="GCI43">
        <f t="shared" si="115"/>
        <v>0</v>
      </c>
      <c r="GCJ43">
        <f t="shared" si="115"/>
        <v>0</v>
      </c>
      <c r="GCK43">
        <f t="shared" si="115"/>
        <v>0</v>
      </c>
      <c r="GCL43">
        <f t="shared" si="115"/>
        <v>0</v>
      </c>
      <c r="GCM43">
        <f t="shared" si="115"/>
        <v>0</v>
      </c>
      <c r="GCN43">
        <f t="shared" si="115"/>
        <v>0</v>
      </c>
      <c r="GCO43">
        <f t="shared" si="115"/>
        <v>0</v>
      </c>
      <c r="GCP43">
        <f t="shared" si="115"/>
        <v>0</v>
      </c>
      <c r="GCQ43">
        <f t="shared" si="115"/>
        <v>0</v>
      </c>
      <c r="GCR43">
        <f t="shared" si="115"/>
        <v>0</v>
      </c>
      <c r="GCS43">
        <f t="shared" si="115"/>
        <v>0</v>
      </c>
      <c r="GCT43">
        <f t="shared" si="115"/>
        <v>0</v>
      </c>
      <c r="GCU43">
        <f t="shared" si="115"/>
        <v>0</v>
      </c>
      <c r="GCV43">
        <f t="shared" si="115"/>
        <v>0</v>
      </c>
      <c r="GCW43">
        <f t="shared" si="115"/>
        <v>0</v>
      </c>
      <c r="GCX43">
        <f t="shared" si="115"/>
        <v>0</v>
      </c>
      <c r="GCY43">
        <f t="shared" si="115"/>
        <v>0</v>
      </c>
      <c r="GCZ43">
        <f t="shared" si="115"/>
        <v>0</v>
      </c>
      <c r="GDA43">
        <f t="shared" si="115"/>
        <v>0</v>
      </c>
      <c r="GDB43">
        <f t="shared" si="115"/>
        <v>0</v>
      </c>
      <c r="GDC43">
        <f t="shared" si="115"/>
        <v>0</v>
      </c>
      <c r="GDD43">
        <f t="shared" si="115"/>
        <v>0</v>
      </c>
      <c r="GDE43">
        <f t="shared" si="115"/>
        <v>0</v>
      </c>
      <c r="GDF43">
        <f t="shared" si="115"/>
        <v>0</v>
      </c>
      <c r="GDG43">
        <f t="shared" si="115"/>
        <v>0</v>
      </c>
      <c r="GDH43">
        <f t="shared" si="115"/>
        <v>0</v>
      </c>
      <c r="GDI43">
        <f t="shared" si="115"/>
        <v>0</v>
      </c>
      <c r="GDJ43">
        <f t="shared" si="115"/>
        <v>0</v>
      </c>
      <c r="GDK43">
        <f t="shared" si="115"/>
        <v>0</v>
      </c>
      <c r="GDL43">
        <f t="shared" si="115"/>
        <v>0</v>
      </c>
      <c r="GDM43">
        <f t="shared" si="115"/>
        <v>0</v>
      </c>
      <c r="GDN43">
        <f t="shared" si="115"/>
        <v>0</v>
      </c>
      <c r="GDO43">
        <f t="shared" si="115"/>
        <v>0</v>
      </c>
      <c r="GDP43">
        <f t="shared" si="115"/>
        <v>0</v>
      </c>
      <c r="GDQ43">
        <f t="shared" si="115"/>
        <v>0</v>
      </c>
      <c r="GDR43">
        <f t="shared" si="115"/>
        <v>0</v>
      </c>
      <c r="GDS43">
        <f t="shared" si="115"/>
        <v>0</v>
      </c>
      <c r="GDT43">
        <f t="shared" si="115"/>
        <v>0</v>
      </c>
      <c r="GDU43">
        <f t="shared" si="115"/>
        <v>0</v>
      </c>
      <c r="GDV43">
        <f t="shared" si="115"/>
        <v>0</v>
      </c>
      <c r="GDW43">
        <f t="shared" si="115"/>
        <v>0</v>
      </c>
      <c r="GDX43">
        <f t="shared" si="115"/>
        <v>0</v>
      </c>
      <c r="GDY43">
        <f t="shared" si="115"/>
        <v>0</v>
      </c>
      <c r="GDZ43">
        <f t="shared" si="116"/>
        <v>0</v>
      </c>
      <c r="GEA43">
        <f t="shared" si="116"/>
        <v>0</v>
      </c>
      <c r="GEB43">
        <f t="shared" si="116"/>
        <v>0</v>
      </c>
      <c r="GEC43">
        <f t="shared" si="116"/>
        <v>0</v>
      </c>
      <c r="GED43">
        <f t="shared" si="116"/>
        <v>0</v>
      </c>
      <c r="GEE43">
        <f t="shared" si="116"/>
        <v>0</v>
      </c>
      <c r="GEF43">
        <f t="shared" si="116"/>
        <v>0</v>
      </c>
      <c r="GEG43">
        <f t="shared" si="116"/>
        <v>0</v>
      </c>
      <c r="GEH43">
        <f t="shared" si="116"/>
        <v>0</v>
      </c>
      <c r="GEI43">
        <f t="shared" si="116"/>
        <v>0</v>
      </c>
      <c r="GEJ43">
        <f t="shared" si="116"/>
        <v>0</v>
      </c>
      <c r="GEK43">
        <f t="shared" si="116"/>
        <v>0</v>
      </c>
      <c r="GEL43">
        <f t="shared" si="116"/>
        <v>0</v>
      </c>
      <c r="GEM43">
        <f t="shared" si="116"/>
        <v>0</v>
      </c>
      <c r="GEN43">
        <f t="shared" si="116"/>
        <v>0</v>
      </c>
      <c r="GEO43">
        <f t="shared" si="116"/>
        <v>0</v>
      </c>
      <c r="GEP43">
        <f t="shared" si="116"/>
        <v>0</v>
      </c>
      <c r="GEQ43">
        <f t="shared" si="116"/>
        <v>0</v>
      </c>
      <c r="GER43">
        <f t="shared" si="116"/>
        <v>0</v>
      </c>
      <c r="GES43">
        <f t="shared" si="116"/>
        <v>0</v>
      </c>
      <c r="GET43">
        <f t="shared" si="116"/>
        <v>0</v>
      </c>
      <c r="GEU43">
        <f t="shared" si="116"/>
        <v>0</v>
      </c>
      <c r="GEV43">
        <f t="shared" si="116"/>
        <v>0</v>
      </c>
      <c r="GEW43">
        <f t="shared" si="116"/>
        <v>0</v>
      </c>
      <c r="GEX43">
        <f t="shared" si="116"/>
        <v>0</v>
      </c>
      <c r="GEY43">
        <f t="shared" si="116"/>
        <v>0</v>
      </c>
      <c r="GEZ43">
        <f t="shared" si="116"/>
        <v>0</v>
      </c>
      <c r="GFA43">
        <f t="shared" si="116"/>
        <v>0</v>
      </c>
      <c r="GFB43">
        <f t="shared" si="116"/>
        <v>0</v>
      </c>
      <c r="GFC43">
        <f t="shared" si="116"/>
        <v>0</v>
      </c>
      <c r="GFD43">
        <f t="shared" si="116"/>
        <v>0</v>
      </c>
      <c r="GFE43">
        <f t="shared" si="116"/>
        <v>0</v>
      </c>
      <c r="GFF43">
        <f t="shared" si="116"/>
        <v>0</v>
      </c>
      <c r="GFG43">
        <f t="shared" si="116"/>
        <v>0</v>
      </c>
      <c r="GFH43">
        <f t="shared" si="116"/>
        <v>0</v>
      </c>
      <c r="GFI43">
        <f t="shared" si="116"/>
        <v>0</v>
      </c>
      <c r="GFJ43">
        <f t="shared" si="116"/>
        <v>0</v>
      </c>
      <c r="GFK43">
        <f t="shared" si="116"/>
        <v>0</v>
      </c>
      <c r="GFL43">
        <f t="shared" si="116"/>
        <v>0</v>
      </c>
      <c r="GFM43">
        <f t="shared" si="116"/>
        <v>0</v>
      </c>
      <c r="GFN43">
        <f t="shared" si="116"/>
        <v>0</v>
      </c>
      <c r="GFO43">
        <f t="shared" si="116"/>
        <v>0</v>
      </c>
      <c r="GFP43">
        <f t="shared" si="116"/>
        <v>0</v>
      </c>
      <c r="GFQ43">
        <f t="shared" si="116"/>
        <v>0</v>
      </c>
      <c r="GFR43">
        <f t="shared" si="116"/>
        <v>0</v>
      </c>
      <c r="GFS43">
        <f t="shared" si="116"/>
        <v>0</v>
      </c>
      <c r="GFT43">
        <f t="shared" si="116"/>
        <v>0</v>
      </c>
      <c r="GFU43">
        <f t="shared" si="116"/>
        <v>0</v>
      </c>
      <c r="GFV43">
        <f t="shared" si="116"/>
        <v>0</v>
      </c>
      <c r="GFW43">
        <f t="shared" si="116"/>
        <v>0</v>
      </c>
      <c r="GFX43">
        <f t="shared" si="116"/>
        <v>0</v>
      </c>
      <c r="GFY43">
        <f t="shared" si="116"/>
        <v>0</v>
      </c>
      <c r="GFZ43">
        <f t="shared" si="116"/>
        <v>0</v>
      </c>
      <c r="GGA43">
        <f t="shared" si="116"/>
        <v>0</v>
      </c>
      <c r="GGB43">
        <f t="shared" si="116"/>
        <v>0</v>
      </c>
      <c r="GGC43">
        <f t="shared" si="116"/>
        <v>0</v>
      </c>
      <c r="GGD43">
        <f t="shared" si="116"/>
        <v>0</v>
      </c>
      <c r="GGE43">
        <f t="shared" si="116"/>
        <v>0</v>
      </c>
      <c r="GGF43">
        <f t="shared" si="116"/>
        <v>0</v>
      </c>
      <c r="GGG43">
        <f t="shared" si="116"/>
        <v>0</v>
      </c>
      <c r="GGH43">
        <f t="shared" si="116"/>
        <v>0</v>
      </c>
      <c r="GGI43">
        <f t="shared" si="116"/>
        <v>0</v>
      </c>
      <c r="GGJ43">
        <f t="shared" si="116"/>
        <v>0</v>
      </c>
      <c r="GGK43">
        <f t="shared" si="116"/>
        <v>0</v>
      </c>
      <c r="GGL43">
        <f t="shared" si="117"/>
        <v>0</v>
      </c>
      <c r="GGM43">
        <f t="shared" si="117"/>
        <v>0</v>
      </c>
      <c r="GGN43">
        <f t="shared" si="117"/>
        <v>0</v>
      </c>
      <c r="GGO43">
        <f t="shared" si="117"/>
        <v>0</v>
      </c>
      <c r="GGP43">
        <f t="shared" si="117"/>
        <v>0</v>
      </c>
      <c r="GGQ43">
        <f t="shared" si="117"/>
        <v>0</v>
      </c>
      <c r="GGR43">
        <f t="shared" si="117"/>
        <v>0</v>
      </c>
      <c r="GGS43">
        <f t="shared" si="117"/>
        <v>0</v>
      </c>
      <c r="GGT43">
        <f t="shared" si="117"/>
        <v>0</v>
      </c>
      <c r="GGU43">
        <f t="shared" si="117"/>
        <v>0</v>
      </c>
      <c r="GGV43">
        <f t="shared" si="117"/>
        <v>0</v>
      </c>
      <c r="GGW43">
        <f t="shared" si="117"/>
        <v>0</v>
      </c>
      <c r="GGX43">
        <f t="shared" si="117"/>
        <v>0</v>
      </c>
      <c r="GGY43">
        <f t="shared" si="117"/>
        <v>0</v>
      </c>
      <c r="GGZ43">
        <f t="shared" si="117"/>
        <v>0</v>
      </c>
      <c r="GHA43">
        <f t="shared" si="117"/>
        <v>0</v>
      </c>
      <c r="GHB43">
        <f t="shared" si="117"/>
        <v>0</v>
      </c>
      <c r="GHC43">
        <f t="shared" si="117"/>
        <v>0</v>
      </c>
      <c r="GHD43">
        <f t="shared" si="117"/>
        <v>0</v>
      </c>
      <c r="GHE43">
        <f t="shared" si="117"/>
        <v>0</v>
      </c>
      <c r="GHF43">
        <f t="shared" si="117"/>
        <v>0</v>
      </c>
      <c r="GHG43">
        <f t="shared" si="117"/>
        <v>0</v>
      </c>
      <c r="GHH43">
        <f t="shared" si="117"/>
        <v>0</v>
      </c>
      <c r="GHI43">
        <f t="shared" si="117"/>
        <v>0</v>
      </c>
      <c r="GHJ43">
        <f t="shared" si="117"/>
        <v>0</v>
      </c>
      <c r="GHK43">
        <f t="shared" si="117"/>
        <v>0</v>
      </c>
      <c r="GHL43">
        <f t="shared" si="117"/>
        <v>0</v>
      </c>
      <c r="GHM43">
        <f t="shared" si="117"/>
        <v>0</v>
      </c>
      <c r="GHN43">
        <f t="shared" si="117"/>
        <v>0</v>
      </c>
      <c r="GHO43">
        <f t="shared" si="117"/>
        <v>0</v>
      </c>
      <c r="GHP43">
        <f t="shared" si="117"/>
        <v>0</v>
      </c>
      <c r="GHQ43">
        <f t="shared" si="117"/>
        <v>0</v>
      </c>
      <c r="GHR43">
        <f t="shared" si="117"/>
        <v>0</v>
      </c>
      <c r="GHS43">
        <f t="shared" si="117"/>
        <v>0</v>
      </c>
      <c r="GHT43">
        <f t="shared" si="117"/>
        <v>0</v>
      </c>
      <c r="GHU43">
        <f t="shared" si="117"/>
        <v>0</v>
      </c>
      <c r="GHV43">
        <f t="shared" si="117"/>
        <v>0</v>
      </c>
      <c r="GHW43">
        <f t="shared" si="117"/>
        <v>0</v>
      </c>
      <c r="GHX43">
        <f t="shared" si="117"/>
        <v>0</v>
      </c>
      <c r="GHY43">
        <f t="shared" si="117"/>
        <v>0</v>
      </c>
      <c r="GHZ43">
        <f t="shared" si="117"/>
        <v>0</v>
      </c>
      <c r="GIA43">
        <f t="shared" si="117"/>
        <v>0</v>
      </c>
      <c r="GIB43">
        <f t="shared" si="117"/>
        <v>0</v>
      </c>
      <c r="GIC43">
        <f t="shared" si="117"/>
        <v>0</v>
      </c>
      <c r="GID43">
        <f t="shared" si="117"/>
        <v>0</v>
      </c>
      <c r="GIE43">
        <f t="shared" si="117"/>
        <v>0</v>
      </c>
      <c r="GIF43">
        <f t="shared" si="117"/>
        <v>0</v>
      </c>
      <c r="GIG43">
        <f t="shared" si="117"/>
        <v>0</v>
      </c>
      <c r="GIH43">
        <f t="shared" si="117"/>
        <v>0</v>
      </c>
      <c r="GII43">
        <f t="shared" si="117"/>
        <v>0</v>
      </c>
      <c r="GIJ43">
        <f t="shared" si="117"/>
        <v>0</v>
      </c>
      <c r="GIK43">
        <f t="shared" si="117"/>
        <v>0</v>
      </c>
      <c r="GIL43">
        <f t="shared" si="117"/>
        <v>0</v>
      </c>
      <c r="GIM43">
        <f t="shared" si="117"/>
        <v>0</v>
      </c>
      <c r="GIN43">
        <f t="shared" si="117"/>
        <v>0</v>
      </c>
      <c r="GIO43">
        <f t="shared" si="117"/>
        <v>0</v>
      </c>
      <c r="GIP43">
        <f t="shared" si="117"/>
        <v>0</v>
      </c>
      <c r="GIQ43">
        <f t="shared" si="117"/>
        <v>0</v>
      </c>
      <c r="GIR43">
        <f t="shared" si="117"/>
        <v>0</v>
      </c>
      <c r="GIS43">
        <f t="shared" si="117"/>
        <v>0</v>
      </c>
      <c r="GIT43">
        <f t="shared" si="117"/>
        <v>0</v>
      </c>
      <c r="GIU43">
        <f t="shared" si="117"/>
        <v>0</v>
      </c>
      <c r="GIV43">
        <f t="shared" si="117"/>
        <v>0</v>
      </c>
      <c r="GIW43">
        <f t="shared" si="117"/>
        <v>0</v>
      </c>
      <c r="GIX43">
        <f t="shared" si="118"/>
        <v>0</v>
      </c>
      <c r="GIY43">
        <f t="shared" si="118"/>
        <v>0</v>
      </c>
      <c r="GIZ43">
        <f t="shared" si="118"/>
        <v>0</v>
      </c>
      <c r="GJA43">
        <f t="shared" si="118"/>
        <v>0</v>
      </c>
      <c r="GJB43">
        <f t="shared" si="118"/>
        <v>0</v>
      </c>
      <c r="GJC43">
        <f t="shared" si="118"/>
        <v>0</v>
      </c>
      <c r="GJD43">
        <f t="shared" si="118"/>
        <v>0</v>
      </c>
      <c r="GJE43">
        <f t="shared" si="118"/>
        <v>0</v>
      </c>
      <c r="GJF43">
        <f t="shared" si="118"/>
        <v>0</v>
      </c>
      <c r="GJG43">
        <f t="shared" si="118"/>
        <v>0</v>
      </c>
      <c r="GJH43">
        <f t="shared" si="118"/>
        <v>0</v>
      </c>
      <c r="GJI43">
        <f t="shared" si="118"/>
        <v>0</v>
      </c>
      <c r="GJJ43">
        <f t="shared" si="118"/>
        <v>0</v>
      </c>
      <c r="GJK43">
        <f t="shared" si="118"/>
        <v>0</v>
      </c>
      <c r="GJL43">
        <f t="shared" si="118"/>
        <v>0</v>
      </c>
      <c r="GJM43">
        <f t="shared" si="118"/>
        <v>0</v>
      </c>
      <c r="GJN43">
        <f t="shared" si="118"/>
        <v>0</v>
      </c>
      <c r="GJO43">
        <f t="shared" si="118"/>
        <v>0</v>
      </c>
      <c r="GJP43">
        <f t="shared" si="118"/>
        <v>0</v>
      </c>
      <c r="GJQ43">
        <f t="shared" si="118"/>
        <v>0</v>
      </c>
      <c r="GJR43">
        <f t="shared" si="118"/>
        <v>0</v>
      </c>
      <c r="GJS43">
        <f t="shared" si="118"/>
        <v>0</v>
      </c>
      <c r="GJT43">
        <f t="shared" si="118"/>
        <v>0</v>
      </c>
      <c r="GJU43">
        <f t="shared" si="118"/>
        <v>0</v>
      </c>
      <c r="GJV43">
        <f t="shared" si="118"/>
        <v>0</v>
      </c>
      <c r="GJW43">
        <f t="shared" si="118"/>
        <v>0</v>
      </c>
      <c r="GJX43">
        <f t="shared" si="118"/>
        <v>0</v>
      </c>
      <c r="GJY43">
        <f t="shared" si="118"/>
        <v>0</v>
      </c>
      <c r="GJZ43">
        <f t="shared" si="118"/>
        <v>0</v>
      </c>
      <c r="GKA43">
        <f t="shared" si="118"/>
        <v>0</v>
      </c>
      <c r="GKB43">
        <f t="shared" si="118"/>
        <v>0</v>
      </c>
      <c r="GKC43">
        <f t="shared" si="118"/>
        <v>0</v>
      </c>
      <c r="GKD43">
        <f t="shared" si="118"/>
        <v>0</v>
      </c>
      <c r="GKE43">
        <f t="shared" si="118"/>
        <v>0</v>
      </c>
      <c r="GKF43">
        <f t="shared" si="118"/>
        <v>0</v>
      </c>
      <c r="GKG43">
        <f t="shared" si="118"/>
        <v>0</v>
      </c>
      <c r="GKH43">
        <f t="shared" si="118"/>
        <v>0</v>
      </c>
      <c r="GKI43">
        <f t="shared" si="118"/>
        <v>0</v>
      </c>
      <c r="GKJ43">
        <f t="shared" si="118"/>
        <v>0</v>
      </c>
      <c r="GKK43">
        <f t="shared" si="118"/>
        <v>0</v>
      </c>
      <c r="GKL43">
        <f t="shared" si="118"/>
        <v>0</v>
      </c>
      <c r="GKM43">
        <f t="shared" si="118"/>
        <v>0</v>
      </c>
      <c r="GKN43">
        <f t="shared" si="118"/>
        <v>0</v>
      </c>
      <c r="GKO43">
        <f t="shared" si="118"/>
        <v>0</v>
      </c>
      <c r="GKP43">
        <f t="shared" si="118"/>
        <v>0</v>
      </c>
      <c r="GKQ43">
        <f t="shared" si="118"/>
        <v>0</v>
      </c>
      <c r="GKR43">
        <f t="shared" si="118"/>
        <v>0</v>
      </c>
      <c r="GKS43">
        <f t="shared" si="118"/>
        <v>0</v>
      </c>
      <c r="GKT43">
        <f t="shared" si="118"/>
        <v>0</v>
      </c>
      <c r="GKU43">
        <f t="shared" si="118"/>
        <v>0</v>
      </c>
      <c r="GKV43">
        <f t="shared" si="118"/>
        <v>0</v>
      </c>
      <c r="GKW43">
        <f t="shared" si="118"/>
        <v>0</v>
      </c>
      <c r="GKX43">
        <f t="shared" si="118"/>
        <v>0</v>
      </c>
      <c r="GKY43">
        <f t="shared" si="118"/>
        <v>0</v>
      </c>
      <c r="GKZ43">
        <f t="shared" si="118"/>
        <v>0</v>
      </c>
      <c r="GLA43">
        <f t="shared" si="118"/>
        <v>0</v>
      </c>
      <c r="GLB43">
        <f t="shared" si="118"/>
        <v>0</v>
      </c>
      <c r="GLC43">
        <f t="shared" si="118"/>
        <v>0</v>
      </c>
      <c r="GLD43">
        <f t="shared" si="118"/>
        <v>0</v>
      </c>
      <c r="GLE43">
        <f t="shared" si="118"/>
        <v>0</v>
      </c>
      <c r="GLF43">
        <f t="shared" si="118"/>
        <v>0</v>
      </c>
      <c r="GLG43">
        <f t="shared" si="118"/>
        <v>0</v>
      </c>
      <c r="GLH43">
        <f t="shared" si="118"/>
        <v>0</v>
      </c>
      <c r="GLI43">
        <f t="shared" si="118"/>
        <v>0</v>
      </c>
      <c r="GLJ43">
        <f t="shared" si="119"/>
        <v>0</v>
      </c>
      <c r="GLK43">
        <f t="shared" si="119"/>
        <v>0</v>
      </c>
      <c r="GLL43">
        <f t="shared" si="119"/>
        <v>0</v>
      </c>
      <c r="GLM43">
        <f t="shared" si="119"/>
        <v>0</v>
      </c>
      <c r="GLN43">
        <f t="shared" si="119"/>
        <v>0</v>
      </c>
      <c r="GLO43">
        <f t="shared" si="119"/>
        <v>0</v>
      </c>
      <c r="GLP43">
        <f t="shared" si="119"/>
        <v>0</v>
      </c>
      <c r="GLQ43">
        <f t="shared" si="119"/>
        <v>0</v>
      </c>
      <c r="GLR43">
        <f t="shared" si="119"/>
        <v>0</v>
      </c>
      <c r="GLS43">
        <f t="shared" si="119"/>
        <v>0</v>
      </c>
      <c r="GLT43">
        <f t="shared" si="119"/>
        <v>0</v>
      </c>
      <c r="GLU43">
        <f t="shared" si="119"/>
        <v>0</v>
      </c>
      <c r="GLV43">
        <f t="shared" si="119"/>
        <v>0</v>
      </c>
      <c r="GLW43">
        <f t="shared" si="119"/>
        <v>0</v>
      </c>
      <c r="GLX43">
        <f t="shared" si="119"/>
        <v>0</v>
      </c>
      <c r="GLY43">
        <f t="shared" si="119"/>
        <v>0</v>
      </c>
      <c r="GLZ43">
        <f t="shared" si="119"/>
        <v>0</v>
      </c>
      <c r="GMA43">
        <f t="shared" si="119"/>
        <v>0</v>
      </c>
      <c r="GMB43">
        <f t="shared" si="119"/>
        <v>0</v>
      </c>
      <c r="GMC43">
        <f t="shared" si="119"/>
        <v>0</v>
      </c>
      <c r="GMD43">
        <f t="shared" si="119"/>
        <v>0</v>
      </c>
      <c r="GME43">
        <f t="shared" si="119"/>
        <v>0</v>
      </c>
      <c r="GMF43">
        <f t="shared" si="119"/>
        <v>0</v>
      </c>
      <c r="GMG43">
        <f t="shared" si="119"/>
        <v>0</v>
      </c>
      <c r="GMH43">
        <f t="shared" si="119"/>
        <v>0</v>
      </c>
      <c r="GMI43">
        <f t="shared" si="119"/>
        <v>0</v>
      </c>
      <c r="GMJ43">
        <f t="shared" si="119"/>
        <v>0</v>
      </c>
      <c r="GMK43">
        <f t="shared" si="119"/>
        <v>0</v>
      </c>
      <c r="GML43">
        <f t="shared" si="119"/>
        <v>0</v>
      </c>
      <c r="GMM43">
        <f t="shared" si="119"/>
        <v>0</v>
      </c>
      <c r="GMN43">
        <f t="shared" si="119"/>
        <v>0</v>
      </c>
      <c r="GMO43">
        <f t="shared" si="119"/>
        <v>0</v>
      </c>
      <c r="GMP43">
        <f t="shared" si="119"/>
        <v>0</v>
      </c>
      <c r="GMQ43">
        <f t="shared" si="119"/>
        <v>0</v>
      </c>
      <c r="GMR43">
        <f t="shared" si="119"/>
        <v>0</v>
      </c>
      <c r="GMS43">
        <f t="shared" si="119"/>
        <v>0</v>
      </c>
      <c r="GMT43">
        <f t="shared" si="119"/>
        <v>0</v>
      </c>
      <c r="GMU43">
        <f t="shared" si="119"/>
        <v>0</v>
      </c>
      <c r="GMV43">
        <f t="shared" si="119"/>
        <v>0</v>
      </c>
      <c r="GMW43">
        <f t="shared" si="119"/>
        <v>0</v>
      </c>
      <c r="GMX43">
        <f t="shared" si="119"/>
        <v>0</v>
      </c>
      <c r="GMY43">
        <f t="shared" si="119"/>
        <v>0</v>
      </c>
      <c r="GMZ43">
        <f t="shared" si="119"/>
        <v>0</v>
      </c>
      <c r="GNA43">
        <f t="shared" si="119"/>
        <v>0</v>
      </c>
      <c r="GNB43">
        <f t="shared" si="119"/>
        <v>0</v>
      </c>
      <c r="GNC43">
        <f t="shared" si="119"/>
        <v>0</v>
      </c>
      <c r="GND43">
        <f t="shared" si="119"/>
        <v>0</v>
      </c>
      <c r="GNE43">
        <f t="shared" si="119"/>
        <v>0</v>
      </c>
      <c r="GNF43">
        <f t="shared" si="119"/>
        <v>0</v>
      </c>
      <c r="GNG43">
        <f t="shared" si="119"/>
        <v>0</v>
      </c>
      <c r="GNH43">
        <f t="shared" si="119"/>
        <v>0</v>
      </c>
      <c r="GNI43">
        <f t="shared" si="119"/>
        <v>0</v>
      </c>
      <c r="GNJ43">
        <f t="shared" si="119"/>
        <v>0</v>
      </c>
      <c r="GNK43">
        <f t="shared" si="119"/>
        <v>0</v>
      </c>
      <c r="GNL43">
        <f t="shared" si="119"/>
        <v>0</v>
      </c>
      <c r="GNM43">
        <f t="shared" si="119"/>
        <v>0</v>
      </c>
      <c r="GNN43">
        <f t="shared" si="119"/>
        <v>0</v>
      </c>
      <c r="GNO43">
        <f t="shared" si="119"/>
        <v>0</v>
      </c>
      <c r="GNP43">
        <f t="shared" si="119"/>
        <v>0</v>
      </c>
      <c r="GNQ43">
        <f t="shared" si="119"/>
        <v>0</v>
      </c>
      <c r="GNR43">
        <f t="shared" si="119"/>
        <v>0</v>
      </c>
      <c r="GNS43">
        <f t="shared" si="119"/>
        <v>0</v>
      </c>
      <c r="GNT43">
        <f t="shared" si="119"/>
        <v>0</v>
      </c>
      <c r="GNU43">
        <f t="shared" si="119"/>
        <v>0</v>
      </c>
      <c r="GNV43">
        <f t="shared" si="120"/>
        <v>0</v>
      </c>
      <c r="GNW43">
        <f t="shared" si="120"/>
        <v>0</v>
      </c>
      <c r="GNX43">
        <f t="shared" si="120"/>
        <v>0</v>
      </c>
      <c r="GNY43">
        <f t="shared" si="120"/>
        <v>0</v>
      </c>
      <c r="GNZ43">
        <f t="shared" si="120"/>
        <v>0</v>
      </c>
      <c r="GOA43">
        <f t="shared" si="120"/>
        <v>0</v>
      </c>
      <c r="GOB43">
        <f t="shared" si="120"/>
        <v>0</v>
      </c>
      <c r="GOC43">
        <f t="shared" si="120"/>
        <v>0</v>
      </c>
      <c r="GOD43">
        <f t="shared" si="120"/>
        <v>0</v>
      </c>
      <c r="GOE43">
        <f t="shared" si="120"/>
        <v>0</v>
      </c>
      <c r="GOF43">
        <f t="shared" si="120"/>
        <v>0</v>
      </c>
      <c r="GOG43">
        <f t="shared" si="120"/>
        <v>0</v>
      </c>
      <c r="GOH43">
        <f t="shared" si="120"/>
        <v>0</v>
      </c>
      <c r="GOI43">
        <f t="shared" si="120"/>
        <v>0</v>
      </c>
      <c r="GOJ43">
        <f t="shared" si="120"/>
        <v>0</v>
      </c>
      <c r="GOK43">
        <f t="shared" si="120"/>
        <v>0</v>
      </c>
      <c r="GOL43">
        <f t="shared" si="120"/>
        <v>0</v>
      </c>
      <c r="GOM43">
        <f t="shared" si="120"/>
        <v>0</v>
      </c>
      <c r="GON43">
        <f t="shared" si="120"/>
        <v>0</v>
      </c>
      <c r="GOO43">
        <f t="shared" si="120"/>
        <v>0</v>
      </c>
      <c r="GOP43">
        <f t="shared" si="120"/>
        <v>0</v>
      </c>
      <c r="GOQ43">
        <f t="shared" si="120"/>
        <v>0</v>
      </c>
      <c r="GOR43">
        <f t="shared" si="120"/>
        <v>0</v>
      </c>
      <c r="GOS43">
        <f t="shared" si="120"/>
        <v>0</v>
      </c>
      <c r="GOT43">
        <f t="shared" si="120"/>
        <v>0</v>
      </c>
      <c r="GOU43">
        <f t="shared" si="120"/>
        <v>0</v>
      </c>
      <c r="GOV43">
        <f t="shared" si="120"/>
        <v>0</v>
      </c>
      <c r="GOW43">
        <f t="shared" si="120"/>
        <v>0</v>
      </c>
      <c r="GOX43">
        <f t="shared" si="120"/>
        <v>0</v>
      </c>
      <c r="GOY43">
        <f t="shared" si="120"/>
        <v>0</v>
      </c>
      <c r="GOZ43">
        <f t="shared" si="120"/>
        <v>0</v>
      </c>
      <c r="GPA43">
        <f t="shared" si="120"/>
        <v>0</v>
      </c>
      <c r="GPB43">
        <f t="shared" si="120"/>
        <v>0</v>
      </c>
      <c r="GPC43">
        <f t="shared" si="120"/>
        <v>0</v>
      </c>
      <c r="GPD43">
        <f t="shared" si="120"/>
        <v>0</v>
      </c>
      <c r="GPE43">
        <f t="shared" si="120"/>
        <v>0</v>
      </c>
      <c r="GPF43">
        <f t="shared" si="120"/>
        <v>0</v>
      </c>
      <c r="GPG43">
        <f t="shared" si="120"/>
        <v>0</v>
      </c>
      <c r="GPH43">
        <f t="shared" si="120"/>
        <v>0</v>
      </c>
      <c r="GPI43">
        <f t="shared" si="120"/>
        <v>0</v>
      </c>
      <c r="GPJ43">
        <f t="shared" si="120"/>
        <v>0</v>
      </c>
      <c r="GPK43">
        <f t="shared" si="120"/>
        <v>0</v>
      </c>
      <c r="GPL43">
        <f t="shared" si="120"/>
        <v>0</v>
      </c>
      <c r="GPM43">
        <f t="shared" si="120"/>
        <v>0</v>
      </c>
      <c r="GPN43">
        <f t="shared" si="120"/>
        <v>0</v>
      </c>
      <c r="GPO43">
        <f t="shared" si="120"/>
        <v>0</v>
      </c>
      <c r="GPP43">
        <f t="shared" si="120"/>
        <v>0</v>
      </c>
      <c r="GPQ43">
        <f t="shared" si="120"/>
        <v>0</v>
      </c>
      <c r="GPR43">
        <f t="shared" si="120"/>
        <v>0</v>
      </c>
      <c r="GPS43">
        <f t="shared" si="120"/>
        <v>0</v>
      </c>
      <c r="GPT43">
        <f t="shared" si="120"/>
        <v>0</v>
      </c>
      <c r="GPU43">
        <f t="shared" si="120"/>
        <v>0</v>
      </c>
      <c r="GPV43">
        <f t="shared" si="120"/>
        <v>0</v>
      </c>
      <c r="GPW43">
        <f t="shared" si="120"/>
        <v>0</v>
      </c>
      <c r="GPX43">
        <f t="shared" si="120"/>
        <v>0</v>
      </c>
      <c r="GPY43">
        <f t="shared" si="120"/>
        <v>0</v>
      </c>
      <c r="GPZ43">
        <f t="shared" si="120"/>
        <v>0</v>
      </c>
      <c r="GQA43">
        <f t="shared" si="120"/>
        <v>0</v>
      </c>
      <c r="GQB43">
        <f t="shared" si="120"/>
        <v>0</v>
      </c>
      <c r="GQC43">
        <f t="shared" si="120"/>
        <v>0</v>
      </c>
      <c r="GQD43">
        <f t="shared" si="120"/>
        <v>0</v>
      </c>
      <c r="GQE43">
        <f t="shared" si="120"/>
        <v>0</v>
      </c>
      <c r="GQF43">
        <f t="shared" si="120"/>
        <v>0</v>
      </c>
      <c r="GQG43">
        <f t="shared" si="120"/>
        <v>0</v>
      </c>
      <c r="GQH43">
        <f t="shared" si="121"/>
        <v>0</v>
      </c>
      <c r="GQI43">
        <f t="shared" si="121"/>
        <v>0</v>
      </c>
      <c r="GQJ43">
        <f t="shared" si="121"/>
        <v>0</v>
      </c>
      <c r="GQK43">
        <f t="shared" si="121"/>
        <v>0</v>
      </c>
      <c r="GQL43">
        <f t="shared" si="121"/>
        <v>0</v>
      </c>
      <c r="GQM43">
        <f t="shared" si="121"/>
        <v>0</v>
      </c>
      <c r="GQN43">
        <f t="shared" si="121"/>
        <v>0</v>
      </c>
      <c r="GQO43">
        <f t="shared" si="121"/>
        <v>0</v>
      </c>
      <c r="GQP43">
        <f t="shared" si="121"/>
        <v>0</v>
      </c>
      <c r="GQQ43">
        <f t="shared" si="121"/>
        <v>0</v>
      </c>
      <c r="GQR43">
        <f t="shared" si="121"/>
        <v>0</v>
      </c>
      <c r="GQS43">
        <f t="shared" si="121"/>
        <v>0</v>
      </c>
      <c r="GQT43">
        <f t="shared" si="121"/>
        <v>0</v>
      </c>
      <c r="GQU43">
        <f t="shared" si="121"/>
        <v>0</v>
      </c>
      <c r="GQV43">
        <f t="shared" si="121"/>
        <v>0</v>
      </c>
      <c r="GQW43">
        <f t="shared" si="121"/>
        <v>0</v>
      </c>
      <c r="GQX43">
        <f t="shared" si="121"/>
        <v>0</v>
      </c>
      <c r="GQY43">
        <f t="shared" si="121"/>
        <v>0</v>
      </c>
      <c r="GQZ43">
        <f t="shared" si="121"/>
        <v>0</v>
      </c>
      <c r="GRA43">
        <f t="shared" si="121"/>
        <v>0</v>
      </c>
      <c r="GRB43">
        <f t="shared" si="121"/>
        <v>0</v>
      </c>
      <c r="GRC43">
        <f t="shared" si="121"/>
        <v>0</v>
      </c>
      <c r="GRD43">
        <f t="shared" si="121"/>
        <v>0</v>
      </c>
      <c r="GRE43">
        <f t="shared" si="121"/>
        <v>0</v>
      </c>
      <c r="GRF43">
        <f t="shared" si="121"/>
        <v>0</v>
      </c>
      <c r="GRG43">
        <f t="shared" si="121"/>
        <v>0</v>
      </c>
      <c r="GRH43">
        <f t="shared" si="121"/>
        <v>0</v>
      </c>
      <c r="GRI43">
        <f t="shared" si="121"/>
        <v>0</v>
      </c>
      <c r="GRJ43">
        <f t="shared" si="121"/>
        <v>0</v>
      </c>
      <c r="GRK43">
        <f t="shared" si="121"/>
        <v>0</v>
      </c>
      <c r="GRL43">
        <f t="shared" si="121"/>
        <v>0</v>
      </c>
      <c r="GRM43">
        <f t="shared" si="121"/>
        <v>0</v>
      </c>
      <c r="GRN43">
        <f t="shared" si="121"/>
        <v>0</v>
      </c>
      <c r="GRO43">
        <f t="shared" si="121"/>
        <v>0</v>
      </c>
      <c r="GRP43">
        <f t="shared" si="121"/>
        <v>0</v>
      </c>
      <c r="GRQ43">
        <f t="shared" si="121"/>
        <v>0</v>
      </c>
      <c r="GRR43">
        <f t="shared" si="121"/>
        <v>0</v>
      </c>
      <c r="GRS43">
        <f t="shared" si="121"/>
        <v>0</v>
      </c>
      <c r="GRT43">
        <f t="shared" si="121"/>
        <v>0</v>
      </c>
      <c r="GRU43">
        <f t="shared" si="121"/>
        <v>0</v>
      </c>
      <c r="GRV43">
        <f t="shared" si="121"/>
        <v>0</v>
      </c>
      <c r="GRW43">
        <f t="shared" si="121"/>
        <v>0</v>
      </c>
      <c r="GRX43">
        <f t="shared" si="121"/>
        <v>0</v>
      </c>
      <c r="GRY43">
        <f t="shared" si="121"/>
        <v>0</v>
      </c>
      <c r="GRZ43">
        <f t="shared" si="121"/>
        <v>0</v>
      </c>
      <c r="GSA43">
        <f t="shared" si="121"/>
        <v>0</v>
      </c>
      <c r="GSB43">
        <f t="shared" si="121"/>
        <v>0</v>
      </c>
      <c r="GSC43">
        <f t="shared" si="121"/>
        <v>0</v>
      </c>
      <c r="GSD43">
        <f t="shared" si="121"/>
        <v>0</v>
      </c>
      <c r="GSE43">
        <f t="shared" si="121"/>
        <v>0</v>
      </c>
      <c r="GSF43">
        <f t="shared" si="121"/>
        <v>0</v>
      </c>
      <c r="GSG43">
        <f t="shared" si="121"/>
        <v>0</v>
      </c>
      <c r="GSH43">
        <f t="shared" si="121"/>
        <v>0</v>
      </c>
      <c r="GSI43">
        <f t="shared" si="121"/>
        <v>0</v>
      </c>
      <c r="GSJ43">
        <f t="shared" si="121"/>
        <v>0</v>
      </c>
      <c r="GSK43">
        <f t="shared" si="121"/>
        <v>0</v>
      </c>
      <c r="GSL43">
        <f t="shared" si="121"/>
        <v>0</v>
      </c>
      <c r="GSM43">
        <f t="shared" si="121"/>
        <v>0</v>
      </c>
      <c r="GSN43">
        <f t="shared" si="121"/>
        <v>0</v>
      </c>
      <c r="GSO43">
        <f t="shared" si="121"/>
        <v>0</v>
      </c>
      <c r="GSP43">
        <f t="shared" si="121"/>
        <v>0</v>
      </c>
      <c r="GSQ43">
        <f t="shared" si="121"/>
        <v>0</v>
      </c>
      <c r="GSR43">
        <f t="shared" si="121"/>
        <v>0</v>
      </c>
      <c r="GSS43">
        <f t="shared" si="121"/>
        <v>0</v>
      </c>
      <c r="GST43">
        <f t="shared" si="122"/>
        <v>0</v>
      </c>
      <c r="GSU43">
        <f t="shared" si="122"/>
        <v>0</v>
      </c>
      <c r="GSV43">
        <f t="shared" si="122"/>
        <v>0</v>
      </c>
      <c r="GSW43">
        <f t="shared" si="122"/>
        <v>0</v>
      </c>
      <c r="GSX43">
        <f t="shared" si="122"/>
        <v>0</v>
      </c>
      <c r="GSY43">
        <f t="shared" si="122"/>
        <v>0</v>
      </c>
      <c r="GSZ43">
        <f t="shared" si="122"/>
        <v>0</v>
      </c>
      <c r="GTA43">
        <f t="shared" si="122"/>
        <v>0</v>
      </c>
      <c r="GTB43">
        <f t="shared" si="122"/>
        <v>0</v>
      </c>
      <c r="GTC43">
        <f t="shared" si="122"/>
        <v>0</v>
      </c>
      <c r="GTD43">
        <f t="shared" si="122"/>
        <v>0</v>
      </c>
      <c r="GTE43">
        <f t="shared" si="122"/>
        <v>0</v>
      </c>
      <c r="GTF43">
        <f t="shared" si="122"/>
        <v>0</v>
      </c>
      <c r="GTG43">
        <f t="shared" si="122"/>
        <v>0</v>
      </c>
      <c r="GTH43">
        <f t="shared" si="122"/>
        <v>0</v>
      </c>
      <c r="GTI43">
        <f t="shared" si="122"/>
        <v>0</v>
      </c>
      <c r="GTJ43">
        <f t="shared" si="122"/>
        <v>0</v>
      </c>
      <c r="GTK43">
        <f t="shared" si="122"/>
        <v>0</v>
      </c>
      <c r="GTL43">
        <f t="shared" si="122"/>
        <v>0</v>
      </c>
      <c r="GTM43">
        <f t="shared" si="122"/>
        <v>0</v>
      </c>
      <c r="GTN43">
        <f t="shared" si="122"/>
        <v>0</v>
      </c>
      <c r="GTO43">
        <f t="shared" si="122"/>
        <v>0</v>
      </c>
      <c r="GTP43">
        <f t="shared" si="122"/>
        <v>0</v>
      </c>
      <c r="GTQ43">
        <f t="shared" si="122"/>
        <v>0</v>
      </c>
      <c r="GTR43">
        <f t="shared" si="122"/>
        <v>0</v>
      </c>
      <c r="GTS43">
        <f t="shared" si="122"/>
        <v>0</v>
      </c>
      <c r="GTT43">
        <f t="shared" si="122"/>
        <v>0</v>
      </c>
      <c r="GTU43">
        <f t="shared" si="122"/>
        <v>0</v>
      </c>
      <c r="GTV43">
        <f t="shared" si="122"/>
        <v>0</v>
      </c>
      <c r="GTW43">
        <f t="shared" si="122"/>
        <v>0</v>
      </c>
      <c r="GTX43">
        <f t="shared" si="122"/>
        <v>0</v>
      </c>
      <c r="GTY43">
        <f t="shared" si="122"/>
        <v>0</v>
      </c>
      <c r="GTZ43">
        <f t="shared" si="122"/>
        <v>0</v>
      </c>
      <c r="GUA43">
        <f t="shared" si="122"/>
        <v>0</v>
      </c>
      <c r="GUB43">
        <f t="shared" si="122"/>
        <v>0</v>
      </c>
      <c r="GUC43">
        <f t="shared" si="122"/>
        <v>0</v>
      </c>
      <c r="GUD43">
        <f t="shared" si="122"/>
        <v>0</v>
      </c>
      <c r="GUE43">
        <f t="shared" si="122"/>
        <v>0</v>
      </c>
      <c r="GUF43">
        <f t="shared" si="122"/>
        <v>0</v>
      </c>
      <c r="GUG43">
        <f t="shared" si="122"/>
        <v>0</v>
      </c>
      <c r="GUH43">
        <f t="shared" si="122"/>
        <v>0</v>
      </c>
      <c r="GUI43">
        <f t="shared" si="122"/>
        <v>0</v>
      </c>
      <c r="GUJ43">
        <f t="shared" si="122"/>
        <v>0</v>
      </c>
      <c r="GUK43">
        <f t="shared" si="122"/>
        <v>0</v>
      </c>
      <c r="GUL43">
        <f t="shared" si="122"/>
        <v>0</v>
      </c>
      <c r="GUM43">
        <f t="shared" si="122"/>
        <v>0</v>
      </c>
      <c r="GUN43">
        <f t="shared" si="122"/>
        <v>0</v>
      </c>
      <c r="GUO43">
        <f t="shared" si="122"/>
        <v>0</v>
      </c>
      <c r="GUP43">
        <f t="shared" si="122"/>
        <v>0</v>
      </c>
      <c r="GUQ43">
        <f t="shared" si="122"/>
        <v>0</v>
      </c>
      <c r="GUR43">
        <f t="shared" si="122"/>
        <v>0</v>
      </c>
      <c r="GUS43">
        <f t="shared" si="122"/>
        <v>0</v>
      </c>
      <c r="GUT43">
        <f t="shared" si="122"/>
        <v>0</v>
      </c>
      <c r="GUU43">
        <f t="shared" si="122"/>
        <v>0</v>
      </c>
      <c r="GUV43">
        <f t="shared" si="122"/>
        <v>0</v>
      </c>
      <c r="GUW43">
        <f t="shared" si="122"/>
        <v>0</v>
      </c>
      <c r="GUX43">
        <f t="shared" si="122"/>
        <v>0</v>
      </c>
      <c r="GUY43">
        <f t="shared" si="122"/>
        <v>0</v>
      </c>
      <c r="GUZ43">
        <f t="shared" si="122"/>
        <v>0</v>
      </c>
      <c r="GVA43">
        <f t="shared" si="122"/>
        <v>0</v>
      </c>
      <c r="GVB43">
        <f t="shared" si="122"/>
        <v>0</v>
      </c>
      <c r="GVC43">
        <f t="shared" si="122"/>
        <v>0</v>
      </c>
      <c r="GVD43">
        <f t="shared" si="122"/>
        <v>0</v>
      </c>
      <c r="GVE43">
        <f t="shared" si="122"/>
        <v>0</v>
      </c>
      <c r="GVF43">
        <f t="shared" si="123"/>
        <v>0</v>
      </c>
      <c r="GVG43">
        <f t="shared" si="123"/>
        <v>0</v>
      </c>
      <c r="GVH43">
        <f t="shared" si="123"/>
        <v>0</v>
      </c>
      <c r="GVI43">
        <f t="shared" si="123"/>
        <v>0</v>
      </c>
      <c r="GVJ43">
        <f t="shared" si="123"/>
        <v>0</v>
      </c>
      <c r="GVK43">
        <f t="shared" si="123"/>
        <v>0</v>
      </c>
      <c r="GVL43">
        <f t="shared" si="123"/>
        <v>0</v>
      </c>
      <c r="GVM43">
        <f t="shared" si="123"/>
        <v>0</v>
      </c>
      <c r="GVN43">
        <f t="shared" si="123"/>
        <v>0</v>
      </c>
      <c r="GVO43">
        <f t="shared" si="123"/>
        <v>0</v>
      </c>
      <c r="GVP43">
        <f t="shared" si="123"/>
        <v>0</v>
      </c>
      <c r="GVQ43">
        <f t="shared" si="123"/>
        <v>0</v>
      </c>
      <c r="GVR43">
        <f t="shared" si="123"/>
        <v>0</v>
      </c>
      <c r="GVS43">
        <f t="shared" si="123"/>
        <v>0</v>
      </c>
      <c r="GVT43">
        <f t="shared" si="123"/>
        <v>0</v>
      </c>
      <c r="GVU43">
        <f t="shared" si="123"/>
        <v>0</v>
      </c>
      <c r="GVV43">
        <f t="shared" si="123"/>
        <v>0</v>
      </c>
      <c r="GVW43">
        <f t="shared" si="123"/>
        <v>0</v>
      </c>
      <c r="GVX43">
        <f t="shared" si="123"/>
        <v>0</v>
      </c>
      <c r="GVY43">
        <f t="shared" si="123"/>
        <v>0</v>
      </c>
      <c r="GVZ43">
        <f t="shared" si="123"/>
        <v>0</v>
      </c>
      <c r="GWA43">
        <f t="shared" si="123"/>
        <v>0</v>
      </c>
      <c r="GWB43">
        <f t="shared" si="123"/>
        <v>0</v>
      </c>
      <c r="GWC43">
        <f t="shared" si="123"/>
        <v>0</v>
      </c>
      <c r="GWD43">
        <f t="shared" si="123"/>
        <v>0</v>
      </c>
      <c r="GWE43">
        <f t="shared" si="123"/>
        <v>0</v>
      </c>
      <c r="GWF43">
        <f t="shared" si="123"/>
        <v>0</v>
      </c>
      <c r="GWG43">
        <f t="shared" si="123"/>
        <v>0</v>
      </c>
      <c r="GWH43">
        <f t="shared" si="123"/>
        <v>0</v>
      </c>
      <c r="GWI43">
        <f t="shared" si="123"/>
        <v>0</v>
      </c>
      <c r="GWJ43">
        <f t="shared" si="123"/>
        <v>0</v>
      </c>
      <c r="GWK43">
        <f t="shared" si="123"/>
        <v>0</v>
      </c>
      <c r="GWL43">
        <f t="shared" si="123"/>
        <v>0</v>
      </c>
      <c r="GWM43">
        <f t="shared" si="123"/>
        <v>0</v>
      </c>
      <c r="GWN43">
        <f t="shared" si="123"/>
        <v>0</v>
      </c>
      <c r="GWO43">
        <f t="shared" si="123"/>
        <v>0</v>
      </c>
      <c r="GWP43">
        <f t="shared" si="123"/>
        <v>0</v>
      </c>
      <c r="GWQ43">
        <f t="shared" si="123"/>
        <v>0</v>
      </c>
      <c r="GWR43">
        <f t="shared" si="123"/>
        <v>0</v>
      </c>
      <c r="GWS43">
        <f t="shared" si="123"/>
        <v>0</v>
      </c>
      <c r="GWT43">
        <f t="shared" si="123"/>
        <v>0</v>
      </c>
      <c r="GWU43">
        <f t="shared" si="123"/>
        <v>0</v>
      </c>
      <c r="GWV43">
        <f t="shared" si="123"/>
        <v>0</v>
      </c>
      <c r="GWW43">
        <f t="shared" si="123"/>
        <v>0</v>
      </c>
      <c r="GWX43">
        <f t="shared" si="123"/>
        <v>0</v>
      </c>
      <c r="GWY43">
        <f t="shared" si="123"/>
        <v>0</v>
      </c>
      <c r="GWZ43">
        <f t="shared" si="123"/>
        <v>0</v>
      </c>
      <c r="GXA43">
        <f t="shared" si="123"/>
        <v>0</v>
      </c>
      <c r="GXB43">
        <f t="shared" si="123"/>
        <v>0</v>
      </c>
      <c r="GXC43">
        <f t="shared" si="123"/>
        <v>0</v>
      </c>
      <c r="GXD43">
        <f t="shared" si="123"/>
        <v>0</v>
      </c>
      <c r="GXE43">
        <f t="shared" si="123"/>
        <v>0</v>
      </c>
      <c r="GXF43">
        <f t="shared" si="123"/>
        <v>0</v>
      </c>
      <c r="GXG43">
        <f t="shared" si="123"/>
        <v>0</v>
      </c>
      <c r="GXH43">
        <f t="shared" si="123"/>
        <v>0</v>
      </c>
      <c r="GXI43">
        <f t="shared" si="123"/>
        <v>0</v>
      </c>
      <c r="GXJ43">
        <f t="shared" si="123"/>
        <v>0</v>
      </c>
      <c r="GXK43">
        <f t="shared" si="123"/>
        <v>0</v>
      </c>
      <c r="GXL43">
        <f t="shared" si="123"/>
        <v>0</v>
      </c>
      <c r="GXM43">
        <f t="shared" si="123"/>
        <v>0</v>
      </c>
      <c r="GXN43">
        <f t="shared" si="123"/>
        <v>0</v>
      </c>
      <c r="GXO43">
        <f t="shared" si="123"/>
        <v>0</v>
      </c>
      <c r="GXP43">
        <f t="shared" si="123"/>
        <v>0</v>
      </c>
      <c r="GXQ43">
        <f t="shared" si="123"/>
        <v>0</v>
      </c>
      <c r="GXR43">
        <f t="shared" si="124"/>
        <v>0</v>
      </c>
      <c r="GXS43">
        <f t="shared" si="124"/>
        <v>0</v>
      </c>
      <c r="GXT43">
        <f t="shared" si="124"/>
        <v>0</v>
      </c>
      <c r="GXU43">
        <f t="shared" si="124"/>
        <v>0</v>
      </c>
      <c r="GXV43">
        <f t="shared" si="124"/>
        <v>0</v>
      </c>
      <c r="GXW43">
        <f t="shared" si="124"/>
        <v>0</v>
      </c>
      <c r="GXX43">
        <f t="shared" si="124"/>
        <v>0</v>
      </c>
      <c r="GXY43">
        <f t="shared" si="124"/>
        <v>0</v>
      </c>
      <c r="GXZ43">
        <f t="shared" si="124"/>
        <v>0</v>
      </c>
      <c r="GYA43">
        <f t="shared" si="124"/>
        <v>0</v>
      </c>
      <c r="GYB43">
        <f t="shared" si="124"/>
        <v>0</v>
      </c>
      <c r="GYC43">
        <f t="shared" si="124"/>
        <v>0</v>
      </c>
      <c r="GYD43">
        <f t="shared" si="124"/>
        <v>0</v>
      </c>
      <c r="GYE43">
        <f t="shared" si="124"/>
        <v>0</v>
      </c>
      <c r="GYF43">
        <f t="shared" si="124"/>
        <v>0</v>
      </c>
      <c r="GYG43">
        <f t="shared" si="124"/>
        <v>0</v>
      </c>
      <c r="GYH43">
        <f t="shared" si="124"/>
        <v>0</v>
      </c>
      <c r="GYI43">
        <f t="shared" si="124"/>
        <v>0</v>
      </c>
      <c r="GYJ43">
        <f t="shared" si="124"/>
        <v>0</v>
      </c>
      <c r="GYK43">
        <f t="shared" si="124"/>
        <v>0</v>
      </c>
      <c r="GYL43">
        <f t="shared" si="124"/>
        <v>0</v>
      </c>
      <c r="GYM43">
        <f t="shared" si="124"/>
        <v>0</v>
      </c>
      <c r="GYN43">
        <f t="shared" si="124"/>
        <v>0</v>
      </c>
      <c r="GYO43">
        <f t="shared" si="124"/>
        <v>0</v>
      </c>
      <c r="GYP43">
        <f t="shared" si="124"/>
        <v>0</v>
      </c>
      <c r="GYQ43">
        <f t="shared" si="124"/>
        <v>0</v>
      </c>
      <c r="GYR43">
        <f t="shared" si="124"/>
        <v>0</v>
      </c>
      <c r="GYS43">
        <f t="shared" si="124"/>
        <v>0</v>
      </c>
      <c r="GYT43">
        <f t="shared" si="124"/>
        <v>0</v>
      </c>
      <c r="GYU43">
        <f t="shared" si="124"/>
        <v>0</v>
      </c>
      <c r="GYV43">
        <f t="shared" si="124"/>
        <v>0</v>
      </c>
      <c r="GYW43">
        <f t="shared" si="124"/>
        <v>0</v>
      </c>
      <c r="GYX43">
        <f t="shared" si="124"/>
        <v>0</v>
      </c>
      <c r="GYY43">
        <f t="shared" si="124"/>
        <v>0</v>
      </c>
      <c r="GYZ43">
        <f t="shared" si="124"/>
        <v>0</v>
      </c>
      <c r="GZA43">
        <f t="shared" si="124"/>
        <v>0</v>
      </c>
      <c r="GZB43">
        <f t="shared" si="124"/>
        <v>0</v>
      </c>
      <c r="GZC43">
        <f t="shared" si="124"/>
        <v>0</v>
      </c>
      <c r="GZD43">
        <f t="shared" si="124"/>
        <v>0</v>
      </c>
      <c r="GZE43">
        <f t="shared" si="124"/>
        <v>0</v>
      </c>
      <c r="GZF43">
        <f t="shared" si="124"/>
        <v>0</v>
      </c>
      <c r="GZG43">
        <f t="shared" si="124"/>
        <v>0</v>
      </c>
      <c r="GZH43">
        <f t="shared" si="124"/>
        <v>0</v>
      </c>
      <c r="GZI43">
        <f t="shared" si="124"/>
        <v>0</v>
      </c>
      <c r="GZJ43">
        <f t="shared" si="124"/>
        <v>0</v>
      </c>
      <c r="GZK43">
        <f t="shared" si="124"/>
        <v>0</v>
      </c>
      <c r="GZL43">
        <f t="shared" si="124"/>
        <v>0</v>
      </c>
      <c r="GZM43">
        <f t="shared" si="124"/>
        <v>0</v>
      </c>
      <c r="GZN43">
        <f t="shared" si="124"/>
        <v>0</v>
      </c>
      <c r="GZO43">
        <f t="shared" si="124"/>
        <v>0</v>
      </c>
      <c r="GZP43">
        <f t="shared" si="124"/>
        <v>0</v>
      </c>
      <c r="GZQ43">
        <f t="shared" si="124"/>
        <v>0</v>
      </c>
      <c r="GZR43">
        <f t="shared" si="124"/>
        <v>0</v>
      </c>
      <c r="GZS43">
        <f t="shared" si="124"/>
        <v>0</v>
      </c>
      <c r="GZT43">
        <f t="shared" si="124"/>
        <v>0</v>
      </c>
      <c r="GZU43">
        <f t="shared" si="124"/>
        <v>0</v>
      </c>
      <c r="GZV43">
        <f t="shared" si="124"/>
        <v>0</v>
      </c>
      <c r="GZW43">
        <f t="shared" si="124"/>
        <v>0</v>
      </c>
      <c r="GZX43">
        <f t="shared" si="124"/>
        <v>0</v>
      </c>
      <c r="GZY43">
        <f t="shared" si="124"/>
        <v>0</v>
      </c>
      <c r="GZZ43">
        <f t="shared" si="124"/>
        <v>0</v>
      </c>
      <c r="HAA43">
        <f t="shared" si="124"/>
        <v>0</v>
      </c>
      <c r="HAB43">
        <f t="shared" si="124"/>
        <v>0</v>
      </c>
      <c r="HAC43">
        <f t="shared" si="124"/>
        <v>0</v>
      </c>
      <c r="HAD43">
        <f t="shared" si="125"/>
        <v>0</v>
      </c>
      <c r="HAE43">
        <f t="shared" si="125"/>
        <v>0</v>
      </c>
      <c r="HAF43">
        <f t="shared" si="125"/>
        <v>0</v>
      </c>
      <c r="HAG43">
        <f t="shared" si="125"/>
        <v>0</v>
      </c>
      <c r="HAH43">
        <f t="shared" si="125"/>
        <v>0</v>
      </c>
      <c r="HAI43">
        <f t="shared" si="125"/>
        <v>0</v>
      </c>
      <c r="HAJ43">
        <f t="shared" si="125"/>
        <v>0</v>
      </c>
      <c r="HAK43">
        <f t="shared" si="125"/>
        <v>0</v>
      </c>
      <c r="HAL43">
        <f t="shared" si="125"/>
        <v>0</v>
      </c>
      <c r="HAM43">
        <f t="shared" si="125"/>
        <v>0</v>
      </c>
      <c r="HAN43">
        <f t="shared" si="125"/>
        <v>0</v>
      </c>
      <c r="HAO43">
        <f t="shared" si="125"/>
        <v>0</v>
      </c>
      <c r="HAP43">
        <f t="shared" si="125"/>
        <v>0</v>
      </c>
      <c r="HAQ43">
        <f t="shared" si="125"/>
        <v>0</v>
      </c>
      <c r="HAR43">
        <f t="shared" si="125"/>
        <v>0</v>
      </c>
      <c r="HAS43">
        <f t="shared" si="125"/>
        <v>0</v>
      </c>
      <c r="HAT43">
        <f t="shared" si="125"/>
        <v>0</v>
      </c>
      <c r="HAU43">
        <f t="shared" si="125"/>
        <v>0</v>
      </c>
      <c r="HAV43">
        <f t="shared" si="125"/>
        <v>0</v>
      </c>
      <c r="HAW43">
        <f t="shared" si="125"/>
        <v>0</v>
      </c>
      <c r="HAX43">
        <f t="shared" si="125"/>
        <v>0</v>
      </c>
      <c r="HAY43">
        <f t="shared" si="125"/>
        <v>0</v>
      </c>
      <c r="HAZ43">
        <f t="shared" si="125"/>
        <v>0</v>
      </c>
      <c r="HBA43">
        <f t="shared" si="125"/>
        <v>0</v>
      </c>
      <c r="HBB43">
        <f t="shared" si="125"/>
        <v>0</v>
      </c>
      <c r="HBC43">
        <f t="shared" si="125"/>
        <v>0</v>
      </c>
      <c r="HBD43">
        <f t="shared" si="125"/>
        <v>0</v>
      </c>
      <c r="HBE43">
        <f t="shared" si="125"/>
        <v>0</v>
      </c>
      <c r="HBF43">
        <f t="shared" si="125"/>
        <v>0</v>
      </c>
      <c r="HBG43">
        <f t="shared" si="125"/>
        <v>0</v>
      </c>
      <c r="HBH43">
        <f t="shared" si="125"/>
        <v>0</v>
      </c>
      <c r="HBI43">
        <f t="shared" si="125"/>
        <v>0</v>
      </c>
      <c r="HBJ43">
        <f t="shared" si="125"/>
        <v>0</v>
      </c>
      <c r="HBK43">
        <f t="shared" si="125"/>
        <v>0</v>
      </c>
      <c r="HBL43">
        <f t="shared" si="125"/>
        <v>0</v>
      </c>
      <c r="HBM43">
        <f t="shared" si="125"/>
        <v>0</v>
      </c>
      <c r="HBN43">
        <f t="shared" si="125"/>
        <v>0</v>
      </c>
      <c r="HBO43">
        <f t="shared" si="125"/>
        <v>0</v>
      </c>
      <c r="HBP43">
        <f t="shared" si="125"/>
        <v>0</v>
      </c>
      <c r="HBQ43">
        <f t="shared" si="125"/>
        <v>0</v>
      </c>
      <c r="HBR43">
        <f t="shared" si="125"/>
        <v>0</v>
      </c>
      <c r="HBS43">
        <f t="shared" si="125"/>
        <v>0</v>
      </c>
      <c r="HBT43">
        <f t="shared" si="125"/>
        <v>0</v>
      </c>
      <c r="HBU43">
        <f t="shared" si="125"/>
        <v>0</v>
      </c>
      <c r="HBV43">
        <f t="shared" si="125"/>
        <v>0</v>
      </c>
      <c r="HBW43">
        <f t="shared" si="125"/>
        <v>0</v>
      </c>
      <c r="HBX43">
        <f t="shared" si="125"/>
        <v>0</v>
      </c>
      <c r="HBY43">
        <f t="shared" si="125"/>
        <v>0</v>
      </c>
      <c r="HBZ43">
        <f t="shared" si="125"/>
        <v>0</v>
      </c>
      <c r="HCA43">
        <f t="shared" si="125"/>
        <v>0</v>
      </c>
      <c r="HCB43">
        <f t="shared" si="125"/>
        <v>0</v>
      </c>
      <c r="HCC43">
        <f t="shared" si="125"/>
        <v>0</v>
      </c>
      <c r="HCD43">
        <f t="shared" si="125"/>
        <v>0</v>
      </c>
      <c r="HCE43">
        <f t="shared" si="125"/>
        <v>0</v>
      </c>
      <c r="HCF43">
        <f t="shared" si="125"/>
        <v>0</v>
      </c>
      <c r="HCG43">
        <f t="shared" si="125"/>
        <v>0</v>
      </c>
      <c r="HCH43">
        <f t="shared" si="125"/>
        <v>0</v>
      </c>
      <c r="HCI43">
        <f t="shared" si="125"/>
        <v>0</v>
      </c>
      <c r="HCJ43">
        <f t="shared" si="125"/>
        <v>0</v>
      </c>
      <c r="HCK43">
        <f t="shared" si="125"/>
        <v>0</v>
      </c>
      <c r="HCL43">
        <f t="shared" si="125"/>
        <v>0</v>
      </c>
      <c r="HCM43">
        <f t="shared" si="125"/>
        <v>0</v>
      </c>
      <c r="HCN43">
        <f t="shared" si="125"/>
        <v>0</v>
      </c>
      <c r="HCO43">
        <f t="shared" si="125"/>
        <v>0</v>
      </c>
      <c r="HCP43">
        <f t="shared" si="126"/>
        <v>0</v>
      </c>
      <c r="HCQ43">
        <f t="shared" si="126"/>
        <v>0</v>
      </c>
      <c r="HCR43">
        <f t="shared" si="126"/>
        <v>0</v>
      </c>
      <c r="HCS43">
        <f t="shared" si="126"/>
        <v>0</v>
      </c>
      <c r="HCT43">
        <f t="shared" si="126"/>
        <v>0</v>
      </c>
      <c r="HCU43">
        <f t="shared" si="126"/>
        <v>0</v>
      </c>
      <c r="HCV43">
        <f t="shared" si="126"/>
        <v>0</v>
      </c>
      <c r="HCW43">
        <f t="shared" si="126"/>
        <v>0</v>
      </c>
      <c r="HCX43">
        <f t="shared" si="126"/>
        <v>0</v>
      </c>
      <c r="HCY43">
        <f t="shared" si="126"/>
        <v>0</v>
      </c>
      <c r="HCZ43">
        <f t="shared" si="126"/>
        <v>0</v>
      </c>
      <c r="HDA43">
        <f t="shared" si="126"/>
        <v>0</v>
      </c>
      <c r="HDB43">
        <f t="shared" si="126"/>
        <v>0</v>
      </c>
      <c r="HDC43">
        <f t="shared" si="126"/>
        <v>0</v>
      </c>
      <c r="HDD43">
        <f t="shared" si="126"/>
        <v>0</v>
      </c>
      <c r="HDE43">
        <f t="shared" si="126"/>
        <v>0</v>
      </c>
      <c r="HDF43">
        <f t="shared" si="126"/>
        <v>0</v>
      </c>
      <c r="HDG43">
        <f t="shared" si="126"/>
        <v>0</v>
      </c>
      <c r="HDH43">
        <f t="shared" si="126"/>
        <v>0</v>
      </c>
      <c r="HDI43">
        <f t="shared" si="126"/>
        <v>0</v>
      </c>
      <c r="HDJ43">
        <f t="shared" si="126"/>
        <v>0</v>
      </c>
      <c r="HDK43">
        <f t="shared" si="126"/>
        <v>0</v>
      </c>
      <c r="HDL43">
        <f t="shared" si="126"/>
        <v>0</v>
      </c>
      <c r="HDM43">
        <f t="shared" si="126"/>
        <v>0</v>
      </c>
      <c r="HDN43">
        <f t="shared" si="126"/>
        <v>0</v>
      </c>
      <c r="HDO43">
        <f t="shared" si="126"/>
        <v>0</v>
      </c>
      <c r="HDP43">
        <f t="shared" si="126"/>
        <v>0</v>
      </c>
      <c r="HDQ43">
        <f t="shared" si="126"/>
        <v>0</v>
      </c>
      <c r="HDR43">
        <f t="shared" si="126"/>
        <v>0</v>
      </c>
      <c r="HDS43">
        <f t="shared" si="126"/>
        <v>0</v>
      </c>
      <c r="HDT43">
        <f t="shared" si="126"/>
        <v>0</v>
      </c>
      <c r="HDU43">
        <f t="shared" si="126"/>
        <v>0</v>
      </c>
      <c r="HDV43">
        <f t="shared" si="126"/>
        <v>0</v>
      </c>
      <c r="HDW43">
        <f t="shared" si="126"/>
        <v>0</v>
      </c>
      <c r="HDX43">
        <f t="shared" si="126"/>
        <v>0</v>
      </c>
      <c r="HDY43">
        <f t="shared" si="126"/>
        <v>0</v>
      </c>
      <c r="HDZ43">
        <f t="shared" si="126"/>
        <v>0</v>
      </c>
      <c r="HEA43">
        <f t="shared" si="126"/>
        <v>0</v>
      </c>
      <c r="HEB43">
        <f t="shared" si="126"/>
        <v>0</v>
      </c>
      <c r="HEC43">
        <f t="shared" si="126"/>
        <v>0</v>
      </c>
      <c r="HED43">
        <f t="shared" si="126"/>
        <v>0</v>
      </c>
      <c r="HEE43">
        <f t="shared" si="126"/>
        <v>0</v>
      </c>
      <c r="HEF43">
        <f t="shared" si="126"/>
        <v>0</v>
      </c>
      <c r="HEG43">
        <f t="shared" si="126"/>
        <v>0</v>
      </c>
      <c r="HEH43">
        <f t="shared" si="126"/>
        <v>0</v>
      </c>
      <c r="HEI43">
        <f t="shared" si="126"/>
        <v>0</v>
      </c>
      <c r="HEJ43">
        <f t="shared" si="126"/>
        <v>0</v>
      </c>
      <c r="HEK43">
        <f t="shared" si="126"/>
        <v>0</v>
      </c>
      <c r="HEL43">
        <f t="shared" si="126"/>
        <v>0</v>
      </c>
      <c r="HEM43">
        <f t="shared" si="126"/>
        <v>0</v>
      </c>
      <c r="HEN43">
        <f t="shared" si="126"/>
        <v>0</v>
      </c>
      <c r="HEO43">
        <f t="shared" si="126"/>
        <v>0</v>
      </c>
      <c r="HEP43">
        <f t="shared" si="126"/>
        <v>0</v>
      </c>
      <c r="HEQ43">
        <f t="shared" si="126"/>
        <v>0</v>
      </c>
      <c r="HER43">
        <f t="shared" si="126"/>
        <v>0</v>
      </c>
      <c r="HES43">
        <f t="shared" si="126"/>
        <v>0</v>
      </c>
      <c r="HET43">
        <f t="shared" si="126"/>
        <v>0</v>
      </c>
      <c r="HEU43">
        <f t="shared" si="126"/>
        <v>0</v>
      </c>
      <c r="HEV43">
        <f t="shared" si="126"/>
        <v>0</v>
      </c>
      <c r="HEW43">
        <f t="shared" si="126"/>
        <v>0</v>
      </c>
      <c r="HEX43">
        <f t="shared" si="126"/>
        <v>0</v>
      </c>
      <c r="HEY43">
        <f t="shared" si="126"/>
        <v>0</v>
      </c>
      <c r="HEZ43">
        <f t="shared" si="126"/>
        <v>0</v>
      </c>
      <c r="HFA43">
        <f t="shared" si="126"/>
        <v>0</v>
      </c>
      <c r="HFB43">
        <f t="shared" si="127"/>
        <v>0</v>
      </c>
      <c r="HFC43">
        <f t="shared" si="127"/>
        <v>0</v>
      </c>
      <c r="HFD43">
        <f t="shared" si="127"/>
        <v>0</v>
      </c>
      <c r="HFE43">
        <f t="shared" si="127"/>
        <v>0</v>
      </c>
      <c r="HFF43">
        <f t="shared" si="127"/>
        <v>0</v>
      </c>
      <c r="HFG43">
        <f t="shared" si="127"/>
        <v>0</v>
      </c>
      <c r="HFH43">
        <f t="shared" si="127"/>
        <v>0</v>
      </c>
      <c r="HFI43">
        <f t="shared" si="127"/>
        <v>0</v>
      </c>
      <c r="HFJ43">
        <f t="shared" si="127"/>
        <v>0</v>
      </c>
      <c r="HFK43">
        <f t="shared" si="127"/>
        <v>0</v>
      </c>
      <c r="HFL43">
        <f t="shared" si="127"/>
        <v>0</v>
      </c>
      <c r="HFM43">
        <f t="shared" si="127"/>
        <v>0</v>
      </c>
      <c r="HFN43">
        <f t="shared" si="127"/>
        <v>0</v>
      </c>
      <c r="HFO43">
        <f t="shared" si="127"/>
        <v>0</v>
      </c>
      <c r="HFP43">
        <f t="shared" si="127"/>
        <v>0</v>
      </c>
      <c r="HFQ43">
        <f t="shared" si="127"/>
        <v>0</v>
      </c>
      <c r="HFR43">
        <f t="shared" si="127"/>
        <v>0</v>
      </c>
      <c r="HFS43">
        <f t="shared" si="127"/>
        <v>0</v>
      </c>
      <c r="HFT43">
        <f t="shared" si="127"/>
        <v>0</v>
      </c>
      <c r="HFU43">
        <f t="shared" si="127"/>
        <v>0</v>
      </c>
      <c r="HFV43">
        <f t="shared" si="127"/>
        <v>0</v>
      </c>
      <c r="HFW43">
        <f t="shared" si="127"/>
        <v>0</v>
      </c>
      <c r="HFX43">
        <f t="shared" si="127"/>
        <v>0</v>
      </c>
      <c r="HFY43">
        <f t="shared" si="127"/>
        <v>0</v>
      </c>
      <c r="HFZ43">
        <f t="shared" si="127"/>
        <v>0</v>
      </c>
      <c r="HGA43">
        <f t="shared" si="127"/>
        <v>0</v>
      </c>
      <c r="HGB43">
        <f t="shared" si="127"/>
        <v>0</v>
      </c>
      <c r="HGC43">
        <f t="shared" si="127"/>
        <v>0</v>
      </c>
      <c r="HGD43">
        <f t="shared" si="127"/>
        <v>0</v>
      </c>
      <c r="HGE43">
        <f t="shared" si="127"/>
        <v>0</v>
      </c>
      <c r="HGF43">
        <f t="shared" si="127"/>
        <v>0</v>
      </c>
      <c r="HGG43">
        <f t="shared" si="127"/>
        <v>0</v>
      </c>
      <c r="HGH43">
        <f t="shared" si="127"/>
        <v>0</v>
      </c>
      <c r="HGI43">
        <f t="shared" si="127"/>
        <v>0</v>
      </c>
      <c r="HGJ43">
        <f t="shared" si="127"/>
        <v>0</v>
      </c>
      <c r="HGK43">
        <f t="shared" si="127"/>
        <v>0</v>
      </c>
      <c r="HGL43">
        <f t="shared" si="127"/>
        <v>0</v>
      </c>
      <c r="HGM43">
        <f t="shared" si="127"/>
        <v>0</v>
      </c>
      <c r="HGN43">
        <f t="shared" si="127"/>
        <v>0</v>
      </c>
      <c r="HGO43">
        <f t="shared" si="127"/>
        <v>0</v>
      </c>
      <c r="HGP43">
        <f t="shared" si="127"/>
        <v>0</v>
      </c>
      <c r="HGQ43">
        <f t="shared" si="127"/>
        <v>0</v>
      </c>
      <c r="HGR43">
        <f t="shared" si="127"/>
        <v>0</v>
      </c>
      <c r="HGS43">
        <f t="shared" si="127"/>
        <v>0</v>
      </c>
      <c r="HGT43">
        <f t="shared" si="127"/>
        <v>0</v>
      </c>
      <c r="HGU43">
        <f t="shared" si="127"/>
        <v>0</v>
      </c>
      <c r="HGV43">
        <f t="shared" si="127"/>
        <v>0</v>
      </c>
      <c r="HGW43">
        <f t="shared" si="127"/>
        <v>0</v>
      </c>
      <c r="HGX43">
        <f t="shared" si="127"/>
        <v>0</v>
      </c>
      <c r="HGY43">
        <f t="shared" si="127"/>
        <v>0</v>
      </c>
      <c r="HGZ43">
        <f t="shared" si="127"/>
        <v>0</v>
      </c>
      <c r="HHA43">
        <f t="shared" si="127"/>
        <v>0</v>
      </c>
      <c r="HHB43">
        <f t="shared" si="127"/>
        <v>0</v>
      </c>
      <c r="HHC43">
        <f t="shared" si="127"/>
        <v>0</v>
      </c>
      <c r="HHD43">
        <f t="shared" si="127"/>
        <v>0</v>
      </c>
      <c r="HHE43">
        <f t="shared" si="127"/>
        <v>0</v>
      </c>
      <c r="HHF43">
        <f t="shared" si="127"/>
        <v>0</v>
      </c>
      <c r="HHG43">
        <f t="shared" si="127"/>
        <v>0</v>
      </c>
      <c r="HHH43">
        <f t="shared" si="127"/>
        <v>0</v>
      </c>
      <c r="HHI43">
        <f t="shared" si="127"/>
        <v>0</v>
      </c>
      <c r="HHJ43">
        <f t="shared" si="127"/>
        <v>0</v>
      </c>
      <c r="HHK43">
        <f t="shared" si="127"/>
        <v>0</v>
      </c>
      <c r="HHL43">
        <f t="shared" si="127"/>
        <v>0</v>
      </c>
      <c r="HHM43">
        <f t="shared" si="127"/>
        <v>0</v>
      </c>
      <c r="HHN43">
        <f t="shared" si="128"/>
        <v>0</v>
      </c>
      <c r="HHO43">
        <f t="shared" si="128"/>
        <v>0</v>
      </c>
      <c r="HHP43">
        <f t="shared" si="128"/>
        <v>0</v>
      </c>
      <c r="HHQ43">
        <f t="shared" si="128"/>
        <v>0</v>
      </c>
      <c r="HHR43">
        <f t="shared" si="128"/>
        <v>0</v>
      </c>
      <c r="HHS43">
        <f t="shared" si="128"/>
        <v>0</v>
      </c>
      <c r="HHT43">
        <f t="shared" si="128"/>
        <v>0</v>
      </c>
      <c r="HHU43">
        <f t="shared" si="128"/>
        <v>0</v>
      </c>
      <c r="HHV43">
        <f t="shared" si="128"/>
        <v>0</v>
      </c>
      <c r="HHW43">
        <f t="shared" si="128"/>
        <v>0</v>
      </c>
      <c r="HHX43">
        <f t="shared" si="128"/>
        <v>0</v>
      </c>
      <c r="HHY43">
        <f t="shared" si="128"/>
        <v>0</v>
      </c>
      <c r="HHZ43">
        <f t="shared" si="128"/>
        <v>0</v>
      </c>
      <c r="HIA43">
        <f t="shared" si="128"/>
        <v>0</v>
      </c>
      <c r="HIB43">
        <f t="shared" si="128"/>
        <v>0</v>
      </c>
      <c r="HIC43">
        <f t="shared" si="128"/>
        <v>0</v>
      </c>
      <c r="HID43">
        <f t="shared" si="128"/>
        <v>0</v>
      </c>
      <c r="HIE43">
        <f t="shared" si="128"/>
        <v>0</v>
      </c>
      <c r="HIF43">
        <f t="shared" si="128"/>
        <v>0</v>
      </c>
      <c r="HIG43">
        <f t="shared" si="128"/>
        <v>0</v>
      </c>
      <c r="HIH43">
        <f t="shared" si="128"/>
        <v>0</v>
      </c>
      <c r="HII43">
        <f t="shared" si="128"/>
        <v>0</v>
      </c>
      <c r="HIJ43">
        <f t="shared" si="128"/>
        <v>0</v>
      </c>
      <c r="HIK43">
        <f t="shared" si="128"/>
        <v>0</v>
      </c>
      <c r="HIL43">
        <f t="shared" si="128"/>
        <v>0</v>
      </c>
      <c r="HIM43">
        <f t="shared" si="128"/>
        <v>0</v>
      </c>
      <c r="HIN43">
        <f t="shared" si="128"/>
        <v>0</v>
      </c>
      <c r="HIO43">
        <f t="shared" si="128"/>
        <v>0</v>
      </c>
      <c r="HIP43">
        <f t="shared" si="128"/>
        <v>0</v>
      </c>
      <c r="HIQ43">
        <f t="shared" si="128"/>
        <v>0</v>
      </c>
      <c r="HIR43">
        <f t="shared" si="128"/>
        <v>0</v>
      </c>
      <c r="HIS43">
        <f t="shared" si="128"/>
        <v>0</v>
      </c>
      <c r="HIT43">
        <f t="shared" si="128"/>
        <v>0</v>
      </c>
      <c r="HIU43">
        <f t="shared" si="128"/>
        <v>0</v>
      </c>
      <c r="HIV43">
        <f t="shared" si="128"/>
        <v>0</v>
      </c>
      <c r="HIW43">
        <f t="shared" si="128"/>
        <v>0</v>
      </c>
      <c r="HIX43">
        <f t="shared" si="128"/>
        <v>0</v>
      </c>
      <c r="HIY43">
        <f t="shared" si="128"/>
        <v>0</v>
      </c>
      <c r="HIZ43">
        <f t="shared" si="128"/>
        <v>0</v>
      </c>
      <c r="HJA43">
        <f t="shared" si="128"/>
        <v>0</v>
      </c>
      <c r="HJB43">
        <f t="shared" si="128"/>
        <v>0</v>
      </c>
      <c r="HJC43">
        <f t="shared" si="128"/>
        <v>0</v>
      </c>
      <c r="HJD43">
        <f t="shared" si="128"/>
        <v>0</v>
      </c>
      <c r="HJE43">
        <f t="shared" si="128"/>
        <v>0</v>
      </c>
      <c r="HJF43">
        <f t="shared" si="128"/>
        <v>0</v>
      </c>
      <c r="HJG43">
        <f t="shared" si="128"/>
        <v>0</v>
      </c>
      <c r="HJH43">
        <f t="shared" si="128"/>
        <v>0</v>
      </c>
      <c r="HJI43">
        <f t="shared" si="128"/>
        <v>0</v>
      </c>
      <c r="HJJ43">
        <f t="shared" si="128"/>
        <v>0</v>
      </c>
      <c r="HJK43">
        <f t="shared" si="128"/>
        <v>0</v>
      </c>
      <c r="HJL43">
        <f t="shared" si="128"/>
        <v>0</v>
      </c>
      <c r="HJM43">
        <f t="shared" si="128"/>
        <v>0</v>
      </c>
      <c r="HJN43">
        <f t="shared" si="128"/>
        <v>0</v>
      </c>
      <c r="HJO43">
        <f t="shared" si="128"/>
        <v>0</v>
      </c>
      <c r="HJP43">
        <f t="shared" si="128"/>
        <v>0</v>
      </c>
      <c r="HJQ43">
        <f t="shared" si="128"/>
        <v>0</v>
      </c>
      <c r="HJR43">
        <f t="shared" si="128"/>
        <v>0</v>
      </c>
      <c r="HJS43">
        <f t="shared" si="128"/>
        <v>0</v>
      </c>
      <c r="HJT43">
        <f t="shared" si="128"/>
        <v>0</v>
      </c>
      <c r="HJU43">
        <f t="shared" si="128"/>
        <v>0</v>
      </c>
      <c r="HJV43">
        <f t="shared" si="128"/>
        <v>0</v>
      </c>
      <c r="HJW43">
        <f t="shared" si="128"/>
        <v>0</v>
      </c>
      <c r="HJX43">
        <f t="shared" si="128"/>
        <v>0</v>
      </c>
      <c r="HJY43">
        <f t="shared" si="128"/>
        <v>0</v>
      </c>
      <c r="HJZ43">
        <f t="shared" si="129"/>
        <v>0</v>
      </c>
      <c r="HKA43">
        <f t="shared" si="129"/>
        <v>0</v>
      </c>
      <c r="HKB43">
        <f t="shared" si="129"/>
        <v>0</v>
      </c>
      <c r="HKC43">
        <f t="shared" si="129"/>
        <v>0</v>
      </c>
      <c r="HKD43">
        <f t="shared" si="129"/>
        <v>0</v>
      </c>
      <c r="HKE43">
        <f t="shared" si="129"/>
        <v>0</v>
      </c>
      <c r="HKF43">
        <f t="shared" si="129"/>
        <v>0</v>
      </c>
      <c r="HKG43">
        <f t="shared" si="129"/>
        <v>0</v>
      </c>
      <c r="HKH43">
        <f t="shared" si="129"/>
        <v>0</v>
      </c>
      <c r="HKI43">
        <f t="shared" si="129"/>
        <v>0</v>
      </c>
      <c r="HKJ43">
        <f t="shared" si="129"/>
        <v>0</v>
      </c>
      <c r="HKK43">
        <f t="shared" si="129"/>
        <v>0</v>
      </c>
      <c r="HKL43">
        <f t="shared" si="129"/>
        <v>0</v>
      </c>
      <c r="HKM43">
        <f t="shared" si="129"/>
        <v>0</v>
      </c>
      <c r="HKN43">
        <f t="shared" si="129"/>
        <v>0</v>
      </c>
      <c r="HKO43">
        <f t="shared" si="129"/>
        <v>0</v>
      </c>
      <c r="HKP43">
        <f t="shared" si="129"/>
        <v>0</v>
      </c>
      <c r="HKQ43">
        <f t="shared" si="129"/>
        <v>0</v>
      </c>
      <c r="HKR43">
        <f t="shared" si="129"/>
        <v>0</v>
      </c>
      <c r="HKS43">
        <f t="shared" si="129"/>
        <v>0</v>
      </c>
      <c r="HKT43">
        <f t="shared" si="129"/>
        <v>0</v>
      </c>
      <c r="HKU43">
        <f t="shared" si="129"/>
        <v>0</v>
      </c>
      <c r="HKV43">
        <f t="shared" si="129"/>
        <v>0</v>
      </c>
      <c r="HKW43">
        <f t="shared" si="129"/>
        <v>0</v>
      </c>
      <c r="HKX43">
        <f t="shared" si="129"/>
        <v>0</v>
      </c>
      <c r="HKY43">
        <f t="shared" si="129"/>
        <v>0</v>
      </c>
      <c r="HKZ43">
        <f t="shared" si="129"/>
        <v>0</v>
      </c>
      <c r="HLA43">
        <f t="shared" si="129"/>
        <v>0</v>
      </c>
      <c r="HLB43">
        <f t="shared" si="129"/>
        <v>0</v>
      </c>
      <c r="HLC43">
        <f t="shared" si="129"/>
        <v>0</v>
      </c>
      <c r="HLD43">
        <f t="shared" si="129"/>
        <v>0</v>
      </c>
      <c r="HLE43">
        <f t="shared" si="129"/>
        <v>0</v>
      </c>
      <c r="HLF43">
        <f t="shared" si="129"/>
        <v>0</v>
      </c>
      <c r="HLG43">
        <f t="shared" si="129"/>
        <v>0</v>
      </c>
      <c r="HLH43">
        <f t="shared" si="129"/>
        <v>0</v>
      </c>
      <c r="HLI43">
        <f t="shared" si="129"/>
        <v>0</v>
      </c>
      <c r="HLJ43">
        <f t="shared" si="129"/>
        <v>0</v>
      </c>
      <c r="HLK43">
        <f t="shared" si="129"/>
        <v>0</v>
      </c>
      <c r="HLL43">
        <f t="shared" si="129"/>
        <v>0</v>
      </c>
      <c r="HLM43">
        <f t="shared" si="129"/>
        <v>0</v>
      </c>
      <c r="HLN43">
        <f t="shared" si="129"/>
        <v>0</v>
      </c>
      <c r="HLO43">
        <f t="shared" si="129"/>
        <v>0</v>
      </c>
      <c r="HLP43">
        <f t="shared" si="129"/>
        <v>0</v>
      </c>
      <c r="HLQ43">
        <f t="shared" si="129"/>
        <v>0</v>
      </c>
      <c r="HLR43">
        <f t="shared" si="129"/>
        <v>0</v>
      </c>
      <c r="HLS43">
        <f t="shared" si="129"/>
        <v>0</v>
      </c>
      <c r="HLT43">
        <f t="shared" si="129"/>
        <v>0</v>
      </c>
      <c r="HLU43">
        <f t="shared" si="129"/>
        <v>0</v>
      </c>
      <c r="HLV43">
        <f t="shared" si="129"/>
        <v>0</v>
      </c>
      <c r="HLW43">
        <f t="shared" si="129"/>
        <v>0</v>
      </c>
      <c r="HLX43">
        <f t="shared" si="129"/>
        <v>0</v>
      </c>
      <c r="HLY43">
        <f t="shared" si="129"/>
        <v>0</v>
      </c>
      <c r="HLZ43">
        <f t="shared" si="129"/>
        <v>0</v>
      </c>
      <c r="HMA43">
        <f t="shared" si="129"/>
        <v>0</v>
      </c>
      <c r="HMB43">
        <f t="shared" si="129"/>
        <v>0</v>
      </c>
      <c r="HMC43">
        <f t="shared" si="129"/>
        <v>0</v>
      </c>
      <c r="HMD43">
        <f t="shared" si="129"/>
        <v>0</v>
      </c>
      <c r="HME43">
        <f t="shared" si="129"/>
        <v>0</v>
      </c>
      <c r="HMF43">
        <f t="shared" si="129"/>
        <v>0</v>
      </c>
      <c r="HMG43">
        <f t="shared" si="129"/>
        <v>0</v>
      </c>
      <c r="HMH43">
        <f t="shared" si="129"/>
        <v>0</v>
      </c>
      <c r="HMI43">
        <f t="shared" si="129"/>
        <v>0</v>
      </c>
      <c r="HMJ43">
        <f t="shared" si="129"/>
        <v>0</v>
      </c>
      <c r="HMK43">
        <f t="shared" si="129"/>
        <v>0</v>
      </c>
      <c r="HML43">
        <f t="shared" si="130"/>
        <v>0</v>
      </c>
      <c r="HMM43">
        <f t="shared" si="130"/>
        <v>0</v>
      </c>
      <c r="HMN43">
        <f t="shared" si="130"/>
        <v>0</v>
      </c>
      <c r="HMO43">
        <f t="shared" si="130"/>
        <v>0</v>
      </c>
      <c r="HMP43">
        <f t="shared" si="130"/>
        <v>0</v>
      </c>
      <c r="HMQ43">
        <f t="shared" si="130"/>
        <v>0</v>
      </c>
      <c r="HMR43">
        <f t="shared" si="130"/>
        <v>0</v>
      </c>
      <c r="HMS43">
        <f t="shared" si="130"/>
        <v>0</v>
      </c>
      <c r="HMT43">
        <f t="shared" si="130"/>
        <v>0</v>
      </c>
      <c r="HMU43">
        <f t="shared" si="130"/>
        <v>0</v>
      </c>
      <c r="HMV43">
        <f t="shared" si="130"/>
        <v>0</v>
      </c>
      <c r="HMW43">
        <f t="shared" si="130"/>
        <v>0</v>
      </c>
      <c r="HMX43">
        <f t="shared" si="130"/>
        <v>0</v>
      </c>
      <c r="HMY43">
        <f t="shared" si="130"/>
        <v>0</v>
      </c>
      <c r="HMZ43">
        <f t="shared" si="130"/>
        <v>0</v>
      </c>
      <c r="HNA43">
        <f t="shared" si="130"/>
        <v>0</v>
      </c>
      <c r="HNB43">
        <f t="shared" si="130"/>
        <v>0</v>
      </c>
      <c r="HNC43">
        <f t="shared" si="130"/>
        <v>0</v>
      </c>
      <c r="HND43">
        <f t="shared" si="130"/>
        <v>0</v>
      </c>
      <c r="HNE43">
        <f t="shared" si="130"/>
        <v>0</v>
      </c>
      <c r="HNF43">
        <f t="shared" si="130"/>
        <v>0</v>
      </c>
      <c r="HNG43">
        <f t="shared" si="130"/>
        <v>0</v>
      </c>
      <c r="HNH43">
        <f t="shared" si="130"/>
        <v>0</v>
      </c>
      <c r="HNI43">
        <f t="shared" si="130"/>
        <v>0</v>
      </c>
      <c r="HNJ43">
        <f t="shared" si="130"/>
        <v>0</v>
      </c>
      <c r="HNK43">
        <f t="shared" si="130"/>
        <v>0</v>
      </c>
      <c r="HNL43">
        <f t="shared" si="130"/>
        <v>0</v>
      </c>
      <c r="HNM43">
        <f t="shared" si="130"/>
        <v>0</v>
      </c>
      <c r="HNN43">
        <f t="shared" si="130"/>
        <v>0</v>
      </c>
      <c r="HNO43">
        <f t="shared" si="130"/>
        <v>0</v>
      </c>
      <c r="HNP43">
        <f t="shared" si="130"/>
        <v>0</v>
      </c>
      <c r="HNQ43">
        <f t="shared" si="130"/>
        <v>0</v>
      </c>
      <c r="HNR43">
        <f t="shared" si="130"/>
        <v>0</v>
      </c>
      <c r="HNS43">
        <f t="shared" si="130"/>
        <v>0</v>
      </c>
      <c r="HNT43">
        <f t="shared" si="130"/>
        <v>0</v>
      </c>
      <c r="HNU43">
        <f t="shared" si="130"/>
        <v>0</v>
      </c>
      <c r="HNV43">
        <f t="shared" si="130"/>
        <v>0</v>
      </c>
      <c r="HNW43">
        <f t="shared" si="130"/>
        <v>0</v>
      </c>
      <c r="HNX43">
        <f t="shared" si="130"/>
        <v>0</v>
      </c>
      <c r="HNY43">
        <f t="shared" si="130"/>
        <v>0</v>
      </c>
      <c r="HNZ43">
        <f t="shared" si="130"/>
        <v>0</v>
      </c>
      <c r="HOA43">
        <f t="shared" si="130"/>
        <v>0</v>
      </c>
      <c r="HOB43">
        <f t="shared" si="130"/>
        <v>0</v>
      </c>
      <c r="HOC43">
        <f t="shared" si="130"/>
        <v>0</v>
      </c>
      <c r="HOD43">
        <f t="shared" si="130"/>
        <v>0</v>
      </c>
      <c r="HOE43">
        <f t="shared" si="130"/>
        <v>0</v>
      </c>
      <c r="HOF43">
        <f t="shared" si="130"/>
        <v>0</v>
      </c>
      <c r="HOG43">
        <f t="shared" si="130"/>
        <v>0</v>
      </c>
      <c r="HOH43">
        <f t="shared" si="130"/>
        <v>0</v>
      </c>
      <c r="HOI43">
        <f t="shared" si="130"/>
        <v>0</v>
      </c>
      <c r="HOJ43">
        <f t="shared" si="130"/>
        <v>0</v>
      </c>
      <c r="HOK43">
        <f t="shared" si="130"/>
        <v>0</v>
      </c>
      <c r="HOL43">
        <f t="shared" si="130"/>
        <v>0</v>
      </c>
      <c r="HOM43">
        <f t="shared" si="130"/>
        <v>0</v>
      </c>
      <c r="HON43">
        <f t="shared" si="130"/>
        <v>0</v>
      </c>
      <c r="HOO43">
        <f t="shared" si="130"/>
        <v>0</v>
      </c>
      <c r="HOP43">
        <f t="shared" si="130"/>
        <v>0</v>
      </c>
      <c r="HOQ43">
        <f t="shared" si="130"/>
        <v>0</v>
      </c>
      <c r="HOR43">
        <f t="shared" si="130"/>
        <v>0</v>
      </c>
      <c r="HOS43">
        <f t="shared" si="130"/>
        <v>0</v>
      </c>
      <c r="HOT43">
        <f t="shared" si="130"/>
        <v>0</v>
      </c>
      <c r="HOU43">
        <f t="shared" si="130"/>
        <v>0</v>
      </c>
      <c r="HOV43">
        <f t="shared" si="130"/>
        <v>0</v>
      </c>
      <c r="HOW43">
        <f t="shared" si="130"/>
        <v>0</v>
      </c>
      <c r="HOX43">
        <f t="shared" si="131"/>
        <v>0</v>
      </c>
      <c r="HOY43">
        <f t="shared" si="131"/>
        <v>0</v>
      </c>
      <c r="HOZ43">
        <f t="shared" si="131"/>
        <v>0</v>
      </c>
      <c r="HPA43">
        <f t="shared" si="131"/>
        <v>0</v>
      </c>
      <c r="HPB43">
        <f t="shared" si="131"/>
        <v>0</v>
      </c>
      <c r="HPC43">
        <f t="shared" si="131"/>
        <v>0</v>
      </c>
      <c r="HPD43">
        <f t="shared" si="131"/>
        <v>0</v>
      </c>
      <c r="HPE43">
        <f t="shared" si="131"/>
        <v>0</v>
      </c>
      <c r="HPF43">
        <f t="shared" si="131"/>
        <v>0</v>
      </c>
      <c r="HPG43">
        <f t="shared" si="131"/>
        <v>0</v>
      </c>
      <c r="HPH43">
        <f t="shared" si="131"/>
        <v>0</v>
      </c>
      <c r="HPI43">
        <f t="shared" si="131"/>
        <v>0</v>
      </c>
      <c r="HPJ43">
        <f t="shared" si="131"/>
        <v>0</v>
      </c>
      <c r="HPK43">
        <f t="shared" si="131"/>
        <v>0</v>
      </c>
      <c r="HPL43">
        <f t="shared" si="131"/>
        <v>0</v>
      </c>
      <c r="HPM43">
        <f t="shared" si="131"/>
        <v>0</v>
      </c>
      <c r="HPN43">
        <f t="shared" si="131"/>
        <v>0</v>
      </c>
      <c r="HPO43">
        <f t="shared" si="131"/>
        <v>0</v>
      </c>
      <c r="HPP43">
        <f t="shared" si="131"/>
        <v>0</v>
      </c>
      <c r="HPQ43">
        <f t="shared" si="131"/>
        <v>0</v>
      </c>
      <c r="HPR43">
        <f t="shared" si="131"/>
        <v>0</v>
      </c>
      <c r="HPS43">
        <f t="shared" si="131"/>
        <v>0</v>
      </c>
      <c r="HPT43">
        <f t="shared" si="131"/>
        <v>0</v>
      </c>
      <c r="HPU43">
        <f t="shared" si="131"/>
        <v>0</v>
      </c>
      <c r="HPV43">
        <f t="shared" si="131"/>
        <v>0</v>
      </c>
      <c r="HPW43">
        <f t="shared" si="131"/>
        <v>0</v>
      </c>
      <c r="HPX43">
        <f t="shared" si="131"/>
        <v>0</v>
      </c>
      <c r="HPY43">
        <f t="shared" si="131"/>
        <v>0</v>
      </c>
      <c r="HPZ43">
        <f t="shared" si="131"/>
        <v>0</v>
      </c>
      <c r="HQA43">
        <f t="shared" si="131"/>
        <v>0</v>
      </c>
      <c r="HQB43">
        <f t="shared" si="131"/>
        <v>0</v>
      </c>
      <c r="HQC43">
        <f t="shared" si="131"/>
        <v>0</v>
      </c>
      <c r="HQD43">
        <f t="shared" si="131"/>
        <v>0</v>
      </c>
      <c r="HQE43">
        <f t="shared" si="131"/>
        <v>0</v>
      </c>
      <c r="HQF43">
        <f t="shared" si="131"/>
        <v>0</v>
      </c>
      <c r="HQG43">
        <f t="shared" si="131"/>
        <v>0</v>
      </c>
      <c r="HQH43">
        <f t="shared" si="131"/>
        <v>0</v>
      </c>
      <c r="HQI43">
        <f t="shared" si="131"/>
        <v>0</v>
      </c>
      <c r="HQJ43">
        <f t="shared" si="131"/>
        <v>0</v>
      </c>
      <c r="HQK43">
        <f t="shared" si="131"/>
        <v>0</v>
      </c>
      <c r="HQL43">
        <f t="shared" si="131"/>
        <v>0</v>
      </c>
      <c r="HQM43">
        <f t="shared" si="131"/>
        <v>0</v>
      </c>
      <c r="HQN43">
        <f t="shared" si="131"/>
        <v>0</v>
      </c>
      <c r="HQO43">
        <f t="shared" si="131"/>
        <v>0</v>
      </c>
      <c r="HQP43">
        <f t="shared" si="131"/>
        <v>0</v>
      </c>
      <c r="HQQ43">
        <f t="shared" si="131"/>
        <v>0</v>
      </c>
      <c r="HQR43">
        <f t="shared" si="131"/>
        <v>0</v>
      </c>
      <c r="HQS43">
        <f t="shared" si="131"/>
        <v>0</v>
      </c>
      <c r="HQT43">
        <f t="shared" si="131"/>
        <v>0</v>
      </c>
      <c r="HQU43">
        <f t="shared" si="131"/>
        <v>0</v>
      </c>
      <c r="HQV43">
        <f t="shared" si="131"/>
        <v>0</v>
      </c>
      <c r="HQW43">
        <f t="shared" si="131"/>
        <v>0</v>
      </c>
      <c r="HQX43">
        <f t="shared" si="131"/>
        <v>0</v>
      </c>
      <c r="HQY43">
        <f t="shared" si="131"/>
        <v>0</v>
      </c>
      <c r="HQZ43">
        <f t="shared" si="131"/>
        <v>0</v>
      </c>
      <c r="HRA43">
        <f t="shared" si="131"/>
        <v>0</v>
      </c>
      <c r="HRB43">
        <f t="shared" si="131"/>
        <v>0</v>
      </c>
      <c r="HRC43">
        <f t="shared" si="131"/>
        <v>0</v>
      </c>
      <c r="HRD43">
        <f t="shared" si="131"/>
        <v>0</v>
      </c>
      <c r="HRE43">
        <f t="shared" si="131"/>
        <v>0</v>
      </c>
      <c r="HRF43">
        <f t="shared" si="131"/>
        <v>0</v>
      </c>
      <c r="HRG43">
        <f t="shared" si="131"/>
        <v>0</v>
      </c>
      <c r="HRH43">
        <f t="shared" si="131"/>
        <v>0</v>
      </c>
      <c r="HRI43">
        <f t="shared" si="131"/>
        <v>0</v>
      </c>
      <c r="HRJ43">
        <f t="shared" si="132"/>
        <v>0</v>
      </c>
      <c r="HRK43">
        <f t="shared" si="132"/>
        <v>0</v>
      </c>
      <c r="HRL43">
        <f t="shared" si="132"/>
        <v>0</v>
      </c>
      <c r="HRM43">
        <f t="shared" si="132"/>
        <v>0</v>
      </c>
      <c r="HRN43">
        <f t="shared" si="132"/>
        <v>0</v>
      </c>
      <c r="HRO43">
        <f t="shared" si="132"/>
        <v>0</v>
      </c>
      <c r="HRP43">
        <f t="shared" si="132"/>
        <v>0</v>
      </c>
      <c r="HRQ43">
        <f t="shared" si="132"/>
        <v>0</v>
      </c>
      <c r="HRR43">
        <f t="shared" si="132"/>
        <v>0</v>
      </c>
      <c r="HRS43">
        <f t="shared" si="132"/>
        <v>0</v>
      </c>
      <c r="HRT43">
        <f t="shared" si="132"/>
        <v>0</v>
      </c>
      <c r="HRU43">
        <f t="shared" si="132"/>
        <v>0</v>
      </c>
      <c r="HRV43">
        <f t="shared" si="132"/>
        <v>0</v>
      </c>
      <c r="HRW43">
        <f t="shared" si="132"/>
        <v>0</v>
      </c>
      <c r="HRX43">
        <f t="shared" si="132"/>
        <v>0</v>
      </c>
      <c r="HRY43">
        <f t="shared" si="132"/>
        <v>0</v>
      </c>
      <c r="HRZ43">
        <f t="shared" si="132"/>
        <v>0</v>
      </c>
      <c r="HSA43">
        <f t="shared" si="132"/>
        <v>0</v>
      </c>
      <c r="HSB43">
        <f t="shared" si="132"/>
        <v>0</v>
      </c>
      <c r="HSC43">
        <f t="shared" si="132"/>
        <v>0</v>
      </c>
      <c r="HSD43">
        <f t="shared" si="132"/>
        <v>0</v>
      </c>
      <c r="HSE43">
        <f t="shared" si="132"/>
        <v>0</v>
      </c>
      <c r="HSF43">
        <f t="shared" si="132"/>
        <v>0</v>
      </c>
      <c r="HSG43">
        <f t="shared" si="132"/>
        <v>0</v>
      </c>
      <c r="HSH43">
        <f t="shared" si="132"/>
        <v>0</v>
      </c>
      <c r="HSI43">
        <f t="shared" si="132"/>
        <v>0</v>
      </c>
      <c r="HSJ43">
        <f t="shared" si="132"/>
        <v>0</v>
      </c>
      <c r="HSK43">
        <f t="shared" si="132"/>
        <v>0</v>
      </c>
      <c r="HSL43">
        <f t="shared" si="132"/>
        <v>0</v>
      </c>
      <c r="HSM43">
        <f t="shared" si="132"/>
        <v>0</v>
      </c>
      <c r="HSN43">
        <f t="shared" si="132"/>
        <v>0</v>
      </c>
      <c r="HSO43">
        <f t="shared" si="132"/>
        <v>0</v>
      </c>
      <c r="HSP43">
        <f t="shared" si="132"/>
        <v>0</v>
      </c>
      <c r="HSQ43">
        <f t="shared" si="132"/>
        <v>0</v>
      </c>
      <c r="HSR43">
        <f t="shared" si="132"/>
        <v>0</v>
      </c>
      <c r="HSS43">
        <f t="shared" si="132"/>
        <v>0</v>
      </c>
      <c r="HST43">
        <f t="shared" si="132"/>
        <v>0</v>
      </c>
      <c r="HSU43">
        <f t="shared" si="132"/>
        <v>0</v>
      </c>
      <c r="HSV43">
        <f t="shared" si="132"/>
        <v>0</v>
      </c>
      <c r="HSW43">
        <f t="shared" si="132"/>
        <v>0</v>
      </c>
      <c r="HSX43">
        <f t="shared" si="132"/>
        <v>0</v>
      </c>
      <c r="HSY43">
        <f t="shared" si="132"/>
        <v>0</v>
      </c>
      <c r="HSZ43">
        <f t="shared" si="132"/>
        <v>0</v>
      </c>
      <c r="HTA43">
        <f t="shared" si="132"/>
        <v>0</v>
      </c>
      <c r="HTB43">
        <f t="shared" si="132"/>
        <v>0</v>
      </c>
      <c r="HTC43">
        <f t="shared" si="132"/>
        <v>0</v>
      </c>
      <c r="HTD43">
        <f t="shared" si="132"/>
        <v>0</v>
      </c>
      <c r="HTE43">
        <f t="shared" si="132"/>
        <v>0</v>
      </c>
      <c r="HTF43">
        <f t="shared" si="132"/>
        <v>0</v>
      </c>
      <c r="HTG43">
        <f t="shared" si="132"/>
        <v>0</v>
      </c>
      <c r="HTH43">
        <f t="shared" si="132"/>
        <v>0</v>
      </c>
      <c r="HTI43">
        <f t="shared" si="132"/>
        <v>0</v>
      </c>
      <c r="HTJ43">
        <f t="shared" si="132"/>
        <v>0</v>
      </c>
      <c r="HTK43">
        <f t="shared" si="132"/>
        <v>0</v>
      </c>
      <c r="HTL43">
        <f t="shared" si="132"/>
        <v>0</v>
      </c>
      <c r="HTM43">
        <f t="shared" si="132"/>
        <v>0</v>
      </c>
      <c r="HTN43">
        <f t="shared" si="132"/>
        <v>0</v>
      </c>
      <c r="HTO43">
        <f t="shared" si="132"/>
        <v>0</v>
      </c>
      <c r="HTP43">
        <f t="shared" si="132"/>
        <v>0</v>
      </c>
      <c r="HTQ43">
        <f t="shared" si="132"/>
        <v>0</v>
      </c>
      <c r="HTR43">
        <f t="shared" si="132"/>
        <v>0</v>
      </c>
      <c r="HTS43">
        <f t="shared" si="132"/>
        <v>0</v>
      </c>
      <c r="HTT43">
        <f t="shared" si="132"/>
        <v>0</v>
      </c>
      <c r="HTU43">
        <f t="shared" si="132"/>
        <v>0</v>
      </c>
      <c r="HTV43">
        <f t="shared" si="133"/>
        <v>0</v>
      </c>
      <c r="HTW43">
        <f t="shared" si="133"/>
        <v>0</v>
      </c>
      <c r="HTX43">
        <f t="shared" si="133"/>
        <v>0</v>
      </c>
      <c r="HTY43">
        <f t="shared" si="133"/>
        <v>0</v>
      </c>
      <c r="HTZ43">
        <f t="shared" si="133"/>
        <v>0</v>
      </c>
      <c r="HUA43">
        <f t="shared" si="133"/>
        <v>0</v>
      </c>
      <c r="HUB43">
        <f t="shared" si="133"/>
        <v>0</v>
      </c>
      <c r="HUC43">
        <f t="shared" si="133"/>
        <v>0</v>
      </c>
      <c r="HUD43">
        <f t="shared" si="133"/>
        <v>0</v>
      </c>
      <c r="HUE43">
        <f t="shared" si="133"/>
        <v>0</v>
      </c>
      <c r="HUF43">
        <f t="shared" si="133"/>
        <v>0</v>
      </c>
      <c r="HUG43">
        <f t="shared" si="133"/>
        <v>0</v>
      </c>
      <c r="HUH43">
        <f t="shared" si="133"/>
        <v>0</v>
      </c>
      <c r="HUI43">
        <f t="shared" si="133"/>
        <v>0</v>
      </c>
      <c r="HUJ43">
        <f t="shared" si="133"/>
        <v>0</v>
      </c>
      <c r="HUK43">
        <f t="shared" si="133"/>
        <v>0</v>
      </c>
      <c r="HUL43">
        <f t="shared" si="133"/>
        <v>0</v>
      </c>
      <c r="HUM43">
        <f t="shared" si="133"/>
        <v>0</v>
      </c>
      <c r="HUN43">
        <f t="shared" si="133"/>
        <v>0</v>
      </c>
      <c r="HUO43">
        <f t="shared" si="133"/>
        <v>0</v>
      </c>
      <c r="HUP43">
        <f t="shared" si="133"/>
        <v>0</v>
      </c>
      <c r="HUQ43">
        <f t="shared" si="133"/>
        <v>0</v>
      </c>
      <c r="HUR43">
        <f t="shared" si="133"/>
        <v>0</v>
      </c>
      <c r="HUS43">
        <f t="shared" si="133"/>
        <v>0</v>
      </c>
      <c r="HUT43">
        <f t="shared" si="133"/>
        <v>0</v>
      </c>
      <c r="HUU43">
        <f t="shared" si="133"/>
        <v>0</v>
      </c>
      <c r="HUV43">
        <f t="shared" si="133"/>
        <v>0</v>
      </c>
      <c r="HUW43">
        <f t="shared" si="133"/>
        <v>0</v>
      </c>
      <c r="HUX43">
        <f t="shared" si="133"/>
        <v>0</v>
      </c>
      <c r="HUY43">
        <f t="shared" si="133"/>
        <v>0</v>
      </c>
      <c r="HUZ43">
        <f t="shared" si="133"/>
        <v>0</v>
      </c>
      <c r="HVA43">
        <f t="shared" si="133"/>
        <v>0</v>
      </c>
      <c r="HVB43">
        <f t="shared" si="133"/>
        <v>0</v>
      </c>
      <c r="HVC43">
        <f t="shared" si="133"/>
        <v>0</v>
      </c>
      <c r="HVD43">
        <f t="shared" si="133"/>
        <v>0</v>
      </c>
      <c r="HVE43">
        <f t="shared" si="133"/>
        <v>0</v>
      </c>
      <c r="HVF43">
        <f t="shared" si="133"/>
        <v>0</v>
      </c>
      <c r="HVG43">
        <f t="shared" si="133"/>
        <v>0</v>
      </c>
      <c r="HVH43">
        <f t="shared" si="133"/>
        <v>0</v>
      </c>
      <c r="HVI43">
        <f t="shared" si="133"/>
        <v>0</v>
      </c>
      <c r="HVJ43">
        <f t="shared" si="133"/>
        <v>0</v>
      </c>
      <c r="HVK43">
        <f t="shared" si="133"/>
        <v>0</v>
      </c>
      <c r="HVL43">
        <f t="shared" si="133"/>
        <v>0</v>
      </c>
      <c r="HVM43">
        <f t="shared" si="133"/>
        <v>0</v>
      </c>
      <c r="HVN43">
        <f t="shared" si="133"/>
        <v>0</v>
      </c>
      <c r="HVO43">
        <f t="shared" si="133"/>
        <v>0</v>
      </c>
      <c r="HVP43">
        <f t="shared" si="133"/>
        <v>0</v>
      </c>
      <c r="HVQ43">
        <f t="shared" si="133"/>
        <v>0</v>
      </c>
      <c r="HVR43">
        <f t="shared" si="133"/>
        <v>0</v>
      </c>
      <c r="HVS43">
        <f t="shared" si="133"/>
        <v>0</v>
      </c>
      <c r="HVT43">
        <f t="shared" si="133"/>
        <v>0</v>
      </c>
      <c r="HVU43">
        <f t="shared" si="133"/>
        <v>0</v>
      </c>
      <c r="HVV43">
        <f t="shared" si="133"/>
        <v>0</v>
      </c>
      <c r="HVW43">
        <f t="shared" si="133"/>
        <v>0</v>
      </c>
      <c r="HVX43">
        <f t="shared" si="133"/>
        <v>0</v>
      </c>
      <c r="HVY43">
        <f t="shared" si="133"/>
        <v>0</v>
      </c>
      <c r="HVZ43">
        <f t="shared" si="133"/>
        <v>0</v>
      </c>
      <c r="HWA43">
        <f t="shared" si="133"/>
        <v>0</v>
      </c>
      <c r="HWB43">
        <f t="shared" si="133"/>
        <v>0</v>
      </c>
      <c r="HWC43">
        <f t="shared" si="133"/>
        <v>0</v>
      </c>
      <c r="HWD43">
        <f t="shared" si="133"/>
        <v>0</v>
      </c>
      <c r="HWE43">
        <f t="shared" si="133"/>
        <v>0</v>
      </c>
      <c r="HWF43">
        <f t="shared" si="133"/>
        <v>0</v>
      </c>
      <c r="HWG43">
        <f t="shared" si="133"/>
        <v>0</v>
      </c>
      <c r="HWH43">
        <f t="shared" si="134"/>
        <v>0</v>
      </c>
      <c r="HWI43">
        <f t="shared" si="134"/>
        <v>0</v>
      </c>
      <c r="HWJ43">
        <f t="shared" si="134"/>
        <v>0</v>
      </c>
      <c r="HWK43">
        <f t="shared" si="134"/>
        <v>0</v>
      </c>
      <c r="HWL43">
        <f t="shared" si="134"/>
        <v>0</v>
      </c>
      <c r="HWM43">
        <f t="shared" si="134"/>
        <v>0</v>
      </c>
      <c r="HWN43">
        <f t="shared" si="134"/>
        <v>0</v>
      </c>
      <c r="HWO43">
        <f t="shared" si="134"/>
        <v>0</v>
      </c>
      <c r="HWP43">
        <f t="shared" si="134"/>
        <v>0</v>
      </c>
      <c r="HWQ43">
        <f t="shared" si="134"/>
        <v>0</v>
      </c>
      <c r="HWR43">
        <f t="shared" si="134"/>
        <v>0</v>
      </c>
      <c r="HWS43">
        <f t="shared" si="134"/>
        <v>0</v>
      </c>
      <c r="HWT43">
        <f t="shared" si="134"/>
        <v>0</v>
      </c>
      <c r="HWU43">
        <f t="shared" si="134"/>
        <v>0</v>
      </c>
      <c r="HWV43">
        <f t="shared" si="134"/>
        <v>0</v>
      </c>
      <c r="HWW43">
        <f t="shared" si="134"/>
        <v>0</v>
      </c>
      <c r="HWX43">
        <f t="shared" si="134"/>
        <v>0</v>
      </c>
      <c r="HWY43">
        <f t="shared" si="134"/>
        <v>0</v>
      </c>
      <c r="HWZ43">
        <f t="shared" si="134"/>
        <v>0</v>
      </c>
      <c r="HXA43">
        <f t="shared" si="134"/>
        <v>0</v>
      </c>
      <c r="HXB43">
        <f t="shared" si="134"/>
        <v>0</v>
      </c>
      <c r="HXC43">
        <f t="shared" si="134"/>
        <v>0</v>
      </c>
      <c r="HXD43">
        <f t="shared" si="134"/>
        <v>0</v>
      </c>
      <c r="HXE43">
        <f t="shared" si="134"/>
        <v>0</v>
      </c>
      <c r="HXF43">
        <f t="shared" si="134"/>
        <v>0</v>
      </c>
      <c r="HXG43">
        <f t="shared" si="134"/>
        <v>0</v>
      </c>
      <c r="HXH43">
        <f t="shared" si="134"/>
        <v>0</v>
      </c>
      <c r="HXI43">
        <f t="shared" si="134"/>
        <v>0</v>
      </c>
      <c r="HXJ43">
        <f t="shared" si="134"/>
        <v>0</v>
      </c>
      <c r="HXK43">
        <f t="shared" si="134"/>
        <v>0</v>
      </c>
      <c r="HXL43">
        <f t="shared" si="134"/>
        <v>0</v>
      </c>
      <c r="HXM43">
        <f t="shared" si="134"/>
        <v>0</v>
      </c>
      <c r="HXN43">
        <f t="shared" si="134"/>
        <v>0</v>
      </c>
      <c r="HXO43">
        <f t="shared" si="134"/>
        <v>0</v>
      </c>
      <c r="HXP43">
        <f t="shared" si="134"/>
        <v>0</v>
      </c>
      <c r="HXQ43">
        <f t="shared" si="134"/>
        <v>0</v>
      </c>
      <c r="HXR43">
        <f t="shared" si="134"/>
        <v>0</v>
      </c>
      <c r="HXS43">
        <f t="shared" si="134"/>
        <v>0</v>
      </c>
      <c r="HXT43">
        <f t="shared" si="134"/>
        <v>0</v>
      </c>
      <c r="HXU43">
        <f t="shared" si="134"/>
        <v>0</v>
      </c>
      <c r="HXV43">
        <f t="shared" si="134"/>
        <v>0</v>
      </c>
      <c r="HXW43">
        <f t="shared" si="134"/>
        <v>0</v>
      </c>
      <c r="HXX43">
        <f t="shared" si="134"/>
        <v>0</v>
      </c>
      <c r="HXY43">
        <f t="shared" si="134"/>
        <v>0</v>
      </c>
      <c r="HXZ43">
        <f t="shared" si="134"/>
        <v>0</v>
      </c>
      <c r="HYA43">
        <f t="shared" si="134"/>
        <v>0</v>
      </c>
      <c r="HYB43">
        <f t="shared" si="134"/>
        <v>0</v>
      </c>
      <c r="HYC43">
        <f t="shared" si="134"/>
        <v>0</v>
      </c>
      <c r="HYD43">
        <f t="shared" si="134"/>
        <v>0</v>
      </c>
      <c r="HYE43">
        <f t="shared" si="134"/>
        <v>0</v>
      </c>
      <c r="HYF43">
        <f t="shared" si="134"/>
        <v>0</v>
      </c>
      <c r="HYG43">
        <f t="shared" si="134"/>
        <v>0</v>
      </c>
      <c r="HYH43">
        <f t="shared" si="134"/>
        <v>0</v>
      </c>
      <c r="HYI43">
        <f t="shared" si="134"/>
        <v>0</v>
      </c>
      <c r="HYJ43">
        <f t="shared" si="134"/>
        <v>0</v>
      </c>
      <c r="HYK43">
        <f t="shared" si="134"/>
        <v>0</v>
      </c>
      <c r="HYL43">
        <f t="shared" si="134"/>
        <v>0</v>
      </c>
      <c r="HYM43">
        <f t="shared" si="134"/>
        <v>0</v>
      </c>
      <c r="HYN43">
        <f t="shared" si="134"/>
        <v>0</v>
      </c>
      <c r="HYO43">
        <f t="shared" si="134"/>
        <v>0</v>
      </c>
      <c r="HYP43">
        <f t="shared" si="134"/>
        <v>0</v>
      </c>
      <c r="HYQ43">
        <f t="shared" si="134"/>
        <v>0</v>
      </c>
      <c r="HYR43">
        <f t="shared" si="134"/>
        <v>0</v>
      </c>
      <c r="HYS43">
        <f t="shared" si="134"/>
        <v>0</v>
      </c>
      <c r="HYT43">
        <f t="shared" si="135"/>
        <v>0</v>
      </c>
      <c r="HYU43">
        <f t="shared" si="135"/>
        <v>0</v>
      </c>
      <c r="HYV43">
        <f t="shared" si="135"/>
        <v>0</v>
      </c>
      <c r="HYW43">
        <f t="shared" si="135"/>
        <v>0</v>
      </c>
      <c r="HYX43">
        <f t="shared" si="135"/>
        <v>0</v>
      </c>
      <c r="HYY43">
        <f t="shared" si="135"/>
        <v>0</v>
      </c>
      <c r="HYZ43">
        <f t="shared" si="135"/>
        <v>0</v>
      </c>
      <c r="HZA43">
        <f t="shared" si="135"/>
        <v>0</v>
      </c>
      <c r="HZB43">
        <f t="shared" si="135"/>
        <v>0</v>
      </c>
      <c r="HZC43">
        <f t="shared" si="135"/>
        <v>0</v>
      </c>
      <c r="HZD43">
        <f t="shared" si="135"/>
        <v>0</v>
      </c>
      <c r="HZE43">
        <f t="shared" si="135"/>
        <v>0</v>
      </c>
      <c r="HZF43">
        <f t="shared" si="135"/>
        <v>0</v>
      </c>
      <c r="HZG43">
        <f t="shared" si="135"/>
        <v>0</v>
      </c>
      <c r="HZH43">
        <f t="shared" si="135"/>
        <v>0</v>
      </c>
      <c r="HZI43">
        <f t="shared" si="135"/>
        <v>0</v>
      </c>
      <c r="HZJ43">
        <f t="shared" si="135"/>
        <v>0</v>
      </c>
      <c r="HZK43">
        <f t="shared" si="135"/>
        <v>0</v>
      </c>
      <c r="HZL43">
        <f t="shared" si="135"/>
        <v>0</v>
      </c>
      <c r="HZM43">
        <f t="shared" si="135"/>
        <v>0</v>
      </c>
      <c r="HZN43">
        <f t="shared" si="135"/>
        <v>0</v>
      </c>
      <c r="HZO43">
        <f t="shared" si="135"/>
        <v>0</v>
      </c>
      <c r="HZP43">
        <f t="shared" si="135"/>
        <v>0</v>
      </c>
      <c r="HZQ43">
        <f t="shared" si="135"/>
        <v>0</v>
      </c>
      <c r="HZR43">
        <f t="shared" si="135"/>
        <v>0</v>
      </c>
      <c r="HZS43">
        <f t="shared" si="135"/>
        <v>0</v>
      </c>
      <c r="HZT43">
        <f t="shared" si="135"/>
        <v>0</v>
      </c>
      <c r="HZU43">
        <f t="shared" si="135"/>
        <v>0</v>
      </c>
      <c r="HZV43">
        <f t="shared" si="135"/>
        <v>0</v>
      </c>
      <c r="HZW43">
        <f t="shared" si="135"/>
        <v>0</v>
      </c>
      <c r="HZX43">
        <f t="shared" si="135"/>
        <v>0</v>
      </c>
      <c r="HZY43">
        <f t="shared" si="135"/>
        <v>0</v>
      </c>
      <c r="HZZ43">
        <f t="shared" si="135"/>
        <v>0</v>
      </c>
      <c r="IAA43">
        <f t="shared" si="135"/>
        <v>0</v>
      </c>
      <c r="IAB43">
        <f t="shared" si="135"/>
        <v>0</v>
      </c>
      <c r="IAC43">
        <f t="shared" si="135"/>
        <v>0</v>
      </c>
      <c r="IAD43">
        <f t="shared" si="135"/>
        <v>0</v>
      </c>
      <c r="IAE43">
        <f t="shared" si="135"/>
        <v>0</v>
      </c>
      <c r="IAF43">
        <f t="shared" si="135"/>
        <v>0</v>
      </c>
      <c r="IAG43">
        <f t="shared" si="135"/>
        <v>0</v>
      </c>
      <c r="IAH43">
        <f t="shared" si="135"/>
        <v>0</v>
      </c>
      <c r="IAI43">
        <f t="shared" si="135"/>
        <v>0</v>
      </c>
      <c r="IAJ43">
        <f t="shared" si="135"/>
        <v>0</v>
      </c>
      <c r="IAK43">
        <f t="shared" si="135"/>
        <v>0</v>
      </c>
      <c r="IAL43">
        <f t="shared" si="135"/>
        <v>0</v>
      </c>
      <c r="IAM43">
        <f t="shared" si="135"/>
        <v>0</v>
      </c>
      <c r="IAN43">
        <f t="shared" si="135"/>
        <v>0</v>
      </c>
      <c r="IAO43">
        <f t="shared" si="135"/>
        <v>0</v>
      </c>
      <c r="IAP43">
        <f t="shared" si="135"/>
        <v>0</v>
      </c>
      <c r="IAQ43">
        <f t="shared" si="135"/>
        <v>0</v>
      </c>
      <c r="IAR43">
        <f t="shared" si="135"/>
        <v>0</v>
      </c>
      <c r="IAS43">
        <f t="shared" si="135"/>
        <v>0</v>
      </c>
      <c r="IAT43">
        <f t="shared" si="135"/>
        <v>0</v>
      </c>
      <c r="IAU43">
        <f t="shared" si="135"/>
        <v>0</v>
      </c>
      <c r="IAV43">
        <f t="shared" si="135"/>
        <v>0</v>
      </c>
      <c r="IAW43">
        <f t="shared" si="135"/>
        <v>0</v>
      </c>
      <c r="IAX43">
        <f t="shared" si="135"/>
        <v>0</v>
      </c>
      <c r="IAY43">
        <f t="shared" si="135"/>
        <v>0</v>
      </c>
      <c r="IAZ43">
        <f t="shared" si="135"/>
        <v>0</v>
      </c>
      <c r="IBA43">
        <f t="shared" si="135"/>
        <v>0</v>
      </c>
      <c r="IBB43">
        <f t="shared" si="135"/>
        <v>0</v>
      </c>
      <c r="IBC43">
        <f t="shared" si="135"/>
        <v>0</v>
      </c>
      <c r="IBD43">
        <f t="shared" si="135"/>
        <v>0</v>
      </c>
      <c r="IBE43">
        <f t="shared" si="135"/>
        <v>0</v>
      </c>
      <c r="IBF43">
        <f t="shared" si="136"/>
        <v>0</v>
      </c>
      <c r="IBG43">
        <f t="shared" si="136"/>
        <v>0</v>
      </c>
      <c r="IBH43">
        <f t="shared" si="136"/>
        <v>0</v>
      </c>
      <c r="IBI43">
        <f t="shared" si="136"/>
        <v>0</v>
      </c>
      <c r="IBJ43">
        <f t="shared" si="136"/>
        <v>0</v>
      </c>
      <c r="IBK43">
        <f t="shared" si="136"/>
        <v>0</v>
      </c>
      <c r="IBL43">
        <f t="shared" si="136"/>
        <v>0</v>
      </c>
      <c r="IBM43">
        <f t="shared" si="136"/>
        <v>0</v>
      </c>
      <c r="IBN43">
        <f t="shared" si="136"/>
        <v>0</v>
      </c>
      <c r="IBO43">
        <f t="shared" si="136"/>
        <v>0</v>
      </c>
      <c r="IBP43">
        <f t="shared" si="136"/>
        <v>0</v>
      </c>
      <c r="IBQ43">
        <f t="shared" si="136"/>
        <v>0</v>
      </c>
      <c r="IBR43">
        <f t="shared" si="136"/>
        <v>0</v>
      </c>
      <c r="IBS43">
        <f t="shared" si="136"/>
        <v>0</v>
      </c>
      <c r="IBT43">
        <f t="shared" si="136"/>
        <v>0</v>
      </c>
      <c r="IBU43">
        <f t="shared" si="136"/>
        <v>0</v>
      </c>
      <c r="IBV43">
        <f t="shared" si="136"/>
        <v>0</v>
      </c>
      <c r="IBW43">
        <f t="shared" si="136"/>
        <v>0</v>
      </c>
      <c r="IBX43">
        <f t="shared" si="136"/>
        <v>0</v>
      </c>
      <c r="IBY43">
        <f t="shared" si="136"/>
        <v>0</v>
      </c>
      <c r="IBZ43">
        <f t="shared" si="136"/>
        <v>0</v>
      </c>
      <c r="ICA43">
        <f t="shared" si="136"/>
        <v>0</v>
      </c>
      <c r="ICB43">
        <f t="shared" si="136"/>
        <v>0</v>
      </c>
      <c r="ICC43">
        <f t="shared" si="136"/>
        <v>0</v>
      </c>
      <c r="ICD43">
        <f t="shared" si="136"/>
        <v>0</v>
      </c>
      <c r="ICE43">
        <f t="shared" si="136"/>
        <v>0</v>
      </c>
      <c r="ICF43">
        <f t="shared" si="136"/>
        <v>0</v>
      </c>
      <c r="ICG43">
        <f t="shared" si="136"/>
        <v>0</v>
      </c>
      <c r="ICH43">
        <f t="shared" si="136"/>
        <v>0</v>
      </c>
      <c r="ICI43">
        <f t="shared" si="136"/>
        <v>0</v>
      </c>
      <c r="ICJ43">
        <f t="shared" si="136"/>
        <v>0</v>
      </c>
      <c r="ICK43">
        <f t="shared" si="136"/>
        <v>0</v>
      </c>
      <c r="ICL43">
        <f t="shared" si="136"/>
        <v>0</v>
      </c>
      <c r="ICM43">
        <f t="shared" si="136"/>
        <v>0</v>
      </c>
      <c r="ICN43">
        <f t="shared" si="136"/>
        <v>0</v>
      </c>
      <c r="ICO43">
        <f t="shared" si="136"/>
        <v>0</v>
      </c>
      <c r="ICP43">
        <f t="shared" si="136"/>
        <v>0</v>
      </c>
      <c r="ICQ43">
        <f t="shared" si="136"/>
        <v>0</v>
      </c>
      <c r="ICR43">
        <f t="shared" si="136"/>
        <v>0</v>
      </c>
      <c r="ICS43">
        <f t="shared" si="136"/>
        <v>0</v>
      </c>
      <c r="ICT43">
        <f t="shared" si="136"/>
        <v>0</v>
      </c>
      <c r="ICU43">
        <f t="shared" si="136"/>
        <v>0</v>
      </c>
      <c r="ICV43">
        <f t="shared" si="136"/>
        <v>0</v>
      </c>
      <c r="ICW43">
        <f t="shared" si="136"/>
        <v>0</v>
      </c>
      <c r="ICX43">
        <f t="shared" si="136"/>
        <v>0</v>
      </c>
      <c r="ICY43">
        <f t="shared" si="136"/>
        <v>0</v>
      </c>
      <c r="ICZ43">
        <f t="shared" si="136"/>
        <v>0</v>
      </c>
      <c r="IDA43">
        <f t="shared" si="136"/>
        <v>0</v>
      </c>
      <c r="IDB43">
        <f t="shared" si="136"/>
        <v>0</v>
      </c>
      <c r="IDC43">
        <f t="shared" si="136"/>
        <v>0</v>
      </c>
      <c r="IDD43">
        <f t="shared" si="136"/>
        <v>0</v>
      </c>
      <c r="IDE43">
        <f t="shared" si="136"/>
        <v>0</v>
      </c>
      <c r="IDF43">
        <f t="shared" si="136"/>
        <v>0</v>
      </c>
      <c r="IDG43">
        <f t="shared" si="136"/>
        <v>0</v>
      </c>
      <c r="IDH43">
        <f t="shared" si="136"/>
        <v>0</v>
      </c>
      <c r="IDI43">
        <f t="shared" si="136"/>
        <v>0</v>
      </c>
      <c r="IDJ43">
        <f t="shared" si="136"/>
        <v>0</v>
      </c>
      <c r="IDK43">
        <f t="shared" si="136"/>
        <v>0</v>
      </c>
      <c r="IDL43">
        <f t="shared" si="136"/>
        <v>0</v>
      </c>
      <c r="IDM43">
        <f t="shared" si="136"/>
        <v>0</v>
      </c>
      <c r="IDN43">
        <f t="shared" si="136"/>
        <v>0</v>
      </c>
      <c r="IDO43">
        <f t="shared" si="136"/>
        <v>0</v>
      </c>
      <c r="IDP43">
        <f t="shared" si="136"/>
        <v>0</v>
      </c>
      <c r="IDQ43">
        <f t="shared" si="136"/>
        <v>0</v>
      </c>
      <c r="IDR43">
        <f t="shared" si="137"/>
        <v>0</v>
      </c>
      <c r="IDS43">
        <f t="shared" si="137"/>
        <v>0</v>
      </c>
      <c r="IDT43">
        <f t="shared" si="137"/>
        <v>0</v>
      </c>
      <c r="IDU43">
        <f t="shared" si="137"/>
        <v>0</v>
      </c>
      <c r="IDV43">
        <f t="shared" si="137"/>
        <v>0</v>
      </c>
      <c r="IDW43">
        <f t="shared" si="137"/>
        <v>0</v>
      </c>
      <c r="IDX43">
        <f t="shared" si="137"/>
        <v>0</v>
      </c>
      <c r="IDY43">
        <f t="shared" si="137"/>
        <v>0</v>
      </c>
      <c r="IDZ43">
        <f t="shared" si="137"/>
        <v>0</v>
      </c>
      <c r="IEA43">
        <f t="shared" si="137"/>
        <v>0</v>
      </c>
      <c r="IEB43">
        <f t="shared" si="137"/>
        <v>0</v>
      </c>
      <c r="IEC43">
        <f t="shared" si="137"/>
        <v>0</v>
      </c>
      <c r="IED43">
        <f t="shared" si="137"/>
        <v>0</v>
      </c>
      <c r="IEE43">
        <f t="shared" si="137"/>
        <v>0</v>
      </c>
      <c r="IEF43">
        <f t="shared" si="137"/>
        <v>0</v>
      </c>
      <c r="IEG43">
        <f t="shared" si="137"/>
        <v>0</v>
      </c>
      <c r="IEH43">
        <f t="shared" si="137"/>
        <v>0</v>
      </c>
      <c r="IEI43">
        <f t="shared" si="137"/>
        <v>0</v>
      </c>
      <c r="IEJ43">
        <f t="shared" si="137"/>
        <v>0</v>
      </c>
      <c r="IEK43">
        <f t="shared" si="137"/>
        <v>0</v>
      </c>
      <c r="IEL43">
        <f t="shared" si="137"/>
        <v>0</v>
      </c>
      <c r="IEM43">
        <f t="shared" si="137"/>
        <v>0</v>
      </c>
      <c r="IEN43">
        <f t="shared" si="137"/>
        <v>0</v>
      </c>
      <c r="IEO43">
        <f t="shared" si="137"/>
        <v>0</v>
      </c>
      <c r="IEP43">
        <f t="shared" si="137"/>
        <v>0</v>
      </c>
      <c r="IEQ43">
        <f t="shared" si="137"/>
        <v>0</v>
      </c>
      <c r="IER43">
        <f t="shared" si="137"/>
        <v>0</v>
      </c>
      <c r="IES43">
        <f t="shared" si="137"/>
        <v>0</v>
      </c>
      <c r="IET43">
        <f t="shared" si="137"/>
        <v>0</v>
      </c>
      <c r="IEU43">
        <f t="shared" si="137"/>
        <v>0</v>
      </c>
      <c r="IEV43">
        <f t="shared" si="137"/>
        <v>0</v>
      </c>
      <c r="IEW43">
        <f t="shared" si="137"/>
        <v>0</v>
      </c>
      <c r="IEX43">
        <f t="shared" si="137"/>
        <v>0</v>
      </c>
      <c r="IEY43">
        <f t="shared" si="137"/>
        <v>0</v>
      </c>
      <c r="IEZ43">
        <f t="shared" si="137"/>
        <v>0</v>
      </c>
      <c r="IFA43">
        <f t="shared" si="137"/>
        <v>0</v>
      </c>
      <c r="IFB43">
        <f t="shared" si="137"/>
        <v>0</v>
      </c>
      <c r="IFC43">
        <f t="shared" si="137"/>
        <v>0</v>
      </c>
      <c r="IFD43">
        <f t="shared" si="137"/>
        <v>0</v>
      </c>
      <c r="IFE43">
        <f t="shared" si="137"/>
        <v>0</v>
      </c>
      <c r="IFF43">
        <f t="shared" si="137"/>
        <v>0</v>
      </c>
      <c r="IFG43">
        <f t="shared" si="137"/>
        <v>0</v>
      </c>
      <c r="IFH43">
        <f t="shared" si="137"/>
        <v>0</v>
      </c>
      <c r="IFI43">
        <f t="shared" si="137"/>
        <v>0</v>
      </c>
      <c r="IFJ43">
        <f t="shared" si="137"/>
        <v>0</v>
      </c>
      <c r="IFK43">
        <f t="shared" si="137"/>
        <v>0</v>
      </c>
      <c r="IFL43">
        <f t="shared" si="137"/>
        <v>0</v>
      </c>
      <c r="IFM43">
        <f t="shared" si="137"/>
        <v>0</v>
      </c>
      <c r="IFN43">
        <f t="shared" si="137"/>
        <v>0</v>
      </c>
      <c r="IFO43">
        <f t="shared" si="137"/>
        <v>0</v>
      </c>
      <c r="IFP43">
        <f t="shared" si="137"/>
        <v>0</v>
      </c>
      <c r="IFQ43">
        <f t="shared" si="137"/>
        <v>0</v>
      </c>
      <c r="IFR43">
        <f t="shared" si="137"/>
        <v>0</v>
      </c>
      <c r="IFS43">
        <f t="shared" si="137"/>
        <v>0</v>
      </c>
      <c r="IFT43">
        <f t="shared" si="137"/>
        <v>0</v>
      </c>
      <c r="IFU43">
        <f t="shared" si="137"/>
        <v>0</v>
      </c>
      <c r="IFV43">
        <f t="shared" si="137"/>
        <v>0</v>
      </c>
      <c r="IFW43">
        <f t="shared" si="137"/>
        <v>0</v>
      </c>
      <c r="IFX43">
        <f t="shared" si="137"/>
        <v>0</v>
      </c>
      <c r="IFY43">
        <f t="shared" si="137"/>
        <v>0</v>
      </c>
      <c r="IFZ43">
        <f t="shared" si="137"/>
        <v>0</v>
      </c>
      <c r="IGA43">
        <f t="shared" si="137"/>
        <v>0</v>
      </c>
      <c r="IGB43">
        <f t="shared" si="137"/>
        <v>0</v>
      </c>
      <c r="IGC43">
        <f t="shared" si="137"/>
        <v>0</v>
      </c>
      <c r="IGD43">
        <f t="shared" si="138"/>
        <v>0</v>
      </c>
      <c r="IGE43">
        <f t="shared" si="138"/>
        <v>0</v>
      </c>
      <c r="IGF43">
        <f t="shared" si="138"/>
        <v>0</v>
      </c>
      <c r="IGG43">
        <f t="shared" si="138"/>
        <v>0</v>
      </c>
      <c r="IGH43">
        <f t="shared" si="138"/>
        <v>0</v>
      </c>
      <c r="IGI43">
        <f t="shared" si="138"/>
        <v>0</v>
      </c>
      <c r="IGJ43">
        <f t="shared" si="138"/>
        <v>0</v>
      </c>
      <c r="IGK43">
        <f t="shared" si="138"/>
        <v>0</v>
      </c>
      <c r="IGL43">
        <f t="shared" si="138"/>
        <v>0</v>
      </c>
      <c r="IGM43">
        <f t="shared" si="138"/>
        <v>0</v>
      </c>
      <c r="IGN43">
        <f t="shared" si="138"/>
        <v>0</v>
      </c>
      <c r="IGO43">
        <f t="shared" si="138"/>
        <v>0</v>
      </c>
      <c r="IGP43">
        <f t="shared" si="138"/>
        <v>0</v>
      </c>
      <c r="IGQ43">
        <f t="shared" si="138"/>
        <v>0</v>
      </c>
      <c r="IGR43">
        <f t="shared" si="138"/>
        <v>0</v>
      </c>
      <c r="IGS43">
        <f t="shared" si="138"/>
        <v>0</v>
      </c>
      <c r="IGT43">
        <f t="shared" si="138"/>
        <v>0</v>
      </c>
      <c r="IGU43">
        <f t="shared" si="138"/>
        <v>0</v>
      </c>
      <c r="IGV43">
        <f t="shared" si="138"/>
        <v>0</v>
      </c>
      <c r="IGW43">
        <f t="shared" si="138"/>
        <v>0</v>
      </c>
      <c r="IGX43">
        <f t="shared" si="138"/>
        <v>0</v>
      </c>
      <c r="IGY43">
        <f t="shared" si="138"/>
        <v>0</v>
      </c>
      <c r="IGZ43">
        <f t="shared" si="138"/>
        <v>0</v>
      </c>
      <c r="IHA43">
        <f t="shared" si="138"/>
        <v>0</v>
      </c>
      <c r="IHB43">
        <f t="shared" si="138"/>
        <v>0</v>
      </c>
      <c r="IHC43">
        <f t="shared" si="138"/>
        <v>0</v>
      </c>
      <c r="IHD43">
        <f t="shared" si="138"/>
        <v>0</v>
      </c>
      <c r="IHE43">
        <f t="shared" si="138"/>
        <v>0</v>
      </c>
      <c r="IHF43">
        <f t="shared" si="138"/>
        <v>0</v>
      </c>
      <c r="IHG43">
        <f t="shared" si="138"/>
        <v>0</v>
      </c>
      <c r="IHH43">
        <f t="shared" si="138"/>
        <v>0</v>
      </c>
      <c r="IHI43">
        <f t="shared" si="138"/>
        <v>0</v>
      </c>
      <c r="IHJ43">
        <f t="shared" si="138"/>
        <v>0</v>
      </c>
      <c r="IHK43">
        <f t="shared" si="138"/>
        <v>0</v>
      </c>
      <c r="IHL43">
        <f t="shared" si="138"/>
        <v>0</v>
      </c>
      <c r="IHM43">
        <f t="shared" si="138"/>
        <v>0</v>
      </c>
      <c r="IHN43">
        <f t="shared" si="138"/>
        <v>0</v>
      </c>
      <c r="IHO43">
        <f t="shared" si="138"/>
        <v>0</v>
      </c>
      <c r="IHP43">
        <f t="shared" si="138"/>
        <v>0</v>
      </c>
      <c r="IHQ43">
        <f t="shared" si="138"/>
        <v>0</v>
      </c>
      <c r="IHR43">
        <f t="shared" si="138"/>
        <v>0</v>
      </c>
      <c r="IHS43">
        <f t="shared" si="138"/>
        <v>0</v>
      </c>
      <c r="IHT43">
        <f t="shared" si="138"/>
        <v>0</v>
      </c>
      <c r="IHU43">
        <f t="shared" si="138"/>
        <v>0</v>
      </c>
      <c r="IHV43">
        <f t="shared" si="138"/>
        <v>0</v>
      </c>
      <c r="IHW43">
        <f t="shared" si="138"/>
        <v>0</v>
      </c>
      <c r="IHX43">
        <f t="shared" si="138"/>
        <v>0</v>
      </c>
      <c r="IHY43">
        <f t="shared" si="138"/>
        <v>0</v>
      </c>
      <c r="IHZ43">
        <f t="shared" si="138"/>
        <v>0</v>
      </c>
      <c r="IIA43">
        <f t="shared" si="138"/>
        <v>0</v>
      </c>
      <c r="IIB43">
        <f t="shared" si="138"/>
        <v>0</v>
      </c>
      <c r="IIC43">
        <f t="shared" si="138"/>
        <v>0</v>
      </c>
      <c r="IID43">
        <f t="shared" si="138"/>
        <v>0</v>
      </c>
      <c r="IIE43">
        <f t="shared" si="138"/>
        <v>0</v>
      </c>
      <c r="IIF43">
        <f t="shared" si="138"/>
        <v>0</v>
      </c>
      <c r="IIG43">
        <f t="shared" si="138"/>
        <v>0</v>
      </c>
      <c r="IIH43">
        <f t="shared" si="138"/>
        <v>0</v>
      </c>
      <c r="III43">
        <f t="shared" si="138"/>
        <v>0</v>
      </c>
      <c r="IIJ43">
        <f t="shared" si="138"/>
        <v>0</v>
      </c>
      <c r="IIK43">
        <f t="shared" si="138"/>
        <v>0</v>
      </c>
      <c r="IIL43">
        <f t="shared" si="138"/>
        <v>0</v>
      </c>
      <c r="IIM43">
        <f t="shared" si="138"/>
        <v>0</v>
      </c>
      <c r="IIN43">
        <f t="shared" si="138"/>
        <v>0</v>
      </c>
      <c r="IIO43">
        <f t="shared" si="138"/>
        <v>0</v>
      </c>
      <c r="IIP43">
        <f t="shared" si="139"/>
        <v>0</v>
      </c>
      <c r="IIQ43">
        <f t="shared" si="139"/>
        <v>0</v>
      </c>
      <c r="IIR43">
        <f t="shared" si="139"/>
        <v>0</v>
      </c>
      <c r="IIS43">
        <f t="shared" si="139"/>
        <v>0</v>
      </c>
      <c r="IIT43">
        <f t="shared" si="139"/>
        <v>0</v>
      </c>
      <c r="IIU43">
        <f t="shared" si="139"/>
        <v>0</v>
      </c>
      <c r="IIV43">
        <f t="shared" si="139"/>
        <v>0</v>
      </c>
      <c r="IIW43">
        <f t="shared" si="139"/>
        <v>0</v>
      </c>
      <c r="IIX43">
        <f t="shared" si="139"/>
        <v>0</v>
      </c>
      <c r="IIY43">
        <f t="shared" si="139"/>
        <v>0</v>
      </c>
      <c r="IIZ43">
        <f t="shared" si="139"/>
        <v>0</v>
      </c>
      <c r="IJA43">
        <f t="shared" si="139"/>
        <v>0</v>
      </c>
      <c r="IJB43">
        <f t="shared" si="139"/>
        <v>0</v>
      </c>
      <c r="IJC43">
        <f t="shared" si="139"/>
        <v>0</v>
      </c>
      <c r="IJD43">
        <f t="shared" si="139"/>
        <v>0</v>
      </c>
      <c r="IJE43">
        <f t="shared" si="139"/>
        <v>0</v>
      </c>
      <c r="IJF43">
        <f t="shared" si="139"/>
        <v>0</v>
      </c>
      <c r="IJG43">
        <f t="shared" si="139"/>
        <v>0</v>
      </c>
      <c r="IJH43">
        <f t="shared" si="139"/>
        <v>0</v>
      </c>
      <c r="IJI43">
        <f t="shared" si="139"/>
        <v>0</v>
      </c>
      <c r="IJJ43">
        <f t="shared" si="139"/>
        <v>0</v>
      </c>
      <c r="IJK43">
        <f t="shared" si="139"/>
        <v>0</v>
      </c>
      <c r="IJL43">
        <f t="shared" si="139"/>
        <v>0</v>
      </c>
      <c r="IJM43">
        <f t="shared" si="139"/>
        <v>0</v>
      </c>
      <c r="IJN43">
        <f t="shared" si="139"/>
        <v>0</v>
      </c>
      <c r="IJO43">
        <f t="shared" si="139"/>
        <v>0</v>
      </c>
      <c r="IJP43">
        <f t="shared" si="139"/>
        <v>0</v>
      </c>
      <c r="IJQ43">
        <f t="shared" si="139"/>
        <v>0</v>
      </c>
      <c r="IJR43">
        <f t="shared" si="139"/>
        <v>0</v>
      </c>
      <c r="IJS43">
        <f t="shared" si="139"/>
        <v>0</v>
      </c>
      <c r="IJT43">
        <f t="shared" si="139"/>
        <v>0</v>
      </c>
      <c r="IJU43">
        <f t="shared" si="139"/>
        <v>0</v>
      </c>
      <c r="IJV43">
        <f t="shared" si="139"/>
        <v>0</v>
      </c>
      <c r="IJW43">
        <f t="shared" si="139"/>
        <v>0</v>
      </c>
      <c r="IJX43">
        <f t="shared" si="139"/>
        <v>0</v>
      </c>
      <c r="IJY43">
        <f t="shared" si="139"/>
        <v>0</v>
      </c>
      <c r="IJZ43">
        <f t="shared" si="139"/>
        <v>0</v>
      </c>
      <c r="IKA43">
        <f t="shared" si="139"/>
        <v>0</v>
      </c>
      <c r="IKB43">
        <f t="shared" si="139"/>
        <v>0</v>
      </c>
      <c r="IKC43">
        <f t="shared" si="139"/>
        <v>0</v>
      </c>
      <c r="IKD43">
        <f t="shared" si="139"/>
        <v>0</v>
      </c>
      <c r="IKE43">
        <f t="shared" si="139"/>
        <v>0</v>
      </c>
      <c r="IKF43">
        <f t="shared" si="139"/>
        <v>0</v>
      </c>
      <c r="IKG43">
        <f t="shared" si="139"/>
        <v>0</v>
      </c>
      <c r="IKH43">
        <f t="shared" si="139"/>
        <v>0</v>
      </c>
      <c r="IKI43">
        <f t="shared" si="139"/>
        <v>0</v>
      </c>
      <c r="IKJ43">
        <f t="shared" si="139"/>
        <v>0</v>
      </c>
      <c r="IKK43">
        <f t="shared" si="139"/>
        <v>0</v>
      </c>
      <c r="IKL43">
        <f t="shared" si="139"/>
        <v>0</v>
      </c>
      <c r="IKM43">
        <f t="shared" si="139"/>
        <v>0</v>
      </c>
      <c r="IKN43">
        <f t="shared" si="139"/>
        <v>0</v>
      </c>
      <c r="IKO43">
        <f t="shared" si="139"/>
        <v>0</v>
      </c>
      <c r="IKP43">
        <f t="shared" si="139"/>
        <v>0</v>
      </c>
      <c r="IKQ43">
        <f t="shared" si="139"/>
        <v>0</v>
      </c>
      <c r="IKR43">
        <f t="shared" si="139"/>
        <v>0</v>
      </c>
      <c r="IKS43">
        <f t="shared" si="139"/>
        <v>0</v>
      </c>
      <c r="IKT43">
        <f t="shared" si="139"/>
        <v>0</v>
      </c>
      <c r="IKU43">
        <f t="shared" si="139"/>
        <v>0</v>
      </c>
      <c r="IKV43">
        <f t="shared" si="139"/>
        <v>0</v>
      </c>
      <c r="IKW43">
        <f t="shared" si="139"/>
        <v>0</v>
      </c>
      <c r="IKX43">
        <f t="shared" si="139"/>
        <v>0</v>
      </c>
      <c r="IKY43">
        <f t="shared" si="139"/>
        <v>0</v>
      </c>
      <c r="IKZ43">
        <f t="shared" si="139"/>
        <v>0</v>
      </c>
      <c r="ILA43">
        <f t="shared" si="139"/>
        <v>0</v>
      </c>
      <c r="ILB43">
        <f t="shared" si="140"/>
        <v>0</v>
      </c>
      <c r="ILC43">
        <f t="shared" si="140"/>
        <v>0</v>
      </c>
      <c r="ILD43">
        <f t="shared" si="140"/>
        <v>0</v>
      </c>
      <c r="ILE43">
        <f t="shared" si="140"/>
        <v>0</v>
      </c>
      <c r="ILF43">
        <f t="shared" si="140"/>
        <v>0</v>
      </c>
      <c r="ILG43">
        <f t="shared" si="140"/>
        <v>0</v>
      </c>
      <c r="ILH43">
        <f t="shared" si="140"/>
        <v>0</v>
      </c>
      <c r="ILI43">
        <f t="shared" si="140"/>
        <v>0</v>
      </c>
      <c r="ILJ43">
        <f t="shared" si="140"/>
        <v>0</v>
      </c>
      <c r="ILK43">
        <f t="shared" si="140"/>
        <v>0</v>
      </c>
      <c r="ILL43">
        <f t="shared" si="140"/>
        <v>0</v>
      </c>
      <c r="ILM43">
        <f t="shared" si="140"/>
        <v>0</v>
      </c>
      <c r="ILN43">
        <f t="shared" si="140"/>
        <v>0</v>
      </c>
      <c r="ILO43">
        <f t="shared" si="140"/>
        <v>0</v>
      </c>
      <c r="ILP43">
        <f t="shared" si="140"/>
        <v>0</v>
      </c>
      <c r="ILQ43">
        <f t="shared" si="140"/>
        <v>0</v>
      </c>
      <c r="ILR43">
        <f t="shared" si="140"/>
        <v>0</v>
      </c>
      <c r="ILS43">
        <f t="shared" si="140"/>
        <v>0</v>
      </c>
      <c r="ILT43">
        <f t="shared" si="140"/>
        <v>0</v>
      </c>
      <c r="ILU43">
        <f t="shared" si="140"/>
        <v>0</v>
      </c>
      <c r="ILV43">
        <f t="shared" si="140"/>
        <v>0</v>
      </c>
      <c r="ILW43">
        <f t="shared" si="140"/>
        <v>0</v>
      </c>
      <c r="ILX43">
        <f t="shared" si="140"/>
        <v>0</v>
      </c>
      <c r="ILY43">
        <f t="shared" si="140"/>
        <v>0</v>
      </c>
      <c r="ILZ43">
        <f t="shared" si="140"/>
        <v>0</v>
      </c>
      <c r="IMA43">
        <f t="shared" si="140"/>
        <v>0</v>
      </c>
      <c r="IMB43">
        <f t="shared" si="140"/>
        <v>0</v>
      </c>
      <c r="IMC43">
        <f t="shared" si="140"/>
        <v>0</v>
      </c>
      <c r="IMD43">
        <f t="shared" si="140"/>
        <v>0</v>
      </c>
      <c r="IME43">
        <f t="shared" si="140"/>
        <v>0</v>
      </c>
      <c r="IMF43">
        <f t="shared" si="140"/>
        <v>0</v>
      </c>
      <c r="IMG43">
        <f t="shared" si="140"/>
        <v>0</v>
      </c>
      <c r="IMH43">
        <f t="shared" si="140"/>
        <v>0</v>
      </c>
      <c r="IMI43">
        <f t="shared" si="140"/>
        <v>0</v>
      </c>
      <c r="IMJ43">
        <f t="shared" si="140"/>
        <v>0</v>
      </c>
      <c r="IMK43">
        <f t="shared" si="140"/>
        <v>0</v>
      </c>
      <c r="IML43">
        <f t="shared" si="140"/>
        <v>0</v>
      </c>
      <c r="IMM43">
        <f t="shared" si="140"/>
        <v>0</v>
      </c>
      <c r="IMN43">
        <f t="shared" si="140"/>
        <v>0</v>
      </c>
      <c r="IMO43">
        <f t="shared" si="140"/>
        <v>0</v>
      </c>
      <c r="IMP43">
        <f t="shared" si="140"/>
        <v>0</v>
      </c>
      <c r="IMQ43">
        <f t="shared" si="140"/>
        <v>0</v>
      </c>
      <c r="IMR43">
        <f t="shared" si="140"/>
        <v>0</v>
      </c>
      <c r="IMS43">
        <f t="shared" si="140"/>
        <v>0</v>
      </c>
      <c r="IMT43">
        <f t="shared" si="140"/>
        <v>0</v>
      </c>
      <c r="IMU43">
        <f t="shared" si="140"/>
        <v>0</v>
      </c>
      <c r="IMV43">
        <f t="shared" si="140"/>
        <v>0</v>
      </c>
      <c r="IMW43">
        <f t="shared" si="140"/>
        <v>0</v>
      </c>
      <c r="IMX43">
        <f t="shared" si="140"/>
        <v>0</v>
      </c>
      <c r="IMY43">
        <f t="shared" si="140"/>
        <v>0</v>
      </c>
      <c r="IMZ43">
        <f t="shared" si="140"/>
        <v>0</v>
      </c>
      <c r="INA43">
        <f t="shared" si="140"/>
        <v>0</v>
      </c>
      <c r="INB43">
        <f t="shared" si="140"/>
        <v>0</v>
      </c>
      <c r="INC43">
        <f t="shared" si="140"/>
        <v>0</v>
      </c>
      <c r="IND43">
        <f t="shared" si="140"/>
        <v>0</v>
      </c>
      <c r="INE43">
        <f t="shared" si="140"/>
        <v>0</v>
      </c>
      <c r="INF43">
        <f t="shared" si="140"/>
        <v>0</v>
      </c>
      <c r="ING43">
        <f t="shared" si="140"/>
        <v>0</v>
      </c>
      <c r="INH43">
        <f t="shared" si="140"/>
        <v>0</v>
      </c>
      <c r="INI43">
        <f t="shared" si="140"/>
        <v>0</v>
      </c>
      <c r="INJ43">
        <f t="shared" si="140"/>
        <v>0</v>
      </c>
      <c r="INK43">
        <f t="shared" si="140"/>
        <v>0</v>
      </c>
      <c r="INL43">
        <f t="shared" si="140"/>
        <v>0</v>
      </c>
      <c r="INM43">
        <f t="shared" si="140"/>
        <v>0</v>
      </c>
      <c r="INN43">
        <f t="shared" si="141"/>
        <v>0</v>
      </c>
      <c r="INO43">
        <f t="shared" si="141"/>
        <v>0</v>
      </c>
      <c r="INP43">
        <f t="shared" si="141"/>
        <v>0</v>
      </c>
      <c r="INQ43">
        <f t="shared" si="141"/>
        <v>0</v>
      </c>
      <c r="INR43">
        <f t="shared" si="141"/>
        <v>0</v>
      </c>
      <c r="INS43">
        <f t="shared" si="141"/>
        <v>0</v>
      </c>
      <c r="INT43">
        <f t="shared" si="141"/>
        <v>0</v>
      </c>
      <c r="INU43">
        <f t="shared" si="141"/>
        <v>0</v>
      </c>
      <c r="INV43">
        <f t="shared" si="141"/>
        <v>0</v>
      </c>
      <c r="INW43">
        <f t="shared" si="141"/>
        <v>0</v>
      </c>
      <c r="INX43">
        <f t="shared" si="141"/>
        <v>0</v>
      </c>
      <c r="INY43">
        <f t="shared" si="141"/>
        <v>0</v>
      </c>
      <c r="INZ43">
        <f t="shared" si="141"/>
        <v>0</v>
      </c>
      <c r="IOA43">
        <f t="shared" si="141"/>
        <v>0</v>
      </c>
      <c r="IOB43">
        <f t="shared" si="141"/>
        <v>0</v>
      </c>
      <c r="IOC43">
        <f t="shared" si="141"/>
        <v>0</v>
      </c>
      <c r="IOD43">
        <f t="shared" si="141"/>
        <v>0</v>
      </c>
      <c r="IOE43">
        <f t="shared" si="141"/>
        <v>0</v>
      </c>
      <c r="IOF43">
        <f t="shared" si="141"/>
        <v>0</v>
      </c>
      <c r="IOG43">
        <f t="shared" si="141"/>
        <v>0</v>
      </c>
      <c r="IOH43">
        <f t="shared" si="141"/>
        <v>0</v>
      </c>
      <c r="IOI43">
        <f t="shared" si="141"/>
        <v>0</v>
      </c>
      <c r="IOJ43">
        <f t="shared" si="141"/>
        <v>0</v>
      </c>
      <c r="IOK43">
        <f t="shared" si="141"/>
        <v>0</v>
      </c>
      <c r="IOL43">
        <f t="shared" si="141"/>
        <v>0</v>
      </c>
      <c r="IOM43">
        <f t="shared" si="141"/>
        <v>0</v>
      </c>
      <c r="ION43">
        <f t="shared" si="141"/>
        <v>0</v>
      </c>
      <c r="IOO43">
        <f t="shared" si="141"/>
        <v>0</v>
      </c>
      <c r="IOP43">
        <f t="shared" si="141"/>
        <v>0</v>
      </c>
      <c r="IOQ43">
        <f t="shared" si="141"/>
        <v>0</v>
      </c>
      <c r="IOR43">
        <f t="shared" si="141"/>
        <v>0</v>
      </c>
      <c r="IOS43">
        <f t="shared" si="141"/>
        <v>0</v>
      </c>
      <c r="IOT43">
        <f t="shared" si="141"/>
        <v>0</v>
      </c>
      <c r="IOU43">
        <f t="shared" si="141"/>
        <v>0</v>
      </c>
      <c r="IOV43">
        <f t="shared" si="141"/>
        <v>0</v>
      </c>
      <c r="IOW43">
        <f t="shared" si="141"/>
        <v>0</v>
      </c>
      <c r="IOX43">
        <f t="shared" si="141"/>
        <v>0</v>
      </c>
      <c r="IOY43">
        <f t="shared" si="141"/>
        <v>0</v>
      </c>
      <c r="IOZ43">
        <f t="shared" si="141"/>
        <v>0</v>
      </c>
      <c r="IPA43">
        <f t="shared" si="141"/>
        <v>0</v>
      </c>
      <c r="IPB43">
        <f t="shared" si="141"/>
        <v>0</v>
      </c>
      <c r="IPC43">
        <f t="shared" si="141"/>
        <v>0</v>
      </c>
      <c r="IPD43">
        <f t="shared" si="141"/>
        <v>0</v>
      </c>
      <c r="IPE43">
        <f t="shared" si="141"/>
        <v>0</v>
      </c>
      <c r="IPF43">
        <f t="shared" si="141"/>
        <v>0</v>
      </c>
      <c r="IPG43">
        <f t="shared" si="141"/>
        <v>0</v>
      </c>
      <c r="IPH43">
        <f t="shared" si="141"/>
        <v>0</v>
      </c>
      <c r="IPI43">
        <f t="shared" si="141"/>
        <v>0</v>
      </c>
      <c r="IPJ43">
        <f t="shared" si="141"/>
        <v>0</v>
      </c>
      <c r="IPK43">
        <f t="shared" si="141"/>
        <v>0</v>
      </c>
      <c r="IPL43">
        <f t="shared" si="141"/>
        <v>0</v>
      </c>
      <c r="IPM43">
        <f t="shared" si="141"/>
        <v>0</v>
      </c>
      <c r="IPN43">
        <f t="shared" si="141"/>
        <v>0</v>
      </c>
      <c r="IPO43">
        <f t="shared" si="141"/>
        <v>0</v>
      </c>
      <c r="IPP43">
        <f t="shared" si="141"/>
        <v>0</v>
      </c>
      <c r="IPQ43">
        <f t="shared" si="141"/>
        <v>0</v>
      </c>
      <c r="IPR43">
        <f t="shared" si="141"/>
        <v>0</v>
      </c>
      <c r="IPS43">
        <f t="shared" si="141"/>
        <v>0</v>
      </c>
      <c r="IPT43">
        <f t="shared" si="141"/>
        <v>0</v>
      </c>
      <c r="IPU43">
        <f t="shared" si="141"/>
        <v>0</v>
      </c>
      <c r="IPV43">
        <f t="shared" si="141"/>
        <v>0</v>
      </c>
      <c r="IPW43">
        <f t="shared" si="141"/>
        <v>0</v>
      </c>
      <c r="IPX43">
        <f t="shared" si="141"/>
        <v>0</v>
      </c>
      <c r="IPY43">
        <f t="shared" si="141"/>
        <v>0</v>
      </c>
      <c r="IPZ43">
        <f t="shared" si="142"/>
        <v>0</v>
      </c>
      <c r="IQA43">
        <f t="shared" si="142"/>
        <v>0</v>
      </c>
      <c r="IQB43">
        <f t="shared" si="142"/>
        <v>0</v>
      </c>
      <c r="IQC43">
        <f t="shared" si="142"/>
        <v>0</v>
      </c>
      <c r="IQD43">
        <f t="shared" si="142"/>
        <v>0</v>
      </c>
      <c r="IQE43">
        <f t="shared" si="142"/>
        <v>0</v>
      </c>
      <c r="IQF43">
        <f t="shared" si="142"/>
        <v>0</v>
      </c>
      <c r="IQG43">
        <f t="shared" si="142"/>
        <v>0</v>
      </c>
      <c r="IQH43">
        <f t="shared" si="142"/>
        <v>0</v>
      </c>
      <c r="IQI43">
        <f t="shared" si="142"/>
        <v>0</v>
      </c>
      <c r="IQJ43">
        <f t="shared" si="142"/>
        <v>0</v>
      </c>
      <c r="IQK43">
        <f t="shared" si="142"/>
        <v>0</v>
      </c>
      <c r="IQL43">
        <f t="shared" si="142"/>
        <v>0</v>
      </c>
      <c r="IQM43">
        <f t="shared" si="142"/>
        <v>0</v>
      </c>
      <c r="IQN43">
        <f t="shared" si="142"/>
        <v>0</v>
      </c>
      <c r="IQO43">
        <f t="shared" si="142"/>
        <v>0</v>
      </c>
      <c r="IQP43">
        <f t="shared" si="142"/>
        <v>0</v>
      </c>
      <c r="IQQ43">
        <f t="shared" si="142"/>
        <v>0</v>
      </c>
      <c r="IQR43">
        <f t="shared" si="142"/>
        <v>0</v>
      </c>
      <c r="IQS43">
        <f t="shared" si="142"/>
        <v>0</v>
      </c>
      <c r="IQT43">
        <f t="shared" si="142"/>
        <v>0</v>
      </c>
      <c r="IQU43">
        <f t="shared" si="142"/>
        <v>0</v>
      </c>
      <c r="IQV43">
        <f t="shared" si="142"/>
        <v>0</v>
      </c>
      <c r="IQW43">
        <f t="shared" si="142"/>
        <v>0</v>
      </c>
      <c r="IQX43">
        <f t="shared" si="142"/>
        <v>0</v>
      </c>
      <c r="IQY43">
        <f t="shared" si="142"/>
        <v>0</v>
      </c>
      <c r="IQZ43">
        <f t="shared" si="142"/>
        <v>0</v>
      </c>
      <c r="IRA43">
        <f t="shared" si="142"/>
        <v>0</v>
      </c>
      <c r="IRB43">
        <f t="shared" si="142"/>
        <v>0</v>
      </c>
      <c r="IRC43">
        <f t="shared" si="142"/>
        <v>0</v>
      </c>
      <c r="IRD43">
        <f t="shared" si="142"/>
        <v>0</v>
      </c>
      <c r="IRE43">
        <f t="shared" si="142"/>
        <v>0</v>
      </c>
      <c r="IRF43">
        <f t="shared" si="142"/>
        <v>0</v>
      </c>
      <c r="IRG43">
        <f t="shared" si="142"/>
        <v>0</v>
      </c>
      <c r="IRH43">
        <f t="shared" si="142"/>
        <v>0</v>
      </c>
      <c r="IRI43">
        <f t="shared" si="142"/>
        <v>0</v>
      </c>
      <c r="IRJ43">
        <f t="shared" si="142"/>
        <v>0</v>
      </c>
      <c r="IRK43">
        <f t="shared" si="142"/>
        <v>0</v>
      </c>
      <c r="IRL43">
        <f t="shared" si="142"/>
        <v>0</v>
      </c>
      <c r="IRM43">
        <f t="shared" si="142"/>
        <v>0</v>
      </c>
      <c r="IRN43">
        <f t="shared" si="142"/>
        <v>0</v>
      </c>
      <c r="IRO43">
        <f t="shared" si="142"/>
        <v>0</v>
      </c>
      <c r="IRP43">
        <f t="shared" si="142"/>
        <v>0</v>
      </c>
      <c r="IRQ43">
        <f t="shared" si="142"/>
        <v>0</v>
      </c>
      <c r="IRR43">
        <f t="shared" si="142"/>
        <v>0</v>
      </c>
      <c r="IRS43">
        <f t="shared" si="142"/>
        <v>0</v>
      </c>
      <c r="IRT43">
        <f t="shared" si="142"/>
        <v>0</v>
      </c>
      <c r="IRU43">
        <f t="shared" si="142"/>
        <v>0</v>
      </c>
      <c r="IRV43">
        <f t="shared" si="142"/>
        <v>0</v>
      </c>
      <c r="IRW43">
        <f t="shared" si="142"/>
        <v>0</v>
      </c>
      <c r="IRX43">
        <f t="shared" si="142"/>
        <v>0</v>
      </c>
      <c r="IRY43">
        <f t="shared" si="142"/>
        <v>0</v>
      </c>
      <c r="IRZ43">
        <f t="shared" si="142"/>
        <v>0</v>
      </c>
      <c r="ISA43">
        <f t="shared" si="142"/>
        <v>0</v>
      </c>
      <c r="ISB43">
        <f t="shared" si="142"/>
        <v>0</v>
      </c>
      <c r="ISC43">
        <f t="shared" si="142"/>
        <v>0</v>
      </c>
      <c r="ISD43">
        <f t="shared" si="142"/>
        <v>0</v>
      </c>
      <c r="ISE43">
        <f t="shared" si="142"/>
        <v>0</v>
      </c>
      <c r="ISF43">
        <f t="shared" si="142"/>
        <v>0</v>
      </c>
      <c r="ISG43">
        <f t="shared" si="142"/>
        <v>0</v>
      </c>
      <c r="ISH43">
        <f t="shared" si="142"/>
        <v>0</v>
      </c>
      <c r="ISI43">
        <f t="shared" si="142"/>
        <v>0</v>
      </c>
      <c r="ISJ43">
        <f t="shared" si="142"/>
        <v>0</v>
      </c>
      <c r="ISK43">
        <f t="shared" si="142"/>
        <v>0</v>
      </c>
      <c r="ISL43">
        <f t="shared" si="143"/>
        <v>0</v>
      </c>
      <c r="ISM43">
        <f t="shared" si="143"/>
        <v>0</v>
      </c>
      <c r="ISN43">
        <f t="shared" si="143"/>
        <v>0</v>
      </c>
      <c r="ISO43">
        <f t="shared" si="143"/>
        <v>0</v>
      </c>
      <c r="ISP43">
        <f t="shared" si="143"/>
        <v>0</v>
      </c>
      <c r="ISQ43">
        <f t="shared" si="143"/>
        <v>0</v>
      </c>
      <c r="ISR43">
        <f t="shared" si="143"/>
        <v>0</v>
      </c>
      <c r="ISS43">
        <f t="shared" si="143"/>
        <v>0</v>
      </c>
      <c r="IST43">
        <f t="shared" si="143"/>
        <v>0</v>
      </c>
      <c r="ISU43">
        <f t="shared" si="143"/>
        <v>0</v>
      </c>
      <c r="ISV43">
        <f t="shared" si="143"/>
        <v>0</v>
      </c>
      <c r="ISW43">
        <f t="shared" si="143"/>
        <v>0</v>
      </c>
      <c r="ISX43">
        <f t="shared" si="143"/>
        <v>0</v>
      </c>
      <c r="ISY43">
        <f t="shared" si="143"/>
        <v>0</v>
      </c>
      <c r="ISZ43">
        <f t="shared" si="143"/>
        <v>0</v>
      </c>
      <c r="ITA43">
        <f t="shared" si="143"/>
        <v>0</v>
      </c>
      <c r="ITB43">
        <f t="shared" si="143"/>
        <v>0</v>
      </c>
      <c r="ITC43">
        <f t="shared" si="143"/>
        <v>0</v>
      </c>
      <c r="ITD43">
        <f t="shared" si="143"/>
        <v>0</v>
      </c>
      <c r="ITE43">
        <f t="shared" si="143"/>
        <v>0</v>
      </c>
      <c r="ITF43">
        <f t="shared" si="143"/>
        <v>0</v>
      </c>
      <c r="ITG43">
        <f t="shared" si="143"/>
        <v>0</v>
      </c>
      <c r="ITH43">
        <f t="shared" si="143"/>
        <v>0</v>
      </c>
      <c r="ITI43">
        <f t="shared" si="143"/>
        <v>0</v>
      </c>
      <c r="ITJ43">
        <f t="shared" si="143"/>
        <v>0</v>
      </c>
      <c r="ITK43">
        <f t="shared" si="143"/>
        <v>0</v>
      </c>
      <c r="ITL43">
        <f t="shared" si="143"/>
        <v>0</v>
      </c>
      <c r="ITM43">
        <f t="shared" si="143"/>
        <v>0</v>
      </c>
      <c r="ITN43">
        <f t="shared" si="143"/>
        <v>0</v>
      </c>
      <c r="ITO43">
        <f t="shared" si="143"/>
        <v>0</v>
      </c>
      <c r="ITP43">
        <f t="shared" si="143"/>
        <v>0</v>
      </c>
      <c r="ITQ43">
        <f t="shared" si="143"/>
        <v>0</v>
      </c>
      <c r="ITR43">
        <f t="shared" si="143"/>
        <v>0</v>
      </c>
      <c r="ITS43">
        <f t="shared" si="143"/>
        <v>0</v>
      </c>
      <c r="ITT43">
        <f t="shared" si="143"/>
        <v>0</v>
      </c>
      <c r="ITU43">
        <f t="shared" si="143"/>
        <v>0</v>
      </c>
      <c r="ITV43">
        <f t="shared" si="143"/>
        <v>0</v>
      </c>
      <c r="ITW43">
        <f t="shared" si="143"/>
        <v>0</v>
      </c>
      <c r="ITX43">
        <f t="shared" si="143"/>
        <v>0</v>
      </c>
      <c r="ITY43">
        <f t="shared" si="143"/>
        <v>0</v>
      </c>
      <c r="ITZ43">
        <f t="shared" si="143"/>
        <v>0</v>
      </c>
      <c r="IUA43">
        <f t="shared" si="143"/>
        <v>0</v>
      </c>
      <c r="IUB43">
        <f t="shared" si="143"/>
        <v>0</v>
      </c>
      <c r="IUC43">
        <f t="shared" si="143"/>
        <v>0</v>
      </c>
      <c r="IUD43">
        <f t="shared" si="143"/>
        <v>0</v>
      </c>
      <c r="IUE43">
        <f t="shared" si="143"/>
        <v>0</v>
      </c>
      <c r="IUF43">
        <f t="shared" si="143"/>
        <v>0</v>
      </c>
      <c r="IUG43">
        <f t="shared" si="143"/>
        <v>0</v>
      </c>
      <c r="IUH43">
        <f t="shared" si="143"/>
        <v>0</v>
      </c>
      <c r="IUI43">
        <f t="shared" si="143"/>
        <v>0</v>
      </c>
      <c r="IUJ43">
        <f t="shared" si="143"/>
        <v>0</v>
      </c>
      <c r="IUK43">
        <f t="shared" si="143"/>
        <v>0</v>
      </c>
      <c r="IUL43">
        <f t="shared" si="143"/>
        <v>0</v>
      </c>
      <c r="IUM43">
        <f t="shared" si="143"/>
        <v>0</v>
      </c>
      <c r="IUN43">
        <f t="shared" si="143"/>
        <v>0</v>
      </c>
      <c r="IUO43">
        <f t="shared" si="143"/>
        <v>0</v>
      </c>
      <c r="IUP43">
        <f t="shared" si="143"/>
        <v>0</v>
      </c>
      <c r="IUQ43">
        <f t="shared" si="143"/>
        <v>0</v>
      </c>
      <c r="IUR43">
        <f t="shared" si="143"/>
        <v>0</v>
      </c>
      <c r="IUS43">
        <f t="shared" si="143"/>
        <v>0</v>
      </c>
      <c r="IUT43">
        <f t="shared" si="143"/>
        <v>0</v>
      </c>
      <c r="IUU43">
        <f t="shared" si="143"/>
        <v>0</v>
      </c>
      <c r="IUV43">
        <f t="shared" si="143"/>
        <v>0</v>
      </c>
      <c r="IUW43">
        <f t="shared" si="143"/>
        <v>0</v>
      </c>
      <c r="IUX43">
        <f t="shared" si="144"/>
        <v>0</v>
      </c>
      <c r="IUY43">
        <f t="shared" si="144"/>
        <v>0</v>
      </c>
      <c r="IUZ43">
        <f t="shared" si="144"/>
        <v>0</v>
      </c>
      <c r="IVA43">
        <f t="shared" si="144"/>
        <v>0</v>
      </c>
      <c r="IVB43">
        <f t="shared" si="144"/>
        <v>0</v>
      </c>
      <c r="IVC43">
        <f t="shared" si="144"/>
        <v>0</v>
      </c>
      <c r="IVD43">
        <f t="shared" si="144"/>
        <v>0</v>
      </c>
      <c r="IVE43">
        <f t="shared" si="144"/>
        <v>0</v>
      </c>
      <c r="IVF43">
        <f t="shared" si="144"/>
        <v>0</v>
      </c>
      <c r="IVG43">
        <f t="shared" si="144"/>
        <v>0</v>
      </c>
      <c r="IVH43">
        <f t="shared" si="144"/>
        <v>0</v>
      </c>
      <c r="IVI43">
        <f t="shared" si="144"/>
        <v>0</v>
      </c>
      <c r="IVJ43">
        <f t="shared" si="144"/>
        <v>0</v>
      </c>
      <c r="IVK43">
        <f t="shared" si="144"/>
        <v>0</v>
      </c>
      <c r="IVL43">
        <f t="shared" si="144"/>
        <v>0</v>
      </c>
      <c r="IVM43">
        <f t="shared" si="144"/>
        <v>0</v>
      </c>
      <c r="IVN43">
        <f t="shared" si="144"/>
        <v>0</v>
      </c>
      <c r="IVO43">
        <f t="shared" si="144"/>
        <v>0</v>
      </c>
      <c r="IVP43">
        <f t="shared" si="144"/>
        <v>0</v>
      </c>
      <c r="IVQ43">
        <f t="shared" si="144"/>
        <v>0</v>
      </c>
      <c r="IVR43">
        <f t="shared" si="144"/>
        <v>0</v>
      </c>
      <c r="IVS43">
        <f t="shared" si="144"/>
        <v>0</v>
      </c>
      <c r="IVT43">
        <f t="shared" si="144"/>
        <v>0</v>
      </c>
      <c r="IVU43">
        <f t="shared" si="144"/>
        <v>0</v>
      </c>
      <c r="IVV43">
        <f t="shared" si="144"/>
        <v>0</v>
      </c>
      <c r="IVW43">
        <f t="shared" si="144"/>
        <v>0</v>
      </c>
      <c r="IVX43">
        <f t="shared" si="144"/>
        <v>0</v>
      </c>
      <c r="IVY43">
        <f t="shared" si="144"/>
        <v>0</v>
      </c>
      <c r="IVZ43">
        <f t="shared" si="144"/>
        <v>0</v>
      </c>
      <c r="IWA43">
        <f t="shared" si="144"/>
        <v>0</v>
      </c>
      <c r="IWB43">
        <f t="shared" si="144"/>
        <v>0</v>
      </c>
      <c r="IWC43">
        <f t="shared" si="144"/>
        <v>0</v>
      </c>
      <c r="IWD43">
        <f t="shared" si="144"/>
        <v>0</v>
      </c>
      <c r="IWE43">
        <f t="shared" si="144"/>
        <v>0</v>
      </c>
      <c r="IWF43">
        <f t="shared" si="144"/>
        <v>0</v>
      </c>
      <c r="IWG43">
        <f t="shared" si="144"/>
        <v>0</v>
      </c>
      <c r="IWH43">
        <f t="shared" si="144"/>
        <v>0</v>
      </c>
      <c r="IWI43">
        <f t="shared" si="144"/>
        <v>0</v>
      </c>
      <c r="IWJ43">
        <f t="shared" si="144"/>
        <v>0</v>
      </c>
      <c r="IWK43">
        <f t="shared" si="144"/>
        <v>0</v>
      </c>
      <c r="IWL43">
        <f t="shared" si="144"/>
        <v>0</v>
      </c>
      <c r="IWM43">
        <f t="shared" si="144"/>
        <v>0</v>
      </c>
      <c r="IWN43">
        <f t="shared" si="144"/>
        <v>0</v>
      </c>
      <c r="IWO43">
        <f t="shared" si="144"/>
        <v>0</v>
      </c>
      <c r="IWP43">
        <f t="shared" si="144"/>
        <v>0</v>
      </c>
      <c r="IWQ43">
        <f t="shared" si="144"/>
        <v>0</v>
      </c>
      <c r="IWR43">
        <f t="shared" si="144"/>
        <v>0</v>
      </c>
      <c r="IWS43">
        <f t="shared" si="144"/>
        <v>0</v>
      </c>
      <c r="IWT43">
        <f t="shared" si="144"/>
        <v>0</v>
      </c>
      <c r="IWU43">
        <f t="shared" si="144"/>
        <v>0</v>
      </c>
      <c r="IWV43">
        <f t="shared" si="144"/>
        <v>0</v>
      </c>
      <c r="IWW43">
        <f t="shared" si="144"/>
        <v>0</v>
      </c>
      <c r="IWX43">
        <f t="shared" si="144"/>
        <v>0</v>
      </c>
      <c r="IWY43">
        <f t="shared" si="144"/>
        <v>0</v>
      </c>
      <c r="IWZ43">
        <f t="shared" si="144"/>
        <v>0</v>
      </c>
      <c r="IXA43">
        <f t="shared" si="144"/>
        <v>0</v>
      </c>
      <c r="IXB43">
        <f t="shared" si="144"/>
        <v>0</v>
      </c>
      <c r="IXC43">
        <f t="shared" si="144"/>
        <v>0</v>
      </c>
      <c r="IXD43">
        <f t="shared" si="144"/>
        <v>0</v>
      </c>
      <c r="IXE43">
        <f t="shared" si="144"/>
        <v>0</v>
      </c>
      <c r="IXF43">
        <f t="shared" si="144"/>
        <v>0</v>
      </c>
      <c r="IXG43">
        <f t="shared" si="144"/>
        <v>0</v>
      </c>
      <c r="IXH43">
        <f t="shared" si="144"/>
        <v>0</v>
      </c>
      <c r="IXI43">
        <f t="shared" si="144"/>
        <v>0</v>
      </c>
      <c r="IXJ43">
        <f t="shared" si="145"/>
        <v>0</v>
      </c>
      <c r="IXK43">
        <f t="shared" si="145"/>
        <v>0</v>
      </c>
      <c r="IXL43">
        <f t="shared" si="145"/>
        <v>0</v>
      </c>
      <c r="IXM43">
        <f t="shared" si="145"/>
        <v>0</v>
      </c>
      <c r="IXN43">
        <f t="shared" si="145"/>
        <v>0</v>
      </c>
      <c r="IXO43">
        <f t="shared" si="145"/>
        <v>0</v>
      </c>
      <c r="IXP43">
        <f t="shared" si="145"/>
        <v>0</v>
      </c>
      <c r="IXQ43">
        <f t="shared" si="145"/>
        <v>0</v>
      </c>
      <c r="IXR43">
        <f t="shared" si="145"/>
        <v>0</v>
      </c>
      <c r="IXS43">
        <f t="shared" si="145"/>
        <v>0</v>
      </c>
      <c r="IXT43">
        <f t="shared" si="145"/>
        <v>0</v>
      </c>
      <c r="IXU43">
        <f t="shared" si="145"/>
        <v>0</v>
      </c>
      <c r="IXV43">
        <f t="shared" si="145"/>
        <v>0</v>
      </c>
      <c r="IXW43">
        <f t="shared" si="145"/>
        <v>0</v>
      </c>
      <c r="IXX43">
        <f t="shared" si="145"/>
        <v>0</v>
      </c>
      <c r="IXY43">
        <f t="shared" si="145"/>
        <v>0</v>
      </c>
      <c r="IXZ43">
        <f t="shared" si="145"/>
        <v>0</v>
      </c>
      <c r="IYA43">
        <f t="shared" si="145"/>
        <v>0</v>
      </c>
      <c r="IYB43">
        <f t="shared" si="145"/>
        <v>0</v>
      </c>
      <c r="IYC43">
        <f t="shared" si="145"/>
        <v>0</v>
      </c>
      <c r="IYD43">
        <f t="shared" si="145"/>
        <v>0</v>
      </c>
      <c r="IYE43">
        <f t="shared" si="145"/>
        <v>0</v>
      </c>
      <c r="IYF43">
        <f t="shared" si="145"/>
        <v>0</v>
      </c>
      <c r="IYG43">
        <f t="shared" si="145"/>
        <v>0</v>
      </c>
      <c r="IYH43">
        <f t="shared" si="145"/>
        <v>0</v>
      </c>
      <c r="IYI43">
        <f t="shared" si="145"/>
        <v>0</v>
      </c>
      <c r="IYJ43">
        <f t="shared" si="145"/>
        <v>0</v>
      </c>
      <c r="IYK43">
        <f t="shared" si="145"/>
        <v>0</v>
      </c>
      <c r="IYL43">
        <f t="shared" si="145"/>
        <v>0</v>
      </c>
      <c r="IYM43">
        <f t="shared" si="145"/>
        <v>0</v>
      </c>
      <c r="IYN43">
        <f t="shared" si="145"/>
        <v>0</v>
      </c>
      <c r="IYO43">
        <f t="shared" si="145"/>
        <v>0</v>
      </c>
      <c r="IYP43">
        <f t="shared" si="145"/>
        <v>0</v>
      </c>
      <c r="IYQ43">
        <f t="shared" si="145"/>
        <v>0</v>
      </c>
      <c r="IYR43">
        <f t="shared" si="145"/>
        <v>0</v>
      </c>
      <c r="IYS43">
        <f t="shared" si="145"/>
        <v>0</v>
      </c>
      <c r="IYT43">
        <f t="shared" si="145"/>
        <v>0</v>
      </c>
      <c r="IYU43">
        <f t="shared" si="145"/>
        <v>0</v>
      </c>
      <c r="IYV43">
        <f t="shared" si="145"/>
        <v>0</v>
      </c>
      <c r="IYW43">
        <f t="shared" si="145"/>
        <v>0</v>
      </c>
      <c r="IYX43">
        <f t="shared" si="145"/>
        <v>0</v>
      </c>
      <c r="IYY43">
        <f t="shared" si="145"/>
        <v>0</v>
      </c>
      <c r="IYZ43">
        <f t="shared" si="145"/>
        <v>0</v>
      </c>
      <c r="IZA43">
        <f t="shared" si="145"/>
        <v>0</v>
      </c>
      <c r="IZB43">
        <f t="shared" si="145"/>
        <v>0</v>
      </c>
      <c r="IZC43">
        <f t="shared" si="145"/>
        <v>0</v>
      </c>
      <c r="IZD43">
        <f t="shared" si="145"/>
        <v>0</v>
      </c>
      <c r="IZE43">
        <f t="shared" si="145"/>
        <v>0</v>
      </c>
      <c r="IZF43">
        <f t="shared" si="145"/>
        <v>0</v>
      </c>
      <c r="IZG43">
        <f t="shared" si="145"/>
        <v>0</v>
      </c>
      <c r="IZH43">
        <f t="shared" si="145"/>
        <v>0</v>
      </c>
      <c r="IZI43">
        <f t="shared" si="145"/>
        <v>0</v>
      </c>
      <c r="IZJ43">
        <f t="shared" si="145"/>
        <v>0</v>
      </c>
      <c r="IZK43">
        <f t="shared" si="145"/>
        <v>0</v>
      </c>
      <c r="IZL43">
        <f t="shared" si="145"/>
        <v>0</v>
      </c>
      <c r="IZM43">
        <f t="shared" si="145"/>
        <v>0</v>
      </c>
      <c r="IZN43">
        <f t="shared" si="145"/>
        <v>0</v>
      </c>
      <c r="IZO43">
        <f t="shared" si="145"/>
        <v>0</v>
      </c>
      <c r="IZP43">
        <f t="shared" si="145"/>
        <v>0</v>
      </c>
      <c r="IZQ43">
        <f t="shared" si="145"/>
        <v>0</v>
      </c>
      <c r="IZR43">
        <f t="shared" si="145"/>
        <v>0</v>
      </c>
      <c r="IZS43">
        <f t="shared" si="145"/>
        <v>0</v>
      </c>
      <c r="IZT43">
        <f t="shared" si="145"/>
        <v>0</v>
      </c>
      <c r="IZU43">
        <f t="shared" si="145"/>
        <v>0</v>
      </c>
      <c r="IZV43">
        <f t="shared" si="146"/>
        <v>0</v>
      </c>
      <c r="IZW43">
        <f t="shared" si="146"/>
        <v>0</v>
      </c>
      <c r="IZX43">
        <f t="shared" si="146"/>
        <v>0</v>
      </c>
      <c r="IZY43">
        <f t="shared" si="146"/>
        <v>0</v>
      </c>
      <c r="IZZ43">
        <f t="shared" si="146"/>
        <v>0</v>
      </c>
      <c r="JAA43">
        <f t="shared" si="146"/>
        <v>0</v>
      </c>
      <c r="JAB43">
        <f t="shared" si="146"/>
        <v>0</v>
      </c>
      <c r="JAC43">
        <f t="shared" si="146"/>
        <v>0</v>
      </c>
      <c r="JAD43">
        <f t="shared" si="146"/>
        <v>0</v>
      </c>
      <c r="JAE43">
        <f t="shared" si="146"/>
        <v>0</v>
      </c>
      <c r="JAF43">
        <f t="shared" si="146"/>
        <v>0</v>
      </c>
      <c r="JAG43">
        <f t="shared" si="146"/>
        <v>0</v>
      </c>
      <c r="JAH43">
        <f t="shared" si="146"/>
        <v>0</v>
      </c>
      <c r="JAI43">
        <f t="shared" si="146"/>
        <v>0</v>
      </c>
      <c r="JAJ43">
        <f t="shared" si="146"/>
        <v>0</v>
      </c>
      <c r="JAK43">
        <f t="shared" si="146"/>
        <v>0</v>
      </c>
      <c r="JAL43">
        <f t="shared" si="146"/>
        <v>0</v>
      </c>
      <c r="JAM43">
        <f t="shared" si="146"/>
        <v>0</v>
      </c>
      <c r="JAN43">
        <f t="shared" si="146"/>
        <v>0</v>
      </c>
      <c r="JAO43">
        <f t="shared" si="146"/>
        <v>0</v>
      </c>
      <c r="JAP43">
        <f t="shared" si="146"/>
        <v>0</v>
      </c>
      <c r="JAQ43">
        <f t="shared" si="146"/>
        <v>0</v>
      </c>
      <c r="JAR43">
        <f t="shared" si="146"/>
        <v>0</v>
      </c>
      <c r="JAS43">
        <f t="shared" si="146"/>
        <v>0</v>
      </c>
      <c r="JAT43">
        <f t="shared" si="146"/>
        <v>0</v>
      </c>
      <c r="JAU43">
        <f t="shared" si="146"/>
        <v>0</v>
      </c>
      <c r="JAV43">
        <f t="shared" si="146"/>
        <v>0</v>
      </c>
      <c r="JAW43">
        <f t="shared" si="146"/>
        <v>0</v>
      </c>
      <c r="JAX43">
        <f t="shared" si="146"/>
        <v>0</v>
      </c>
      <c r="JAY43">
        <f t="shared" si="146"/>
        <v>0</v>
      </c>
      <c r="JAZ43">
        <f t="shared" si="146"/>
        <v>0</v>
      </c>
      <c r="JBA43">
        <f t="shared" si="146"/>
        <v>0</v>
      </c>
      <c r="JBB43">
        <f t="shared" si="146"/>
        <v>0</v>
      </c>
      <c r="JBC43">
        <f t="shared" si="146"/>
        <v>0</v>
      </c>
      <c r="JBD43">
        <f t="shared" si="146"/>
        <v>0</v>
      </c>
      <c r="JBE43">
        <f t="shared" si="146"/>
        <v>0</v>
      </c>
      <c r="JBF43">
        <f t="shared" si="146"/>
        <v>0</v>
      </c>
      <c r="JBG43">
        <f t="shared" si="146"/>
        <v>0</v>
      </c>
      <c r="JBH43">
        <f t="shared" si="146"/>
        <v>0</v>
      </c>
      <c r="JBI43">
        <f t="shared" si="146"/>
        <v>0</v>
      </c>
      <c r="JBJ43">
        <f t="shared" si="146"/>
        <v>0</v>
      </c>
      <c r="JBK43">
        <f t="shared" si="146"/>
        <v>0</v>
      </c>
      <c r="JBL43">
        <f t="shared" si="146"/>
        <v>0</v>
      </c>
      <c r="JBM43">
        <f t="shared" si="146"/>
        <v>0</v>
      </c>
      <c r="JBN43">
        <f t="shared" si="146"/>
        <v>0</v>
      </c>
      <c r="JBO43">
        <f t="shared" si="146"/>
        <v>0</v>
      </c>
      <c r="JBP43">
        <f t="shared" si="146"/>
        <v>0</v>
      </c>
      <c r="JBQ43">
        <f t="shared" si="146"/>
        <v>0</v>
      </c>
      <c r="JBR43">
        <f t="shared" si="146"/>
        <v>0</v>
      </c>
      <c r="JBS43">
        <f t="shared" si="146"/>
        <v>0</v>
      </c>
      <c r="JBT43">
        <f t="shared" si="146"/>
        <v>0</v>
      </c>
      <c r="JBU43">
        <f t="shared" si="146"/>
        <v>0</v>
      </c>
      <c r="JBV43">
        <f t="shared" si="146"/>
        <v>0</v>
      </c>
      <c r="JBW43">
        <f t="shared" si="146"/>
        <v>0</v>
      </c>
      <c r="JBX43">
        <f t="shared" si="146"/>
        <v>0</v>
      </c>
      <c r="JBY43">
        <f t="shared" si="146"/>
        <v>0</v>
      </c>
      <c r="JBZ43">
        <f t="shared" si="146"/>
        <v>0</v>
      </c>
      <c r="JCA43">
        <f t="shared" si="146"/>
        <v>0</v>
      </c>
      <c r="JCB43">
        <f t="shared" si="146"/>
        <v>0</v>
      </c>
      <c r="JCC43">
        <f t="shared" si="146"/>
        <v>0</v>
      </c>
      <c r="JCD43">
        <f t="shared" si="146"/>
        <v>0</v>
      </c>
      <c r="JCE43">
        <f t="shared" si="146"/>
        <v>0</v>
      </c>
      <c r="JCF43">
        <f t="shared" si="146"/>
        <v>0</v>
      </c>
      <c r="JCG43">
        <f t="shared" si="146"/>
        <v>0</v>
      </c>
      <c r="JCH43">
        <f t="shared" si="147"/>
        <v>0</v>
      </c>
      <c r="JCI43">
        <f t="shared" si="147"/>
        <v>0</v>
      </c>
      <c r="JCJ43">
        <f t="shared" si="147"/>
        <v>0</v>
      </c>
      <c r="JCK43">
        <f t="shared" si="147"/>
        <v>0</v>
      </c>
      <c r="JCL43">
        <f t="shared" si="147"/>
        <v>0</v>
      </c>
      <c r="JCM43">
        <f t="shared" si="147"/>
        <v>0</v>
      </c>
      <c r="JCN43">
        <f t="shared" si="147"/>
        <v>0</v>
      </c>
      <c r="JCO43">
        <f t="shared" si="147"/>
        <v>0</v>
      </c>
      <c r="JCP43">
        <f t="shared" si="147"/>
        <v>0</v>
      </c>
      <c r="JCQ43">
        <f t="shared" si="147"/>
        <v>0</v>
      </c>
      <c r="JCR43">
        <f t="shared" si="147"/>
        <v>0</v>
      </c>
      <c r="JCS43">
        <f t="shared" si="147"/>
        <v>0</v>
      </c>
      <c r="JCT43">
        <f t="shared" si="147"/>
        <v>0</v>
      </c>
      <c r="JCU43">
        <f t="shared" si="147"/>
        <v>0</v>
      </c>
      <c r="JCV43">
        <f t="shared" si="147"/>
        <v>0</v>
      </c>
      <c r="JCW43">
        <f t="shared" si="147"/>
        <v>0</v>
      </c>
      <c r="JCX43">
        <f t="shared" si="147"/>
        <v>0</v>
      </c>
      <c r="JCY43">
        <f t="shared" si="147"/>
        <v>0</v>
      </c>
      <c r="JCZ43">
        <f t="shared" si="147"/>
        <v>0</v>
      </c>
      <c r="JDA43">
        <f t="shared" si="147"/>
        <v>0</v>
      </c>
      <c r="JDB43">
        <f t="shared" si="147"/>
        <v>0</v>
      </c>
      <c r="JDC43">
        <f t="shared" si="147"/>
        <v>0</v>
      </c>
      <c r="JDD43">
        <f t="shared" si="147"/>
        <v>0</v>
      </c>
      <c r="JDE43">
        <f t="shared" si="147"/>
        <v>0</v>
      </c>
      <c r="JDF43">
        <f t="shared" si="147"/>
        <v>0</v>
      </c>
      <c r="JDG43">
        <f t="shared" si="147"/>
        <v>0</v>
      </c>
      <c r="JDH43">
        <f t="shared" si="147"/>
        <v>0</v>
      </c>
      <c r="JDI43">
        <f t="shared" si="147"/>
        <v>0</v>
      </c>
      <c r="JDJ43">
        <f t="shared" si="147"/>
        <v>0</v>
      </c>
      <c r="JDK43">
        <f t="shared" si="147"/>
        <v>0</v>
      </c>
      <c r="JDL43">
        <f t="shared" si="147"/>
        <v>0</v>
      </c>
      <c r="JDM43">
        <f t="shared" si="147"/>
        <v>0</v>
      </c>
      <c r="JDN43">
        <f t="shared" si="147"/>
        <v>0</v>
      </c>
      <c r="JDO43">
        <f t="shared" si="147"/>
        <v>0</v>
      </c>
      <c r="JDP43">
        <f t="shared" si="147"/>
        <v>0</v>
      </c>
      <c r="JDQ43">
        <f t="shared" si="147"/>
        <v>0</v>
      </c>
      <c r="JDR43">
        <f t="shared" si="147"/>
        <v>0</v>
      </c>
      <c r="JDS43">
        <f t="shared" si="147"/>
        <v>0</v>
      </c>
      <c r="JDT43">
        <f t="shared" si="147"/>
        <v>0</v>
      </c>
      <c r="JDU43">
        <f t="shared" si="147"/>
        <v>0</v>
      </c>
      <c r="JDV43">
        <f t="shared" si="147"/>
        <v>0</v>
      </c>
      <c r="JDW43">
        <f t="shared" si="147"/>
        <v>0</v>
      </c>
      <c r="JDX43">
        <f t="shared" si="147"/>
        <v>0</v>
      </c>
      <c r="JDY43">
        <f t="shared" si="147"/>
        <v>0</v>
      </c>
      <c r="JDZ43">
        <f t="shared" si="147"/>
        <v>0</v>
      </c>
      <c r="JEA43">
        <f t="shared" si="147"/>
        <v>0</v>
      </c>
      <c r="JEB43">
        <f t="shared" si="147"/>
        <v>0</v>
      </c>
      <c r="JEC43">
        <f t="shared" si="147"/>
        <v>0</v>
      </c>
      <c r="JED43">
        <f t="shared" si="147"/>
        <v>0</v>
      </c>
      <c r="JEE43">
        <f t="shared" si="147"/>
        <v>0</v>
      </c>
      <c r="JEF43">
        <f t="shared" si="147"/>
        <v>0</v>
      </c>
      <c r="JEG43">
        <f t="shared" si="147"/>
        <v>0</v>
      </c>
      <c r="JEH43">
        <f t="shared" si="147"/>
        <v>0</v>
      </c>
      <c r="JEI43">
        <f t="shared" si="147"/>
        <v>0</v>
      </c>
      <c r="JEJ43">
        <f t="shared" si="147"/>
        <v>0</v>
      </c>
      <c r="JEK43">
        <f t="shared" si="147"/>
        <v>0</v>
      </c>
      <c r="JEL43">
        <f t="shared" si="147"/>
        <v>0</v>
      </c>
      <c r="JEM43">
        <f t="shared" si="147"/>
        <v>0</v>
      </c>
      <c r="JEN43">
        <f t="shared" si="147"/>
        <v>0</v>
      </c>
      <c r="JEO43">
        <f t="shared" si="147"/>
        <v>0</v>
      </c>
      <c r="JEP43">
        <f t="shared" si="147"/>
        <v>0</v>
      </c>
      <c r="JEQ43">
        <f t="shared" si="147"/>
        <v>0</v>
      </c>
      <c r="JER43">
        <f t="shared" si="147"/>
        <v>0</v>
      </c>
      <c r="JES43">
        <f t="shared" si="147"/>
        <v>0</v>
      </c>
      <c r="JET43">
        <f t="shared" si="148"/>
        <v>0</v>
      </c>
      <c r="JEU43">
        <f t="shared" si="148"/>
        <v>0</v>
      </c>
      <c r="JEV43">
        <f t="shared" si="148"/>
        <v>0</v>
      </c>
      <c r="JEW43">
        <f t="shared" si="148"/>
        <v>0</v>
      </c>
      <c r="JEX43">
        <f t="shared" si="148"/>
        <v>0</v>
      </c>
      <c r="JEY43">
        <f t="shared" si="148"/>
        <v>0</v>
      </c>
      <c r="JEZ43">
        <f t="shared" si="148"/>
        <v>0</v>
      </c>
      <c r="JFA43">
        <f t="shared" si="148"/>
        <v>0</v>
      </c>
      <c r="JFB43">
        <f t="shared" si="148"/>
        <v>0</v>
      </c>
      <c r="JFC43">
        <f t="shared" si="148"/>
        <v>0</v>
      </c>
      <c r="JFD43">
        <f t="shared" si="148"/>
        <v>0</v>
      </c>
      <c r="JFE43">
        <f t="shared" si="148"/>
        <v>0</v>
      </c>
      <c r="JFF43">
        <f t="shared" si="148"/>
        <v>0</v>
      </c>
      <c r="JFG43">
        <f t="shared" si="148"/>
        <v>0</v>
      </c>
      <c r="JFH43">
        <f t="shared" si="148"/>
        <v>0</v>
      </c>
      <c r="JFI43">
        <f t="shared" si="148"/>
        <v>0</v>
      </c>
      <c r="JFJ43">
        <f t="shared" si="148"/>
        <v>0</v>
      </c>
      <c r="JFK43">
        <f t="shared" si="148"/>
        <v>0</v>
      </c>
      <c r="JFL43">
        <f t="shared" si="148"/>
        <v>0</v>
      </c>
      <c r="JFM43">
        <f t="shared" si="148"/>
        <v>0</v>
      </c>
      <c r="JFN43">
        <f t="shared" si="148"/>
        <v>0</v>
      </c>
      <c r="JFO43">
        <f t="shared" si="148"/>
        <v>0</v>
      </c>
      <c r="JFP43">
        <f t="shared" si="148"/>
        <v>0</v>
      </c>
      <c r="JFQ43">
        <f t="shared" si="148"/>
        <v>0</v>
      </c>
      <c r="JFR43">
        <f t="shared" si="148"/>
        <v>0</v>
      </c>
      <c r="JFS43">
        <f t="shared" si="148"/>
        <v>0</v>
      </c>
      <c r="JFT43">
        <f t="shared" si="148"/>
        <v>0</v>
      </c>
      <c r="JFU43">
        <f t="shared" si="148"/>
        <v>0</v>
      </c>
      <c r="JFV43">
        <f t="shared" si="148"/>
        <v>0</v>
      </c>
      <c r="JFW43">
        <f t="shared" si="148"/>
        <v>0</v>
      </c>
      <c r="JFX43">
        <f t="shared" si="148"/>
        <v>0</v>
      </c>
      <c r="JFY43">
        <f t="shared" si="148"/>
        <v>0</v>
      </c>
      <c r="JFZ43">
        <f t="shared" si="148"/>
        <v>0</v>
      </c>
      <c r="JGA43">
        <f t="shared" si="148"/>
        <v>0</v>
      </c>
      <c r="JGB43">
        <f t="shared" si="148"/>
        <v>0</v>
      </c>
      <c r="JGC43">
        <f t="shared" si="148"/>
        <v>0</v>
      </c>
      <c r="JGD43">
        <f t="shared" si="148"/>
        <v>0</v>
      </c>
      <c r="JGE43">
        <f t="shared" si="148"/>
        <v>0</v>
      </c>
      <c r="JGF43">
        <f t="shared" si="148"/>
        <v>0</v>
      </c>
      <c r="JGG43">
        <f t="shared" si="148"/>
        <v>0</v>
      </c>
      <c r="JGH43">
        <f t="shared" si="148"/>
        <v>0</v>
      </c>
      <c r="JGI43">
        <f t="shared" si="148"/>
        <v>0</v>
      </c>
      <c r="JGJ43">
        <f t="shared" si="148"/>
        <v>0</v>
      </c>
      <c r="JGK43">
        <f t="shared" si="148"/>
        <v>0</v>
      </c>
      <c r="JGL43">
        <f t="shared" si="148"/>
        <v>0</v>
      </c>
      <c r="JGM43">
        <f t="shared" si="148"/>
        <v>0</v>
      </c>
      <c r="JGN43">
        <f t="shared" si="148"/>
        <v>0</v>
      </c>
      <c r="JGO43">
        <f t="shared" si="148"/>
        <v>0</v>
      </c>
      <c r="JGP43">
        <f t="shared" si="148"/>
        <v>0</v>
      </c>
      <c r="JGQ43">
        <f t="shared" si="148"/>
        <v>0</v>
      </c>
      <c r="JGR43">
        <f t="shared" si="148"/>
        <v>0</v>
      </c>
      <c r="JGS43">
        <f t="shared" si="148"/>
        <v>0</v>
      </c>
      <c r="JGT43">
        <f t="shared" si="148"/>
        <v>0</v>
      </c>
      <c r="JGU43">
        <f t="shared" si="148"/>
        <v>0</v>
      </c>
      <c r="JGV43">
        <f t="shared" si="148"/>
        <v>0</v>
      </c>
      <c r="JGW43">
        <f t="shared" si="148"/>
        <v>0</v>
      </c>
      <c r="JGX43">
        <f t="shared" si="148"/>
        <v>0</v>
      </c>
      <c r="JGY43">
        <f t="shared" si="148"/>
        <v>0</v>
      </c>
      <c r="JGZ43">
        <f t="shared" si="148"/>
        <v>0</v>
      </c>
      <c r="JHA43">
        <f t="shared" si="148"/>
        <v>0</v>
      </c>
      <c r="JHB43">
        <f t="shared" si="148"/>
        <v>0</v>
      </c>
      <c r="JHC43">
        <f t="shared" si="148"/>
        <v>0</v>
      </c>
      <c r="JHD43">
        <f t="shared" si="148"/>
        <v>0</v>
      </c>
      <c r="JHE43">
        <f t="shared" si="148"/>
        <v>0</v>
      </c>
      <c r="JHF43">
        <f t="shared" si="149"/>
        <v>0</v>
      </c>
      <c r="JHG43">
        <f t="shared" si="149"/>
        <v>0</v>
      </c>
      <c r="JHH43">
        <f t="shared" si="149"/>
        <v>0</v>
      </c>
      <c r="JHI43">
        <f t="shared" si="149"/>
        <v>0</v>
      </c>
      <c r="JHJ43">
        <f t="shared" si="149"/>
        <v>0</v>
      </c>
      <c r="JHK43">
        <f t="shared" si="149"/>
        <v>0</v>
      </c>
      <c r="JHL43">
        <f t="shared" si="149"/>
        <v>0</v>
      </c>
      <c r="JHM43">
        <f t="shared" si="149"/>
        <v>0</v>
      </c>
      <c r="JHN43">
        <f t="shared" si="149"/>
        <v>0</v>
      </c>
      <c r="JHO43">
        <f t="shared" si="149"/>
        <v>0</v>
      </c>
      <c r="JHP43">
        <f t="shared" si="149"/>
        <v>0</v>
      </c>
      <c r="JHQ43">
        <f t="shared" si="149"/>
        <v>0</v>
      </c>
      <c r="JHR43">
        <f t="shared" si="149"/>
        <v>0</v>
      </c>
      <c r="JHS43">
        <f t="shared" si="149"/>
        <v>0</v>
      </c>
      <c r="JHT43">
        <f t="shared" si="149"/>
        <v>0</v>
      </c>
      <c r="JHU43">
        <f t="shared" si="149"/>
        <v>0</v>
      </c>
      <c r="JHV43">
        <f t="shared" si="149"/>
        <v>0</v>
      </c>
      <c r="JHW43">
        <f t="shared" si="149"/>
        <v>0</v>
      </c>
      <c r="JHX43">
        <f t="shared" si="149"/>
        <v>0</v>
      </c>
      <c r="JHY43">
        <f t="shared" si="149"/>
        <v>0</v>
      </c>
      <c r="JHZ43">
        <f t="shared" si="149"/>
        <v>0</v>
      </c>
      <c r="JIA43">
        <f t="shared" si="149"/>
        <v>0</v>
      </c>
      <c r="JIB43">
        <f t="shared" si="149"/>
        <v>0</v>
      </c>
      <c r="JIC43">
        <f t="shared" si="149"/>
        <v>0</v>
      </c>
      <c r="JID43">
        <f t="shared" si="149"/>
        <v>0</v>
      </c>
      <c r="JIE43">
        <f t="shared" si="149"/>
        <v>0</v>
      </c>
      <c r="JIF43">
        <f t="shared" si="149"/>
        <v>0</v>
      </c>
      <c r="JIG43">
        <f t="shared" si="149"/>
        <v>0</v>
      </c>
      <c r="JIH43">
        <f t="shared" si="149"/>
        <v>0</v>
      </c>
      <c r="JII43">
        <f t="shared" si="149"/>
        <v>0</v>
      </c>
      <c r="JIJ43">
        <f t="shared" si="149"/>
        <v>0</v>
      </c>
      <c r="JIK43">
        <f t="shared" si="149"/>
        <v>0</v>
      </c>
      <c r="JIL43">
        <f t="shared" si="149"/>
        <v>0</v>
      </c>
      <c r="JIM43">
        <f t="shared" si="149"/>
        <v>0</v>
      </c>
      <c r="JIN43">
        <f t="shared" si="149"/>
        <v>0</v>
      </c>
      <c r="JIO43">
        <f t="shared" si="149"/>
        <v>0</v>
      </c>
      <c r="JIP43">
        <f t="shared" si="149"/>
        <v>0</v>
      </c>
      <c r="JIQ43">
        <f t="shared" si="149"/>
        <v>0</v>
      </c>
      <c r="JIR43">
        <f t="shared" si="149"/>
        <v>0</v>
      </c>
      <c r="JIS43">
        <f t="shared" si="149"/>
        <v>0</v>
      </c>
      <c r="JIT43">
        <f t="shared" si="149"/>
        <v>0</v>
      </c>
      <c r="JIU43">
        <f t="shared" si="149"/>
        <v>0</v>
      </c>
      <c r="JIV43">
        <f t="shared" si="149"/>
        <v>0</v>
      </c>
      <c r="JIW43">
        <f t="shared" si="149"/>
        <v>0</v>
      </c>
      <c r="JIX43">
        <f t="shared" si="149"/>
        <v>0</v>
      </c>
      <c r="JIY43">
        <f t="shared" si="149"/>
        <v>0</v>
      </c>
      <c r="JIZ43">
        <f t="shared" si="149"/>
        <v>0</v>
      </c>
      <c r="JJA43">
        <f t="shared" si="149"/>
        <v>0</v>
      </c>
      <c r="JJB43">
        <f t="shared" si="149"/>
        <v>0</v>
      </c>
      <c r="JJC43">
        <f t="shared" si="149"/>
        <v>0</v>
      </c>
      <c r="JJD43">
        <f t="shared" si="149"/>
        <v>0</v>
      </c>
      <c r="JJE43">
        <f t="shared" si="149"/>
        <v>0</v>
      </c>
      <c r="JJF43">
        <f t="shared" si="149"/>
        <v>0</v>
      </c>
      <c r="JJG43">
        <f t="shared" si="149"/>
        <v>0</v>
      </c>
      <c r="JJH43">
        <f t="shared" si="149"/>
        <v>0</v>
      </c>
      <c r="JJI43">
        <f t="shared" si="149"/>
        <v>0</v>
      </c>
      <c r="JJJ43">
        <f t="shared" si="149"/>
        <v>0</v>
      </c>
      <c r="JJK43">
        <f t="shared" si="149"/>
        <v>0</v>
      </c>
      <c r="JJL43">
        <f t="shared" si="149"/>
        <v>0</v>
      </c>
      <c r="JJM43">
        <f t="shared" si="149"/>
        <v>0</v>
      </c>
      <c r="JJN43">
        <f t="shared" si="149"/>
        <v>0</v>
      </c>
      <c r="JJO43">
        <f t="shared" si="149"/>
        <v>0</v>
      </c>
      <c r="JJP43">
        <f t="shared" si="149"/>
        <v>0</v>
      </c>
      <c r="JJQ43">
        <f t="shared" si="149"/>
        <v>0</v>
      </c>
      <c r="JJR43">
        <f t="shared" si="150"/>
        <v>0</v>
      </c>
      <c r="JJS43">
        <f t="shared" si="150"/>
        <v>0</v>
      </c>
      <c r="JJT43">
        <f t="shared" si="150"/>
        <v>0</v>
      </c>
      <c r="JJU43">
        <f t="shared" si="150"/>
        <v>0</v>
      </c>
      <c r="JJV43">
        <f t="shared" si="150"/>
        <v>0</v>
      </c>
      <c r="JJW43">
        <f t="shared" si="150"/>
        <v>0</v>
      </c>
      <c r="JJX43">
        <f t="shared" si="150"/>
        <v>0</v>
      </c>
      <c r="JJY43">
        <f t="shared" si="150"/>
        <v>0</v>
      </c>
      <c r="JJZ43">
        <f t="shared" si="150"/>
        <v>0</v>
      </c>
      <c r="JKA43">
        <f t="shared" si="150"/>
        <v>0</v>
      </c>
      <c r="JKB43">
        <f t="shared" si="150"/>
        <v>0</v>
      </c>
      <c r="JKC43">
        <f t="shared" si="150"/>
        <v>0</v>
      </c>
      <c r="JKD43">
        <f t="shared" si="150"/>
        <v>0</v>
      </c>
      <c r="JKE43">
        <f t="shared" si="150"/>
        <v>0</v>
      </c>
      <c r="JKF43">
        <f t="shared" si="150"/>
        <v>0</v>
      </c>
      <c r="JKG43">
        <f t="shared" si="150"/>
        <v>0</v>
      </c>
      <c r="JKH43">
        <f t="shared" si="150"/>
        <v>0</v>
      </c>
      <c r="JKI43">
        <f t="shared" si="150"/>
        <v>0</v>
      </c>
      <c r="JKJ43">
        <f t="shared" si="150"/>
        <v>0</v>
      </c>
      <c r="JKK43">
        <f t="shared" si="150"/>
        <v>0</v>
      </c>
      <c r="JKL43">
        <f t="shared" si="150"/>
        <v>0</v>
      </c>
      <c r="JKM43">
        <f t="shared" si="150"/>
        <v>0</v>
      </c>
      <c r="JKN43">
        <f t="shared" si="150"/>
        <v>0</v>
      </c>
      <c r="JKO43">
        <f t="shared" si="150"/>
        <v>0</v>
      </c>
      <c r="JKP43">
        <f t="shared" si="150"/>
        <v>0</v>
      </c>
      <c r="JKQ43">
        <f t="shared" si="150"/>
        <v>0</v>
      </c>
      <c r="JKR43">
        <f t="shared" si="150"/>
        <v>0</v>
      </c>
      <c r="JKS43">
        <f t="shared" si="150"/>
        <v>0</v>
      </c>
      <c r="JKT43">
        <f t="shared" si="150"/>
        <v>0</v>
      </c>
      <c r="JKU43">
        <f t="shared" si="150"/>
        <v>0</v>
      </c>
      <c r="JKV43">
        <f t="shared" si="150"/>
        <v>0</v>
      </c>
      <c r="JKW43">
        <f t="shared" si="150"/>
        <v>0</v>
      </c>
      <c r="JKX43">
        <f t="shared" si="150"/>
        <v>0</v>
      </c>
      <c r="JKY43">
        <f t="shared" si="150"/>
        <v>0</v>
      </c>
      <c r="JKZ43">
        <f t="shared" si="150"/>
        <v>0</v>
      </c>
      <c r="JLA43">
        <f t="shared" si="150"/>
        <v>0</v>
      </c>
      <c r="JLB43">
        <f t="shared" si="150"/>
        <v>0</v>
      </c>
      <c r="JLC43">
        <f t="shared" si="150"/>
        <v>0</v>
      </c>
      <c r="JLD43">
        <f t="shared" si="150"/>
        <v>0</v>
      </c>
      <c r="JLE43">
        <f t="shared" si="150"/>
        <v>0</v>
      </c>
      <c r="JLF43">
        <f t="shared" si="150"/>
        <v>0</v>
      </c>
      <c r="JLG43">
        <f t="shared" si="150"/>
        <v>0</v>
      </c>
      <c r="JLH43">
        <f t="shared" si="150"/>
        <v>0</v>
      </c>
      <c r="JLI43">
        <f t="shared" si="150"/>
        <v>0</v>
      </c>
      <c r="JLJ43">
        <f t="shared" si="150"/>
        <v>0</v>
      </c>
      <c r="JLK43">
        <f t="shared" si="150"/>
        <v>0</v>
      </c>
      <c r="JLL43">
        <f t="shared" si="150"/>
        <v>0</v>
      </c>
      <c r="JLM43">
        <f t="shared" si="150"/>
        <v>0</v>
      </c>
      <c r="JLN43">
        <f t="shared" si="150"/>
        <v>0</v>
      </c>
      <c r="JLO43">
        <f t="shared" si="150"/>
        <v>0</v>
      </c>
      <c r="JLP43">
        <f t="shared" si="150"/>
        <v>0</v>
      </c>
      <c r="JLQ43">
        <f t="shared" si="150"/>
        <v>0</v>
      </c>
      <c r="JLR43">
        <f t="shared" si="150"/>
        <v>0</v>
      </c>
      <c r="JLS43">
        <f t="shared" si="150"/>
        <v>0</v>
      </c>
      <c r="JLT43">
        <f t="shared" si="150"/>
        <v>0</v>
      </c>
      <c r="JLU43">
        <f t="shared" si="150"/>
        <v>0</v>
      </c>
      <c r="JLV43">
        <f t="shared" si="150"/>
        <v>0</v>
      </c>
      <c r="JLW43">
        <f t="shared" si="150"/>
        <v>0</v>
      </c>
      <c r="JLX43">
        <f t="shared" si="150"/>
        <v>0</v>
      </c>
      <c r="JLY43">
        <f t="shared" si="150"/>
        <v>0</v>
      </c>
      <c r="JLZ43">
        <f t="shared" si="150"/>
        <v>0</v>
      </c>
      <c r="JMA43">
        <f t="shared" si="150"/>
        <v>0</v>
      </c>
      <c r="JMB43">
        <f t="shared" si="150"/>
        <v>0</v>
      </c>
      <c r="JMC43">
        <f t="shared" si="150"/>
        <v>0</v>
      </c>
      <c r="JMD43">
        <f t="shared" si="151"/>
        <v>0</v>
      </c>
      <c r="JME43">
        <f t="shared" si="151"/>
        <v>0</v>
      </c>
      <c r="JMF43">
        <f t="shared" si="151"/>
        <v>0</v>
      </c>
      <c r="JMG43">
        <f t="shared" si="151"/>
        <v>0</v>
      </c>
      <c r="JMH43">
        <f t="shared" si="151"/>
        <v>0</v>
      </c>
      <c r="JMI43">
        <f t="shared" si="151"/>
        <v>0</v>
      </c>
      <c r="JMJ43">
        <f t="shared" si="151"/>
        <v>0</v>
      </c>
      <c r="JMK43">
        <f t="shared" si="151"/>
        <v>0</v>
      </c>
      <c r="JML43">
        <f t="shared" si="151"/>
        <v>0</v>
      </c>
      <c r="JMM43">
        <f t="shared" si="151"/>
        <v>0</v>
      </c>
      <c r="JMN43">
        <f t="shared" si="151"/>
        <v>0</v>
      </c>
      <c r="JMO43">
        <f t="shared" si="151"/>
        <v>0</v>
      </c>
      <c r="JMP43">
        <f t="shared" si="151"/>
        <v>0</v>
      </c>
      <c r="JMQ43">
        <f t="shared" si="151"/>
        <v>0</v>
      </c>
      <c r="JMR43">
        <f t="shared" si="151"/>
        <v>0</v>
      </c>
      <c r="JMS43">
        <f t="shared" si="151"/>
        <v>0</v>
      </c>
      <c r="JMT43">
        <f t="shared" si="151"/>
        <v>0</v>
      </c>
      <c r="JMU43">
        <f t="shared" si="151"/>
        <v>0</v>
      </c>
      <c r="JMV43">
        <f t="shared" si="151"/>
        <v>0</v>
      </c>
      <c r="JMW43">
        <f t="shared" si="151"/>
        <v>0</v>
      </c>
      <c r="JMX43">
        <f t="shared" si="151"/>
        <v>0</v>
      </c>
      <c r="JMY43">
        <f t="shared" si="151"/>
        <v>0</v>
      </c>
      <c r="JMZ43">
        <f t="shared" si="151"/>
        <v>0</v>
      </c>
      <c r="JNA43">
        <f t="shared" si="151"/>
        <v>0</v>
      </c>
      <c r="JNB43">
        <f t="shared" si="151"/>
        <v>0</v>
      </c>
      <c r="JNC43">
        <f t="shared" si="151"/>
        <v>0</v>
      </c>
      <c r="JND43">
        <f t="shared" si="151"/>
        <v>0</v>
      </c>
      <c r="JNE43">
        <f t="shared" si="151"/>
        <v>0</v>
      </c>
      <c r="JNF43">
        <f t="shared" si="151"/>
        <v>0</v>
      </c>
      <c r="JNG43">
        <f t="shared" si="151"/>
        <v>0</v>
      </c>
      <c r="JNH43">
        <f t="shared" si="151"/>
        <v>0</v>
      </c>
      <c r="JNI43">
        <f t="shared" si="151"/>
        <v>0</v>
      </c>
      <c r="JNJ43">
        <f t="shared" si="151"/>
        <v>0</v>
      </c>
      <c r="JNK43">
        <f t="shared" si="151"/>
        <v>0</v>
      </c>
      <c r="JNL43">
        <f t="shared" si="151"/>
        <v>0</v>
      </c>
      <c r="JNM43">
        <f t="shared" si="151"/>
        <v>0</v>
      </c>
      <c r="JNN43">
        <f t="shared" si="151"/>
        <v>0</v>
      </c>
      <c r="JNO43">
        <f t="shared" si="151"/>
        <v>0</v>
      </c>
      <c r="JNP43">
        <f t="shared" si="151"/>
        <v>0</v>
      </c>
      <c r="JNQ43">
        <f t="shared" si="151"/>
        <v>0</v>
      </c>
      <c r="JNR43">
        <f t="shared" si="151"/>
        <v>0</v>
      </c>
      <c r="JNS43">
        <f t="shared" si="151"/>
        <v>0</v>
      </c>
      <c r="JNT43">
        <f t="shared" si="151"/>
        <v>0</v>
      </c>
      <c r="JNU43">
        <f t="shared" si="151"/>
        <v>0</v>
      </c>
      <c r="JNV43">
        <f t="shared" si="151"/>
        <v>0</v>
      </c>
      <c r="JNW43">
        <f t="shared" si="151"/>
        <v>0</v>
      </c>
      <c r="JNX43">
        <f t="shared" si="151"/>
        <v>0</v>
      </c>
      <c r="JNY43">
        <f t="shared" si="151"/>
        <v>0</v>
      </c>
      <c r="JNZ43">
        <f t="shared" si="151"/>
        <v>0</v>
      </c>
      <c r="JOA43">
        <f t="shared" si="151"/>
        <v>0</v>
      </c>
      <c r="JOB43">
        <f t="shared" si="151"/>
        <v>0</v>
      </c>
      <c r="JOC43">
        <f t="shared" si="151"/>
        <v>0</v>
      </c>
      <c r="JOD43">
        <f t="shared" si="151"/>
        <v>0</v>
      </c>
      <c r="JOE43">
        <f t="shared" si="151"/>
        <v>0</v>
      </c>
      <c r="JOF43">
        <f t="shared" si="151"/>
        <v>0</v>
      </c>
      <c r="JOG43">
        <f t="shared" si="151"/>
        <v>0</v>
      </c>
      <c r="JOH43">
        <f t="shared" si="151"/>
        <v>0</v>
      </c>
      <c r="JOI43">
        <f t="shared" si="151"/>
        <v>0</v>
      </c>
      <c r="JOJ43">
        <f t="shared" si="151"/>
        <v>0</v>
      </c>
      <c r="JOK43">
        <f t="shared" si="151"/>
        <v>0</v>
      </c>
      <c r="JOL43">
        <f t="shared" si="151"/>
        <v>0</v>
      </c>
      <c r="JOM43">
        <f t="shared" si="151"/>
        <v>0</v>
      </c>
      <c r="JON43">
        <f t="shared" si="151"/>
        <v>0</v>
      </c>
      <c r="JOO43">
        <f t="shared" si="151"/>
        <v>0</v>
      </c>
      <c r="JOP43">
        <f t="shared" si="152"/>
        <v>0</v>
      </c>
      <c r="JOQ43">
        <f t="shared" si="152"/>
        <v>0</v>
      </c>
      <c r="JOR43">
        <f t="shared" si="152"/>
        <v>0</v>
      </c>
      <c r="JOS43">
        <f t="shared" si="152"/>
        <v>0</v>
      </c>
      <c r="JOT43">
        <f t="shared" si="152"/>
        <v>0</v>
      </c>
      <c r="JOU43">
        <f t="shared" si="152"/>
        <v>0</v>
      </c>
      <c r="JOV43">
        <f t="shared" si="152"/>
        <v>0</v>
      </c>
      <c r="JOW43">
        <f t="shared" si="152"/>
        <v>0</v>
      </c>
      <c r="JOX43">
        <f t="shared" si="152"/>
        <v>0</v>
      </c>
      <c r="JOY43">
        <f t="shared" si="152"/>
        <v>0</v>
      </c>
      <c r="JOZ43">
        <f t="shared" si="152"/>
        <v>0</v>
      </c>
      <c r="JPA43">
        <f t="shared" si="152"/>
        <v>0</v>
      </c>
      <c r="JPB43">
        <f t="shared" si="152"/>
        <v>0</v>
      </c>
      <c r="JPC43">
        <f t="shared" si="152"/>
        <v>0</v>
      </c>
      <c r="JPD43">
        <f t="shared" si="152"/>
        <v>0</v>
      </c>
      <c r="JPE43">
        <f t="shared" si="152"/>
        <v>0</v>
      </c>
      <c r="JPF43">
        <f t="shared" si="152"/>
        <v>0</v>
      </c>
      <c r="JPG43">
        <f t="shared" si="152"/>
        <v>0</v>
      </c>
      <c r="JPH43">
        <f t="shared" si="152"/>
        <v>0</v>
      </c>
      <c r="JPI43">
        <f t="shared" si="152"/>
        <v>0</v>
      </c>
      <c r="JPJ43">
        <f t="shared" si="152"/>
        <v>0</v>
      </c>
      <c r="JPK43">
        <f t="shared" si="152"/>
        <v>0</v>
      </c>
      <c r="JPL43">
        <f t="shared" si="152"/>
        <v>0</v>
      </c>
      <c r="JPM43">
        <f t="shared" si="152"/>
        <v>0</v>
      </c>
      <c r="JPN43">
        <f t="shared" si="152"/>
        <v>0</v>
      </c>
      <c r="JPO43">
        <f t="shared" si="152"/>
        <v>0</v>
      </c>
      <c r="JPP43">
        <f t="shared" si="152"/>
        <v>0</v>
      </c>
      <c r="JPQ43">
        <f t="shared" si="152"/>
        <v>0</v>
      </c>
      <c r="JPR43">
        <f t="shared" si="152"/>
        <v>0</v>
      </c>
      <c r="JPS43">
        <f t="shared" si="152"/>
        <v>0</v>
      </c>
      <c r="JPT43">
        <f t="shared" si="152"/>
        <v>0</v>
      </c>
      <c r="JPU43">
        <f t="shared" si="152"/>
        <v>0</v>
      </c>
      <c r="JPV43">
        <f t="shared" si="152"/>
        <v>0</v>
      </c>
      <c r="JPW43">
        <f t="shared" si="152"/>
        <v>0</v>
      </c>
      <c r="JPX43">
        <f t="shared" si="152"/>
        <v>0</v>
      </c>
      <c r="JPY43">
        <f t="shared" si="152"/>
        <v>0</v>
      </c>
      <c r="JPZ43">
        <f t="shared" si="152"/>
        <v>0</v>
      </c>
      <c r="JQA43">
        <f t="shared" si="152"/>
        <v>0</v>
      </c>
      <c r="JQB43">
        <f t="shared" si="152"/>
        <v>0</v>
      </c>
      <c r="JQC43">
        <f t="shared" si="152"/>
        <v>0</v>
      </c>
      <c r="JQD43">
        <f t="shared" si="152"/>
        <v>0</v>
      </c>
      <c r="JQE43">
        <f t="shared" si="152"/>
        <v>0</v>
      </c>
      <c r="JQF43">
        <f t="shared" si="152"/>
        <v>0</v>
      </c>
      <c r="JQG43">
        <f t="shared" si="152"/>
        <v>0</v>
      </c>
      <c r="JQH43">
        <f t="shared" si="152"/>
        <v>0</v>
      </c>
      <c r="JQI43">
        <f t="shared" si="152"/>
        <v>0</v>
      </c>
      <c r="JQJ43">
        <f t="shared" si="152"/>
        <v>0</v>
      </c>
      <c r="JQK43">
        <f t="shared" si="152"/>
        <v>0</v>
      </c>
      <c r="JQL43">
        <f t="shared" si="152"/>
        <v>0</v>
      </c>
      <c r="JQM43">
        <f t="shared" si="152"/>
        <v>0</v>
      </c>
      <c r="JQN43">
        <f t="shared" si="152"/>
        <v>0</v>
      </c>
      <c r="JQO43">
        <f t="shared" si="152"/>
        <v>0</v>
      </c>
      <c r="JQP43">
        <f t="shared" si="152"/>
        <v>0</v>
      </c>
      <c r="JQQ43">
        <f t="shared" si="152"/>
        <v>0</v>
      </c>
      <c r="JQR43">
        <f t="shared" si="152"/>
        <v>0</v>
      </c>
      <c r="JQS43">
        <f t="shared" si="152"/>
        <v>0</v>
      </c>
      <c r="JQT43">
        <f t="shared" si="152"/>
        <v>0</v>
      </c>
      <c r="JQU43">
        <f t="shared" si="152"/>
        <v>0</v>
      </c>
      <c r="JQV43">
        <f t="shared" si="152"/>
        <v>0</v>
      </c>
      <c r="JQW43">
        <f t="shared" si="152"/>
        <v>0</v>
      </c>
      <c r="JQX43">
        <f t="shared" si="152"/>
        <v>0</v>
      </c>
      <c r="JQY43">
        <f t="shared" si="152"/>
        <v>0</v>
      </c>
      <c r="JQZ43">
        <f t="shared" si="152"/>
        <v>0</v>
      </c>
      <c r="JRA43">
        <f t="shared" si="152"/>
        <v>0</v>
      </c>
      <c r="JRB43">
        <f t="shared" si="153"/>
        <v>0</v>
      </c>
      <c r="JRC43">
        <f t="shared" si="153"/>
        <v>0</v>
      </c>
      <c r="JRD43">
        <f t="shared" si="153"/>
        <v>0</v>
      </c>
      <c r="JRE43">
        <f t="shared" si="153"/>
        <v>0</v>
      </c>
      <c r="JRF43">
        <f t="shared" si="153"/>
        <v>0</v>
      </c>
      <c r="JRG43">
        <f t="shared" si="153"/>
        <v>0</v>
      </c>
      <c r="JRH43">
        <f t="shared" si="153"/>
        <v>0</v>
      </c>
      <c r="JRI43">
        <f t="shared" si="153"/>
        <v>0</v>
      </c>
      <c r="JRJ43">
        <f t="shared" si="153"/>
        <v>0</v>
      </c>
      <c r="JRK43">
        <f t="shared" si="153"/>
        <v>0</v>
      </c>
      <c r="JRL43">
        <f t="shared" si="153"/>
        <v>0</v>
      </c>
      <c r="JRM43">
        <f t="shared" si="153"/>
        <v>0</v>
      </c>
      <c r="JRN43">
        <f t="shared" si="153"/>
        <v>0</v>
      </c>
      <c r="JRO43">
        <f t="shared" si="153"/>
        <v>0</v>
      </c>
      <c r="JRP43">
        <f t="shared" si="153"/>
        <v>0</v>
      </c>
      <c r="JRQ43">
        <f t="shared" si="153"/>
        <v>0</v>
      </c>
      <c r="JRR43">
        <f t="shared" si="153"/>
        <v>0</v>
      </c>
      <c r="JRS43">
        <f t="shared" si="153"/>
        <v>0</v>
      </c>
      <c r="JRT43">
        <f t="shared" si="153"/>
        <v>0</v>
      </c>
      <c r="JRU43">
        <f t="shared" si="153"/>
        <v>0</v>
      </c>
      <c r="JRV43">
        <f t="shared" si="153"/>
        <v>0</v>
      </c>
      <c r="JRW43">
        <f t="shared" si="153"/>
        <v>0</v>
      </c>
      <c r="JRX43">
        <f t="shared" si="153"/>
        <v>0</v>
      </c>
      <c r="JRY43">
        <f t="shared" si="153"/>
        <v>0</v>
      </c>
      <c r="JRZ43">
        <f t="shared" si="153"/>
        <v>0</v>
      </c>
      <c r="JSA43">
        <f t="shared" si="153"/>
        <v>0</v>
      </c>
      <c r="JSB43">
        <f t="shared" si="153"/>
        <v>0</v>
      </c>
      <c r="JSC43">
        <f t="shared" si="153"/>
        <v>0</v>
      </c>
      <c r="JSD43">
        <f t="shared" si="153"/>
        <v>0</v>
      </c>
      <c r="JSE43">
        <f t="shared" si="153"/>
        <v>0</v>
      </c>
      <c r="JSF43">
        <f t="shared" si="153"/>
        <v>0</v>
      </c>
      <c r="JSG43">
        <f t="shared" si="153"/>
        <v>0</v>
      </c>
      <c r="JSH43">
        <f t="shared" si="153"/>
        <v>0</v>
      </c>
      <c r="JSI43">
        <f t="shared" si="153"/>
        <v>0</v>
      </c>
      <c r="JSJ43">
        <f t="shared" si="153"/>
        <v>0</v>
      </c>
      <c r="JSK43">
        <f t="shared" si="153"/>
        <v>0</v>
      </c>
      <c r="JSL43">
        <f t="shared" si="153"/>
        <v>0</v>
      </c>
      <c r="JSM43">
        <f t="shared" si="153"/>
        <v>0</v>
      </c>
      <c r="JSN43">
        <f t="shared" si="153"/>
        <v>0</v>
      </c>
      <c r="JSO43">
        <f t="shared" si="153"/>
        <v>0</v>
      </c>
      <c r="JSP43">
        <f t="shared" si="153"/>
        <v>0</v>
      </c>
      <c r="JSQ43">
        <f t="shared" si="153"/>
        <v>0</v>
      </c>
      <c r="JSR43">
        <f t="shared" si="153"/>
        <v>0</v>
      </c>
      <c r="JSS43">
        <f t="shared" si="153"/>
        <v>0</v>
      </c>
      <c r="JST43">
        <f t="shared" si="153"/>
        <v>0</v>
      </c>
      <c r="JSU43">
        <f t="shared" si="153"/>
        <v>0</v>
      </c>
      <c r="JSV43">
        <f t="shared" si="153"/>
        <v>0</v>
      </c>
      <c r="JSW43">
        <f t="shared" si="153"/>
        <v>0</v>
      </c>
      <c r="JSX43">
        <f t="shared" si="153"/>
        <v>0</v>
      </c>
      <c r="JSY43">
        <f t="shared" si="153"/>
        <v>0</v>
      </c>
      <c r="JSZ43">
        <f t="shared" si="153"/>
        <v>0</v>
      </c>
      <c r="JTA43">
        <f t="shared" si="153"/>
        <v>0</v>
      </c>
      <c r="JTB43">
        <f t="shared" si="153"/>
        <v>0</v>
      </c>
      <c r="JTC43">
        <f t="shared" si="153"/>
        <v>0</v>
      </c>
      <c r="JTD43">
        <f t="shared" si="153"/>
        <v>0</v>
      </c>
      <c r="JTE43">
        <f t="shared" si="153"/>
        <v>0</v>
      </c>
      <c r="JTF43">
        <f t="shared" si="153"/>
        <v>0</v>
      </c>
      <c r="JTG43">
        <f t="shared" si="153"/>
        <v>0</v>
      </c>
      <c r="JTH43">
        <f t="shared" si="153"/>
        <v>0</v>
      </c>
      <c r="JTI43">
        <f t="shared" si="153"/>
        <v>0</v>
      </c>
      <c r="JTJ43">
        <f t="shared" si="153"/>
        <v>0</v>
      </c>
      <c r="JTK43">
        <f t="shared" si="153"/>
        <v>0</v>
      </c>
      <c r="JTL43">
        <f t="shared" si="153"/>
        <v>0</v>
      </c>
      <c r="JTM43">
        <f t="shared" si="153"/>
        <v>0</v>
      </c>
      <c r="JTN43">
        <f t="shared" si="154"/>
        <v>0</v>
      </c>
      <c r="JTO43">
        <f t="shared" si="154"/>
        <v>0</v>
      </c>
      <c r="JTP43">
        <f t="shared" si="154"/>
        <v>0</v>
      </c>
      <c r="JTQ43">
        <f t="shared" si="154"/>
        <v>0</v>
      </c>
      <c r="JTR43">
        <f t="shared" si="154"/>
        <v>0</v>
      </c>
      <c r="JTS43">
        <f t="shared" si="154"/>
        <v>0</v>
      </c>
      <c r="JTT43">
        <f t="shared" si="154"/>
        <v>0</v>
      </c>
      <c r="JTU43">
        <f t="shared" si="154"/>
        <v>0</v>
      </c>
      <c r="JTV43">
        <f t="shared" si="154"/>
        <v>0</v>
      </c>
      <c r="JTW43">
        <f t="shared" si="154"/>
        <v>0</v>
      </c>
      <c r="JTX43">
        <f t="shared" si="154"/>
        <v>0</v>
      </c>
      <c r="JTY43">
        <f t="shared" si="154"/>
        <v>0</v>
      </c>
      <c r="JTZ43">
        <f t="shared" si="154"/>
        <v>0</v>
      </c>
      <c r="JUA43">
        <f t="shared" si="154"/>
        <v>0</v>
      </c>
      <c r="JUB43">
        <f t="shared" si="154"/>
        <v>0</v>
      </c>
      <c r="JUC43">
        <f t="shared" si="154"/>
        <v>0</v>
      </c>
      <c r="JUD43">
        <f t="shared" si="154"/>
        <v>0</v>
      </c>
      <c r="JUE43">
        <f t="shared" si="154"/>
        <v>0</v>
      </c>
      <c r="JUF43">
        <f t="shared" si="154"/>
        <v>0</v>
      </c>
      <c r="JUG43">
        <f t="shared" si="154"/>
        <v>0</v>
      </c>
      <c r="JUH43">
        <f t="shared" si="154"/>
        <v>0</v>
      </c>
      <c r="JUI43">
        <f t="shared" si="154"/>
        <v>0</v>
      </c>
      <c r="JUJ43">
        <f t="shared" si="154"/>
        <v>0</v>
      </c>
      <c r="JUK43">
        <f t="shared" si="154"/>
        <v>0</v>
      </c>
      <c r="JUL43">
        <f t="shared" si="154"/>
        <v>0</v>
      </c>
      <c r="JUM43">
        <f t="shared" si="154"/>
        <v>0</v>
      </c>
      <c r="JUN43">
        <f t="shared" si="154"/>
        <v>0</v>
      </c>
      <c r="JUO43">
        <f t="shared" si="154"/>
        <v>0</v>
      </c>
      <c r="JUP43">
        <f t="shared" si="154"/>
        <v>0</v>
      </c>
      <c r="JUQ43">
        <f t="shared" si="154"/>
        <v>0</v>
      </c>
      <c r="JUR43">
        <f t="shared" si="154"/>
        <v>0</v>
      </c>
      <c r="JUS43">
        <f t="shared" si="154"/>
        <v>0</v>
      </c>
      <c r="JUT43">
        <f t="shared" si="154"/>
        <v>0</v>
      </c>
      <c r="JUU43">
        <f t="shared" si="154"/>
        <v>0</v>
      </c>
      <c r="JUV43">
        <f t="shared" si="154"/>
        <v>0</v>
      </c>
      <c r="JUW43">
        <f t="shared" si="154"/>
        <v>0</v>
      </c>
      <c r="JUX43">
        <f t="shared" si="154"/>
        <v>0</v>
      </c>
      <c r="JUY43">
        <f t="shared" si="154"/>
        <v>0</v>
      </c>
      <c r="JUZ43">
        <f t="shared" si="154"/>
        <v>0</v>
      </c>
      <c r="JVA43">
        <f t="shared" si="154"/>
        <v>0</v>
      </c>
      <c r="JVB43">
        <f t="shared" si="154"/>
        <v>0</v>
      </c>
      <c r="JVC43">
        <f t="shared" si="154"/>
        <v>0</v>
      </c>
      <c r="JVD43">
        <f t="shared" si="154"/>
        <v>0</v>
      </c>
      <c r="JVE43">
        <f t="shared" si="154"/>
        <v>0</v>
      </c>
      <c r="JVF43">
        <f t="shared" si="154"/>
        <v>0</v>
      </c>
      <c r="JVG43">
        <f t="shared" si="154"/>
        <v>0</v>
      </c>
      <c r="JVH43">
        <f t="shared" si="154"/>
        <v>0</v>
      </c>
      <c r="JVI43">
        <f t="shared" si="154"/>
        <v>0</v>
      </c>
      <c r="JVJ43">
        <f t="shared" si="154"/>
        <v>0</v>
      </c>
      <c r="JVK43">
        <f t="shared" si="154"/>
        <v>0</v>
      </c>
      <c r="JVL43">
        <f t="shared" si="154"/>
        <v>0</v>
      </c>
      <c r="JVM43">
        <f t="shared" si="154"/>
        <v>0</v>
      </c>
      <c r="JVN43">
        <f t="shared" si="154"/>
        <v>0</v>
      </c>
      <c r="JVO43">
        <f t="shared" si="154"/>
        <v>0</v>
      </c>
      <c r="JVP43">
        <f t="shared" si="154"/>
        <v>0</v>
      </c>
      <c r="JVQ43">
        <f t="shared" si="154"/>
        <v>0</v>
      </c>
      <c r="JVR43">
        <f t="shared" si="154"/>
        <v>0</v>
      </c>
      <c r="JVS43">
        <f t="shared" si="154"/>
        <v>0</v>
      </c>
      <c r="JVT43">
        <f t="shared" si="154"/>
        <v>0</v>
      </c>
      <c r="JVU43">
        <f t="shared" si="154"/>
        <v>0</v>
      </c>
      <c r="JVV43">
        <f t="shared" si="154"/>
        <v>0</v>
      </c>
      <c r="JVW43">
        <f t="shared" si="154"/>
        <v>0</v>
      </c>
      <c r="JVX43">
        <f t="shared" si="154"/>
        <v>0</v>
      </c>
      <c r="JVY43">
        <f t="shared" si="154"/>
        <v>0</v>
      </c>
      <c r="JVZ43">
        <f t="shared" si="155"/>
        <v>0</v>
      </c>
      <c r="JWA43">
        <f t="shared" si="155"/>
        <v>0</v>
      </c>
      <c r="JWB43">
        <f t="shared" si="155"/>
        <v>0</v>
      </c>
      <c r="JWC43">
        <f t="shared" si="155"/>
        <v>0</v>
      </c>
      <c r="JWD43">
        <f t="shared" si="155"/>
        <v>0</v>
      </c>
      <c r="JWE43">
        <f t="shared" si="155"/>
        <v>0</v>
      </c>
      <c r="JWF43">
        <f t="shared" si="155"/>
        <v>0</v>
      </c>
      <c r="JWG43">
        <f t="shared" si="155"/>
        <v>0</v>
      </c>
      <c r="JWH43">
        <f t="shared" si="155"/>
        <v>0</v>
      </c>
      <c r="JWI43">
        <f t="shared" si="155"/>
        <v>0</v>
      </c>
      <c r="JWJ43">
        <f t="shared" si="155"/>
        <v>0</v>
      </c>
      <c r="JWK43">
        <f t="shared" si="155"/>
        <v>0</v>
      </c>
      <c r="JWL43">
        <f t="shared" si="155"/>
        <v>0</v>
      </c>
      <c r="JWM43">
        <f t="shared" si="155"/>
        <v>0</v>
      </c>
      <c r="JWN43">
        <f t="shared" si="155"/>
        <v>0</v>
      </c>
      <c r="JWO43">
        <f t="shared" si="155"/>
        <v>0</v>
      </c>
      <c r="JWP43">
        <f t="shared" si="155"/>
        <v>0</v>
      </c>
      <c r="JWQ43">
        <f t="shared" si="155"/>
        <v>0</v>
      </c>
      <c r="JWR43">
        <f t="shared" si="155"/>
        <v>0</v>
      </c>
      <c r="JWS43">
        <f t="shared" si="155"/>
        <v>0</v>
      </c>
      <c r="JWT43">
        <f t="shared" si="155"/>
        <v>0</v>
      </c>
      <c r="JWU43">
        <f t="shared" si="155"/>
        <v>0</v>
      </c>
      <c r="JWV43">
        <f t="shared" si="155"/>
        <v>0</v>
      </c>
      <c r="JWW43">
        <f t="shared" si="155"/>
        <v>0</v>
      </c>
      <c r="JWX43">
        <f t="shared" si="155"/>
        <v>0</v>
      </c>
      <c r="JWY43">
        <f t="shared" si="155"/>
        <v>0</v>
      </c>
      <c r="JWZ43">
        <f t="shared" si="155"/>
        <v>0</v>
      </c>
      <c r="JXA43">
        <f t="shared" si="155"/>
        <v>0</v>
      </c>
      <c r="JXB43">
        <f t="shared" si="155"/>
        <v>0</v>
      </c>
      <c r="JXC43">
        <f t="shared" si="155"/>
        <v>0</v>
      </c>
      <c r="JXD43">
        <f t="shared" si="155"/>
        <v>0</v>
      </c>
      <c r="JXE43">
        <f t="shared" si="155"/>
        <v>0</v>
      </c>
      <c r="JXF43">
        <f t="shared" si="155"/>
        <v>0</v>
      </c>
      <c r="JXG43">
        <f t="shared" si="155"/>
        <v>0</v>
      </c>
      <c r="JXH43">
        <f t="shared" si="155"/>
        <v>0</v>
      </c>
      <c r="JXI43">
        <f t="shared" si="155"/>
        <v>0</v>
      </c>
      <c r="JXJ43">
        <f t="shared" si="155"/>
        <v>0</v>
      </c>
      <c r="JXK43">
        <f t="shared" si="155"/>
        <v>0</v>
      </c>
      <c r="JXL43">
        <f t="shared" si="155"/>
        <v>0</v>
      </c>
      <c r="JXM43">
        <f t="shared" si="155"/>
        <v>0</v>
      </c>
      <c r="JXN43">
        <f t="shared" si="155"/>
        <v>0</v>
      </c>
      <c r="JXO43">
        <f t="shared" si="155"/>
        <v>0</v>
      </c>
      <c r="JXP43">
        <f t="shared" si="155"/>
        <v>0</v>
      </c>
      <c r="JXQ43">
        <f t="shared" si="155"/>
        <v>0</v>
      </c>
      <c r="JXR43">
        <f t="shared" si="155"/>
        <v>0</v>
      </c>
      <c r="JXS43">
        <f t="shared" si="155"/>
        <v>0</v>
      </c>
      <c r="JXT43">
        <f t="shared" si="155"/>
        <v>0</v>
      </c>
      <c r="JXU43">
        <f t="shared" si="155"/>
        <v>0</v>
      </c>
      <c r="JXV43">
        <f t="shared" si="155"/>
        <v>0</v>
      </c>
      <c r="JXW43">
        <f t="shared" si="155"/>
        <v>0</v>
      </c>
      <c r="JXX43">
        <f t="shared" si="155"/>
        <v>0</v>
      </c>
      <c r="JXY43">
        <f t="shared" si="155"/>
        <v>0</v>
      </c>
      <c r="JXZ43">
        <f t="shared" si="155"/>
        <v>0</v>
      </c>
      <c r="JYA43">
        <f t="shared" si="155"/>
        <v>0</v>
      </c>
      <c r="JYB43">
        <f t="shared" si="155"/>
        <v>0</v>
      </c>
      <c r="JYC43">
        <f t="shared" si="155"/>
        <v>0</v>
      </c>
      <c r="JYD43">
        <f t="shared" si="155"/>
        <v>0</v>
      </c>
      <c r="JYE43">
        <f t="shared" si="155"/>
        <v>0</v>
      </c>
      <c r="JYF43">
        <f t="shared" si="155"/>
        <v>0</v>
      </c>
      <c r="JYG43">
        <f t="shared" si="155"/>
        <v>0</v>
      </c>
      <c r="JYH43">
        <f t="shared" si="155"/>
        <v>0</v>
      </c>
      <c r="JYI43">
        <f t="shared" si="155"/>
        <v>0</v>
      </c>
      <c r="JYJ43">
        <f t="shared" si="155"/>
        <v>0</v>
      </c>
      <c r="JYK43">
        <f t="shared" si="155"/>
        <v>0</v>
      </c>
      <c r="JYL43">
        <f t="shared" si="156"/>
        <v>0</v>
      </c>
      <c r="JYM43">
        <f t="shared" si="156"/>
        <v>0</v>
      </c>
      <c r="JYN43">
        <f t="shared" si="156"/>
        <v>0</v>
      </c>
      <c r="JYO43">
        <f t="shared" si="156"/>
        <v>0</v>
      </c>
      <c r="JYP43">
        <f t="shared" si="156"/>
        <v>0</v>
      </c>
      <c r="JYQ43">
        <f t="shared" si="156"/>
        <v>0</v>
      </c>
      <c r="JYR43">
        <f t="shared" si="156"/>
        <v>0</v>
      </c>
      <c r="JYS43">
        <f t="shared" si="156"/>
        <v>0</v>
      </c>
      <c r="JYT43">
        <f t="shared" si="156"/>
        <v>0</v>
      </c>
      <c r="JYU43">
        <f t="shared" si="156"/>
        <v>0</v>
      </c>
      <c r="JYV43">
        <f t="shared" si="156"/>
        <v>0</v>
      </c>
      <c r="JYW43">
        <f t="shared" si="156"/>
        <v>0</v>
      </c>
      <c r="JYX43">
        <f t="shared" si="156"/>
        <v>0</v>
      </c>
      <c r="JYY43">
        <f t="shared" si="156"/>
        <v>0</v>
      </c>
      <c r="JYZ43">
        <f t="shared" si="156"/>
        <v>0</v>
      </c>
      <c r="JZA43">
        <f t="shared" si="156"/>
        <v>0</v>
      </c>
      <c r="JZB43">
        <f t="shared" si="156"/>
        <v>0</v>
      </c>
      <c r="JZC43">
        <f t="shared" si="156"/>
        <v>0</v>
      </c>
      <c r="JZD43">
        <f t="shared" si="156"/>
        <v>0</v>
      </c>
      <c r="JZE43">
        <f t="shared" si="156"/>
        <v>0</v>
      </c>
      <c r="JZF43">
        <f t="shared" si="156"/>
        <v>0</v>
      </c>
      <c r="JZG43">
        <f t="shared" si="156"/>
        <v>0</v>
      </c>
      <c r="JZH43">
        <f t="shared" si="156"/>
        <v>0</v>
      </c>
      <c r="JZI43">
        <f t="shared" si="156"/>
        <v>0</v>
      </c>
      <c r="JZJ43">
        <f t="shared" si="156"/>
        <v>0</v>
      </c>
      <c r="JZK43">
        <f t="shared" si="156"/>
        <v>0</v>
      </c>
      <c r="JZL43">
        <f t="shared" si="156"/>
        <v>0</v>
      </c>
      <c r="JZM43">
        <f t="shared" si="156"/>
        <v>0</v>
      </c>
      <c r="JZN43">
        <f t="shared" si="156"/>
        <v>0</v>
      </c>
      <c r="JZO43">
        <f t="shared" si="156"/>
        <v>0</v>
      </c>
      <c r="JZP43">
        <f t="shared" si="156"/>
        <v>0</v>
      </c>
      <c r="JZQ43">
        <f t="shared" si="156"/>
        <v>0</v>
      </c>
      <c r="JZR43">
        <f t="shared" si="156"/>
        <v>0</v>
      </c>
      <c r="JZS43">
        <f t="shared" si="156"/>
        <v>0</v>
      </c>
      <c r="JZT43">
        <f t="shared" si="156"/>
        <v>0</v>
      </c>
      <c r="JZU43">
        <f t="shared" si="156"/>
        <v>0</v>
      </c>
      <c r="JZV43">
        <f t="shared" si="156"/>
        <v>0</v>
      </c>
      <c r="JZW43">
        <f t="shared" si="156"/>
        <v>0</v>
      </c>
      <c r="JZX43">
        <f t="shared" si="156"/>
        <v>0</v>
      </c>
      <c r="JZY43">
        <f t="shared" si="156"/>
        <v>0</v>
      </c>
      <c r="JZZ43">
        <f t="shared" si="156"/>
        <v>0</v>
      </c>
      <c r="KAA43">
        <f t="shared" si="156"/>
        <v>0</v>
      </c>
      <c r="KAB43">
        <f t="shared" si="156"/>
        <v>0</v>
      </c>
      <c r="KAC43">
        <f t="shared" si="156"/>
        <v>0</v>
      </c>
      <c r="KAD43">
        <f t="shared" si="156"/>
        <v>0</v>
      </c>
      <c r="KAE43">
        <f t="shared" si="156"/>
        <v>0</v>
      </c>
      <c r="KAF43">
        <f t="shared" si="156"/>
        <v>0</v>
      </c>
      <c r="KAG43">
        <f t="shared" si="156"/>
        <v>0</v>
      </c>
      <c r="KAH43">
        <f t="shared" si="156"/>
        <v>0</v>
      </c>
      <c r="KAI43">
        <f t="shared" si="156"/>
        <v>0</v>
      </c>
      <c r="KAJ43">
        <f t="shared" si="156"/>
        <v>0</v>
      </c>
      <c r="KAK43">
        <f t="shared" si="156"/>
        <v>0</v>
      </c>
      <c r="KAL43">
        <f t="shared" si="156"/>
        <v>0</v>
      </c>
      <c r="KAM43">
        <f t="shared" si="156"/>
        <v>0</v>
      </c>
      <c r="KAN43">
        <f t="shared" si="156"/>
        <v>0</v>
      </c>
      <c r="KAO43">
        <f t="shared" si="156"/>
        <v>0</v>
      </c>
      <c r="KAP43">
        <f t="shared" si="156"/>
        <v>0</v>
      </c>
      <c r="KAQ43">
        <f t="shared" si="156"/>
        <v>0</v>
      </c>
      <c r="KAR43">
        <f t="shared" si="156"/>
        <v>0</v>
      </c>
      <c r="KAS43">
        <f t="shared" si="156"/>
        <v>0</v>
      </c>
      <c r="KAT43">
        <f t="shared" si="156"/>
        <v>0</v>
      </c>
      <c r="KAU43">
        <f t="shared" si="156"/>
        <v>0</v>
      </c>
      <c r="KAV43">
        <f t="shared" si="156"/>
        <v>0</v>
      </c>
      <c r="KAW43">
        <f t="shared" si="156"/>
        <v>0</v>
      </c>
      <c r="KAX43">
        <f t="shared" si="157"/>
        <v>0</v>
      </c>
      <c r="KAY43">
        <f t="shared" si="157"/>
        <v>0</v>
      </c>
      <c r="KAZ43">
        <f t="shared" si="157"/>
        <v>0</v>
      </c>
      <c r="KBA43">
        <f t="shared" si="157"/>
        <v>0</v>
      </c>
      <c r="KBB43">
        <f t="shared" si="157"/>
        <v>0</v>
      </c>
      <c r="KBC43">
        <f t="shared" si="157"/>
        <v>0</v>
      </c>
      <c r="KBD43">
        <f t="shared" si="157"/>
        <v>0</v>
      </c>
      <c r="KBE43">
        <f t="shared" si="157"/>
        <v>0</v>
      </c>
      <c r="KBF43">
        <f t="shared" si="157"/>
        <v>0</v>
      </c>
      <c r="KBG43">
        <f t="shared" si="157"/>
        <v>0</v>
      </c>
      <c r="KBH43">
        <f t="shared" si="157"/>
        <v>0</v>
      </c>
      <c r="KBI43">
        <f t="shared" si="157"/>
        <v>0</v>
      </c>
      <c r="KBJ43">
        <f t="shared" si="157"/>
        <v>0</v>
      </c>
      <c r="KBK43">
        <f t="shared" si="157"/>
        <v>0</v>
      </c>
      <c r="KBL43">
        <f t="shared" si="157"/>
        <v>0</v>
      </c>
      <c r="KBM43">
        <f t="shared" si="157"/>
        <v>0</v>
      </c>
      <c r="KBN43">
        <f t="shared" si="157"/>
        <v>0</v>
      </c>
      <c r="KBO43">
        <f t="shared" si="157"/>
        <v>0</v>
      </c>
      <c r="KBP43">
        <f t="shared" si="157"/>
        <v>0</v>
      </c>
      <c r="KBQ43">
        <f t="shared" si="157"/>
        <v>0</v>
      </c>
      <c r="KBR43">
        <f t="shared" si="157"/>
        <v>0</v>
      </c>
      <c r="KBS43">
        <f t="shared" si="157"/>
        <v>0</v>
      </c>
      <c r="KBT43">
        <f t="shared" si="157"/>
        <v>0</v>
      </c>
      <c r="KBU43">
        <f t="shared" si="157"/>
        <v>0</v>
      </c>
      <c r="KBV43">
        <f t="shared" si="157"/>
        <v>0</v>
      </c>
      <c r="KBW43">
        <f t="shared" si="157"/>
        <v>0</v>
      </c>
      <c r="KBX43">
        <f t="shared" si="157"/>
        <v>0</v>
      </c>
      <c r="KBY43">
        <f t="shared" si="157"/>
        <v>0</v>
      </c>
      <c r="KBZ43">
        <f t="shared" si="157"/>
        <v>0</v>
      </c>
      <c r="KCA43">
        <f t="shared" si="157"/>
        <v>0</v>
      </c>
      <c r="KCB43">
        <f t="shared" si="157"/>
        <v>0</v>
      </c>
      <c r="KCC43">
        <f t="shared" si="157"/>
        <v>0</v>
      </c>
      <c r="KCD43">
        <f t="shared" si="157"/>
        <v>0</v>
      </c>
      <c r="KCE43">
        <f t="shared" si="157"/>
        <v>0</v>
      </c>
      <c r="KCF43">
        <f t="shared" si="157"/>
        <v>0</v>
      </c>
      <c r="KCG43">
        <f t="shared" si="157"/>
        <v>0</v>
      </c>
      <c r="KCH43">
        <f t="shared" si="157"/>
        <v>0</v>
      </c>
      <c r="KCI43">
        <f t="shared" si="157"/>
        <v>0</v>
      </c>
      <c r="KCJ43">
        <f t="shared" si="157"/>
        <v>0</v>
      </c>
      <c r="KCK43">
        <f t="shared" si="157"/>
        <v>0</v>
      </c>
      <c r="KCL43">
        <f t="shared" si="157"/>
        <v>0</v>
      </c>
      <c r="KCM43">
        <f t="shared" si="157"/>
        <v>0</v>
      </c>
      <c r="KCN43">
        <f t="shared" si="157"/>
        <v>0</v>
      </c>
      <c r="KCO43">
        <f t="shared" si="157"/>
        <v>0</v>
      </c>
      <c r="KCP43">
        <f t="shared" si="157"/>
        <v>0</v>
      </c>
      <c r="KCQ43">
        <f t="shared" si="157"/>
        <v>0</v>
      </c>
      <c r="KCR43">
        <f t="shared" si="157"/>
        <v>0</v>
      </c>
      <c r="KCS43">
        <f t="shared" si="157"/>
        <v>0</v>
      </c>
      <c r="KCT43">
        <f t="shared" si="157"/>
        <v>0</v>
      </c>
      <c r="KCU43">
        <f t="shared" si="157"/>
        <v>0</v>
      </c>
      <c r="KCV43">
        <f t="shared" si="157"/>
        <v>0</v>
      </c>
      <c r="KCW43">
        <f t="shared" si="157"/>
        <v>0</v>
      </c>
      <c r="KCX43">
        <f t="shared" si="157"/>
        <v>0</v>
      </c>
      <c r="KCY43">
        <f t="shared" si="157"/>
        <v>0</v>
      </c>
      <c r="KCZ43">
        <f t="shared" si="157"/>
        <v>0</v>
      </c>
      <c r="KDA43">
        <f t="shared" si="157"/>
        <v>0</v>
      </c>
      <c r="KDB43">
        <f t="shared" si="157"/>
        <v>0</v>
      </c>
      <c r="KDC43">
        <f t="shared" si="157"/>
        <v>0</v>
      </c>
      <c r="KDD43">
        <f t="shared" si="157"/>
        <v>0</v>
      </c>
      <c r="KDE43">
        <f t="shared" si="157"/>
        <v>0</v>
      </c>
      <c r="KDF43">
        <f t="shared" si="157"/>
        <v>0</v>
      </c>
      <c r="KDG43">
        <f t="shared" si="157"/>
        <v>0</v>
      </c>
      <c r="KDH43">
        <f t="shared" si="157"/>
        <v>0</v>
      </c>
      <c r="KDI43">
        <f t="shared" si="157"/>
        <v>0</v>
      </c>
      <c r="KDJ43">
        <f t="shared" si="158"/>
        <v>0</v>
      </c>
      <c r="KDK43">
        <f t="shared" si="158"/>
        <v>0</v>
      </c>
      <c r="KDL43">
        <f t="shared" si="158"/>
        <v>0</v>
      </c>
      <c r="KDM43">
        <f t="shared" si="158"/>
        <v>0</v>
      </c>
      <c r="KDN43">
        <f t="shared" si="158"/>
        <v>0</v>
      </c>
      <c r="KDO43">
        <f t="shared" si="158"/>
        <v>0</v>
      </c>
      <c r="KDP43">
        <f t="shared" si="158"/>
        <v>0</v>
      </c>
      <c r="KDQ43">
        <f t="shared" si="158"/>
        <v>0</v>
      </c>
      <c r="KDR43">
        <f t="shared" si="158"/>
        <v>0</v>
      </c>
      <c r="KDS43">
        <f t="shared" si="158"/>
        <v>0</v>
      </c>
      <c r="KDT43">
        <f t="shared" si="158"/>
        <v>0</v>
      </c>
      <c r="KDU43">
        <f t="shared" si="158"/>
        <v>0</v>
      </c>
      <c r="KDV43">
        <f t="shared" si="158"/>
        <v>0</v>
      </c>
      <c r="KDW43">
        <f t="shared" si="158"/>
        <v>0</v>
      </c>
      <c r="KDX43">
        <f t="shared" si="158"/>
        <v>0</v>
      </c>
      <c r="KDY43">
        <f t="shared" si="158"/>
        <v>0</v>
      </c>
      <c r="KDZ43">
        <f t="shared" si="158"/>
        <v>0</v>
      </c>
      <c r="KEA43">
        <f t="shared" si="158"/>
        <v>0</v>
      </c>
      <c r="KEB43">
        <f t="shared" si="158"/>
        <v>0</v>
      </c>
      <c r="KEC43">
        <f t="shared" si="158"/>
        <v>0</v>
      </c>
      <c r="KED43">
        <f t="shared" si="158"/>
        <v>0</v>
      </c>
      <c r="KEE43">
        <f t="shared" si="158"/>
        <v>0</v>
      </c>
      <c r="KEF43">
        <f t="shared" si="158"/>
        <v>0</v>
      </c>
      <c r="KEG43">
        <f t="shared" si="158"/>
        <v>0</v>
      </c>
      <c r="KEH43">
        <f t="shared" si="158"/>
        <v>0</v>
      </c>
      <c r="KEI43">
        <f t="shared" si="158"/>
        <v>0</v>
      </c>
      <c r="KEJ43">
        <f t="shared" si="158"/>
        <v>0</v>
      </c>
      <c r="KEK43">
        <f t="shared" si="158"/>
        <v>0</v>
      </c>
      <c r="KEL43">
        <f t="shared" si="158"/>
        <v>0</v>
      </c>
      <c r="KEM43">
        <f t="shared" si="158"/>
        <v>0</v>
      </c>
      <c r="KEN43">
        <f t="shared" si="158"/>
        <v>0</v>
      </c>
      <c r="KEO43">
        <f t="shared" si="158"/>
        <v>0</v>
      </c>
      <c r="KEP43">
        <f t="shared" si="158"/>
        <v>0</v>
      </c>
      <c r="KEQ43">
        <f t="shared" si="158"/>
        <v>0</v>
      </c>
      <c r="KER43">
        <f t="shared" si="158"/>
        <v>0</v>
      </c>
      <c r="KES43">
        <f t="shared" si="158"/>
        <v>0</v>
      </c>
      <c r="KET43">
        <f t="shared" si="158"/>
        <v>0</v>
      </c>
      <c r="KEU43">
        <f t="shared" si="158"/>
        <v>0</v>
      </c>
      <c r="KEV43">
        <f t="shared" si="158"/>
        <v>0</v>
      </c>
      <c r="KEW43">
        <f t="shared" si="158"/>
        <v>0</v>
      </c>
      <c r="KEX43">
        <f t="shared" si="158"/>
        <v>0</v>
      </c>
      <c r="KEY43">
        <f t="shared" si="158"/>
        <v>0</v>
      </c>
      <c r="KEZ43">
        <f t="shared" si="158"/>
        <v>0</v>
      </c>
      <c r="KFA43">
        <f t="shared" si="158"/>
        <v>0</v>
      </c>
      <c r="KFB43">
        <f t="shared" si="158"/>
        <v>0</v>
      </c>
      <c r="KFC43">
        <f t="shared" si="158"/>
        <v>0</v>
      </c>
      <c r="KFD43">
        <f t="shared" si="158"/>
        <v>0</v>
      </c>
      <c r="KFE43">
        <f t="shared" si="158"/>
        <v>0</v>
      </c>
      <c r="KFF43">
        <f t="shared" si="158"/>
        <v>0</v>
      </c>
      <c r="KFG43">
        <f t="shared" si="158"/>
        <v>0</v>
      </c>
      <c r="KFH43">
        <f t="shared" si="158"/>
        <v>0</v>
      </c>
      <c r="KFI43">
        <f t="shared" si="158"/>
        <v>0</v>
      </c>
      <c r="KFJ43">
        <f t="shared" si="158"/>
        <v>0</v>
      </c>
      <c r="KFK43">
        <f t="shared" si="158"/>
        <v>0</v>
      </c>
      <c r="KFL43">
        <f t="shared" si="158"/>
        <v>0</v>
      </c>
      <c r="KFM43">
        <f t="shared" si="158"/>
        <v>0</v>
      </c>
      <c r="KFN43">
        <f t="shared" si="158"/>
        <v>0</v>
      </c>
      <c r="KFO43">
        <f t="shared" si="158"/>
        <v>0</v>
      </c>
      <c r="KFP43">
        <f t="shared" si="158"/>
        <v>0</v>
      </c>
      <c r="KFQ43">
        <f t="shared" si="158"/>
        <v>0</v>
      </c>
      <c r="KFR43">
        <f t="shared" si="158"/>
        <v>0</v>
      </c>
      <c r="KFS43">
        <f t="shared" si="158"/>
        <v>0</v>
      </c>
      <c r="KFT43">
        <f t="shared" si="158"/>
        <v>0</v>
      </c>
      <c r="KFU43">
        <f t="shared" si="158"/>
        <v>0</v>
      </c>
      <c r="KFV43">
        <f t="shared" si="159"/>
        <v>0</v>
      </c>
      <c r="KFW43">
        <f t="shared" si="159"/>
        <v>0</v>
      </c>
      <c r="KFX43">
        <f t="shared" si="159"/>
        <v>0</v>
      </c>
      <c r="KFY43">
        <f t="shared" si="159"/>
        <v>0</v>
      </c>
      <c r="KFZ43">
        <f t="shared" si="159"/>
        <v>0</v>
      </c>
      <c r="KGA43">
        <f t="shared" si="159"/>
        <v>0</v>
      </c>
      <c r="KGB43">
        <f t="shared" si="159"/>
        <v>0</v>
      </c>
      <c r="KGC43">
        <f t="shared" si="159"/>
        <v>0</v>
      </c>
      <c r="KGD43">
        <f t="shared" si="159"/>
        <v>0</v>
      </c>
      <c r="KGE43">
        <f t="shared" si="159"/>
        <v>0</v>
      </c>
      <c r="KGF43">
        <f t="shared" si="159"/>
        <v>0</v>
      </c>
      <c r="KGG43">
        <f t="shared" si="159"/>
        <v>0</v>
      </c>
      <c r="KGH43">
        <f t="shared" si="159"/>
        <v>0</v>
      </c>
      <c r="KGI43">
        <f t="shared" si="159"/>
        <v>0</v>
      </c>
      <c r="KGJ43">
        <f t="shared" si="159"/>
        <v>0</v>
      </c>
      <c r="KGK43">
        <f t="shared" si="159"/>
        <v>0</v>
      </c>
      <c r="KGL43">
        <f t="shared" si="159"/>
        <v>0</v>
      </c>
      <c r="KGM43">
        <f t="shared" si="159"/>
        <v>0</v>
      </c>
      <c r="KGN43">
        <f t="shared" si="159"/>
        <v>0</v>
      </c>
      <c r="KGO43">
        <f t="shared" si="159"/>
        <v>0</v>
      </c>
      <c r="KGP43">
        <f t="shared" si="159"/>
        <v>0</v>
      </c>
      <c r="KGQ43">
        <f t="shared" si="159"/>
        <v>0</v>
      </c>
      <c r="KGR43">
        <f t="shared" si="159"/>
        <v>0</v>
      </c>
      <c r="KGS43">
        <f t="shared" si="159"/>
        <v>0</v>
      </c>
      <c r="KGT43">
        <f t="shared" si="159"/>
        <v>0</v>
      </c>
      <c r="KGU43">
        <f t="shared" si="159"/>
        <v>0</v>
      </c>
      <c r="KGV43">
        <f t="shared" si="159"/>
        <v>0</v>
      </c>
      <c r="KGW43">
        <f t="shared" si="159"/>
        <v>0</v>
      </c>
      <c r="KGX43">
        <f t="shared" si="159"/>
        <v>0</v>
      </c>
      <c r="KGY43">
        <f t="shared" si="159"/>
        <v>0</v>
      </c>
      <c r="KGZ43">
        <f t="shared" si="159"/>
        <v>0</v>
      </c>
      <c r="KHA43">
        <f t="shared" si="159"/>
        <v>0</v>
      </c>
      <c r="KHB43">
        <f t="shared" si="159"/>
        <v>0</v>
      </c>
      <c r="KHC43">
        <f t="shared" si="159"/>
        <v>0</v>
      </c>
      <c r="KHD43">
        <f t="shared" si="159"/>
        <v>0</v>
      </c>
      <c r="KHE43">
        <f t="shared" si="159"/>
        <v>0</v>
      </c>
      <c r="KHF43">
        <f t="shared" si="159"/>
        <v>0</v>
      </c>
      <c r="KHG43">
        <f t="shared" si="159"/>
        <v>0</v>
      </c>
      <c r="KHH43">
        <f t="shared" si="159"/>
        <v>0</v>
      </c>
      <c r="KHI43">
        <f t="shared" si="159"/>
        <v>0</v>
      </c>
      <c r="KHJ43">
        <f t="shared" si="159"/>
        <v>0</v>
      </c>
      <c r="KHK43">
        <f t="shared" si="159"/>
        <v>0</v>
      </c>
      <c r="KHL43">
        <f t="shared" si="159"/>
        <v>0</v>
      </c>
      <c r="KHM43">
        <f t="shared" si="159"/>
        <v>0</v>
      </c>
      <c r="KHN43">
        <f t="shared" si="159"/>
        <v>0</v>
      </c>
      <c r="KHO43">
        <f t="shared" si="159"/>
        <v>0</v>
      </c>
      <c r="KHP43">
        <f t="shared" si="159"/>
        <v>0</v>
      </c>
      <c r="KHQ43">
        <f t="shared" si="159"/>
        <v>0</v>
      </c>
      <c r="KHR43">
        <f t="shared" si="159"/>
        <v>0</v>
      </c>
      <c r="KHS43">
        <f t="shared" si="159"/>
        <v>0</v>
      </c>
      <c r="KHT43">
        <f t="shared" si="159"/>
        <v>0</v>
      </c>
      <c r="KHU43">
        <f t="shared" si="159"/>
        <v>0</v>
      </c>
      <c r="KHV43">
        <f t="shared" si="159"/>
        <v>0</v>
      </c>
      <c r="KHW43">
        <f t="shared" si="159"/>
        <v>0</v>
      </c>
      <c r="KHX43">
        <f t="shared" si="159"/>
        <v>0</v>
      </c>
      <c r="KHY43">
        <f t="shared" si="159"/>
        <v>0</v>
      </c>
      <c r="KHZ43">
        <f t="shared" si="159"/>
        <v>0</v>
      </c>
      <c r="KIA43">
        <f t="shared" si="159"/>
        <v>0</v>
      </c>
      <c r="KIB43">
        <f t="shared" si="159"/>
        <v>0</v>
      </c>
      <c r="KIC43">
        <f t="shared" si="159"/>
        <v>0</v>
      </c>
      <c r="KID43">
        <f t="shared" si="159"/>
        <v>0</v>
      </c>
      <c r="KIE43">
        <f t="shared" si="159"/>
        <v>0</v>
      </c>
      <c r="KIF43">
        <f t="shared" si="159"/>
        <v>0</v>
      </c>
      <c r="KIG43">
        <f t="shared" si="159"/>
        <v>0</v>
      </c>
      <c r="KIH43">
        <f t="shared" si="160"/>
        <v>0</v>
      </c>
      <c r="KII43">
        <f t="shared" si="160"/>
        <v>0</v>
      </c>
      <c r="KIJ43">
        <f t="shared" si="160"/>
        <v>0</v>
      </c>
      <c r="KIK43">
        <f t="shared" si="160"/>
        <v>0</v>
      </c>
      <c r="KIL43">
        <f t="shared" si="160"/>
        <v>0</v>
      </c>
      <c r="KIM43">
        <f t="shared" si="160"/>
        <v>0</v>
      </c>
      <c r="KIN43">
        <f t="shared" si="160"/>
        <v>0</v>
      </c>
      <c r="KIO43">
        <f t="shared" si="160"/>
        <v>0</v>
      </c>
      <c r="KIP43">
        <f t="shared" si="160"/>
        <v>0</v>
      </c>
      <c r="KIQ43">
        <f t="shared" si="160"/>
        <v>0</v>
      </c>
      <c r="KIR43">
        <f t="shared" si="160"/>
        <v>0</v>
      </c>
      <c r="KIS43">
        <f t="shared" si="160"/>
        <v>0</v>
      </c>
      <c r="KIT43">
        <f t="shared" si="160"/>
        <v>0</v>
      </c>
      <c r="KIU43">
        <f t="shared" si="160"/>
        <v>0</v>
      </c>
      <c r="KIV43">
        <f t="shared" si="160"/>
        <v>0</v>
      </c>
      <c r="KIW43">
        <f t="shared" si="160"/>
        <v>0</v>
      </c>
      <c r="KIX43">
        <f t="shared" si="160"/>
        <v>0</v>
      </c>
      <c r="KIY43">
        <f t="shared" si="160"/>
        <v>0</v>
      </c>
      <c r="KIZ43">
        <f t="shared" si="160"/>
        <v>0</v>
      </c>
      <c r="KJA43">
        <f t="shared" si="160"/>
        <v>0</v>
      </c>
      <c r="KJB43">
        <f t="shared" si="160"/>
        <v>0</v>
      </c>
      <c r="KJC43">
        <f t="shared" si="160"/>
        <v>0</v>
      </c>
      <c r="KJD43">
        <f t="shared" si="160"/>
        <v>0</v>
      </c>
      <c r="KJE43">
        <f t="shared" si="160"/>
        <v>0</v>
      </c>
      <c r="KJF43">
        <f t="shared" si="160"/>
        <v>0</v>
      </c>
      <c r="KJG43">
        <f t="shared" si="160"/>
        <v>0</v>
      </c>
      <c r="KJH43">
        <f t="shared" si="160"/>
        <v>0</v>
      </c>
      <c r="KJI43">
        <f t="shared" si="160"/>
        <v>0</v>
      </c>
      <c r="KJJ43">
        <f t="shared" si="160"/>
        <v>0</v>
      </c>
      <c r="KJK43">
        <f t="shared" si="160"/>
        <v>0</v>
      </c>
      <c r="KJL43">
        <f t="shared" si="160"/>
        <v>0</v>
      </c>
      <c r="KJM43">
        <f t="shared" si="160"/>
        <v>0</v>
      </c>
      <c r="KJN43">
        <f t="shared" si="160"/>
        <v>0</v>
      </c>
      <c r="KJO43">
        <f t="shared" si="160"/>
        <v>0</v>
      </c>
      <c r="KJP43">
        <f t="shared" si="160"/>
        <v>0</v>
      </c>
      <c r="KJQ43">
        <f t="shared" si="160"/>
        <v>0</v>
      </c>
      <c r="KJR43">
        <f t="shared" si="160"/>
        <v>0</v>
      </c>
      <c r="KJS43">
        <f t="shared" si="160"/>
        <v>0</v>
      </c>
      <c r="KJT43">
        <f t="shared" si="160"/>
        <v>0</v>
      </c>
      <c r="KJU43">
        <f t="shared" si="160"/>
        <v>0</v>
      </c>
      <c r="KJV43">
        <f t="shared" si="160"/>
        <v>0</v>
      </c>
      <c r="KJW43">
        <f t="shared" si="160"/>
        <v>0</v>
      </c>
      <c r="KJX43">
        <f t="shared" si="160"/>
        <v>0</v>
      </c>
      <c r="KJY43">
        <f t="shared" si="160"/>
        <v>0</v>
      </c>
      <c r="KJZ43">
        <f t="shared" si="160"/>
        <v>0</v>
      </c>
      <c r="KKA43">
        <f t="shared" si="160"/>
        <v>0</v>
      </c>
      <c r="KKB43">
        <f t="shared" si="160"/>
        <v>0</v>
      </c>
      <c r="KKC43">
        <f t="shared" si="160"/>
        <v>0</v>
      </c>
      <c r="KKD43">
        <f t="shared" si="160"/>
        <v>0</v>
      </c>
      <c r="KKE43">
        <f t="shared" si="160"/>
        <v>0</v>
      </c>
      <c r="KKF43">
        <f t="shared" si="160"/>
        <v>0</v>
      </c>
      <c r="KKG43">
        <f t="shared" si="160"/>
        <v>0</v>
      </c>
      <c r="KKH43">
        <f t="shared" si="160"/>
        <v>0</v>
      </c>
      <c r="KKI43">
        <f t="shared" si="160"/>
        <v>0</v>
      </c>
      <c r="KKJ43">
        <f t="shared" si="160"/>
        <v>0</v>
      </c>
      <c r="KKK43">
        <f t="shared" si="160"/>
        <v>0</v>
      </c>
      <c r="KKL43">
        <f t="shared" si="160"/>
        <v>0</v>
      </c>
      <c r="KKM43">
        <f t="shared" si="160"/>
        <v>0</v>
      </c>
      <c r="KKN43">
        <f t="shared" si="160"/>
        <v>0</v>
      </c>
      <c r="KKO43">
        <f t="shared" si="160"/>
        <v>0</v>
      </c>
      <c r="KKP43">
        <f t="shared" si="160"/>
        <v>0</v>
      </c>
      <c r="KKQ43">
        <f t="shared" si="160"/>
        <v>0</v>
      </c>
      <c r="KKR43">
        <f t="shared" si="160"/>
        <v>0</v>
      </c>
      <c r="KKS43">
        <f t="shared" si="160"/>
        <v>0</v>
      </c>
      <c r="KKT43">
        <f t="shared" si="161"/>
        <v>0</v>
      </c>
      <c r="KKU43">
        <f t="shared" si="161"/>
        <v>0</v>
      </c>
      <c r="KKV43">
        <f t="shared" si="161"/>
        <v>0</v>
      </c>
      <c r="KKW43">
        <f t="shared" si="161"/>
        <v>0</v>
      </c>
      <c r="KKX43">
        <f t="shared" si="161"/>
        <v>0</v>
      </c>
      <c r="KKY43">
        <f t="shared" si="161"/>
        <v>0</v>
      </c>
      <c r="KKZ43">
        <f t="shared" si="161"/>
        <v>0</v>
      </c>
      <c r="KLA43">
        <f t="shared" si="161"/>
        <v>0</v>
      </c>
      <c r="KLB43">
        <f t="shared" si="161"/>
        <v>0</v>
      </c>
      <c r="KLC43">
        <f t="shared" si="161"/>
        <v>0</v>
      </c>
      <c r="KLD43">
        <f t="shared" si="161"/>
        <v>0</v>
      </c>
      <c r="KLE43">
        <f t="shared" si="161"/>
        <v>0</v>
      </c>
      <c r="KLF43">
        <f t="shared" si="161"/>
        <v>0</v>
      </c>
      <c r="KLG43">
        <f t="shared" si="161"/>
        <v>0</v>
      </c>
      <c r="KLH43">
        <f t="shared" si="161"/>
        <v>0</v>
      </c>
      <c r="KLI43">
        <f t="shared" si="161"/>
        <v>0</v>
      </c>
      <c r="KLJ43">
        <f t="shared" si="161"/>
        <v>0</v>
      </c>
      <c r="KLK43">
        <f t="shared" si="161"/>
        <v>0</v>
      </c>
      <c r="KLL43">
        <f t="shared" si="161"/>
        <v>0</v>
      </c>
      <c r="KLM43">
        <f t="shared" si="161"/>
        <v>0</v>
      </c>
      <c r="KLN43">
        <f t="shared" si="161"/>
        <v>0</v>
      </c>
      <c r="KLO43">
        <f t="shared" si="161"/>
        <v>0</v>
      </c>
      <c r="KLP43">
        <f t="shared" si="161"/>
        <v>0</v>
      </c>
      <c r="KLQ43">
        <f t="shared" si="161"/>
        <v>0</v>
      </c>
      <c r="KLR43">
        <f t="shared" si="161"/>
        <v>0</v>
      </c>
      <c r="KLS43">
        <f t="shared" si="161"/>
        <v>0</v>
      </c>
      <c r="KLT43">
        <f t="shared" si="161"/>
        <v>0</v>
      </c>
      <c r="KLU43">
        <f t="shared" si="161"/>
        <v>0</v>
      </c>
      <c r="KLV43">
        <f t="shared" si="161"/>
        <v>0</v>
      </c>
      <c r="KLW43">
        <f t="shared" si="161"/>
        <v>0</v>
      </c>
      <c r="KLX43">
        <f t="shared" si="161"/>
        <v>0</v>
      </c>
      <c r="KLY43">
        <f t="shared" si="161"/>
        <v>0</v>
      </c>
      <c r="KLZ43">
        <f t="shared" si="161"/>
        <v>0</v>
      </c>
      <c r="KMA43">
        <f t="shared" si="161"/>
        <v>0</v>
      </c>
      <c r="KMB43">
        <f t="shared" si="161"/>
        <v>0</v>
      </c>
      <c r="KMC43">
        <f t="shared" si="161"/>
        <v>0</v>
      </c>
      <c r="KMD43">
        <f t="shared" si="161"/>
        <v>0</v>
      </c>
      <c r="KME43">
        <f t="shared" si="161"/>
        <v>0</v>
      </c>
      <c r="KMF43">
        <f t="shared" si="161"/>
        <v>0</v>
      </c>
      <c r="KMG43">
        <f t="shared" si="161"/>
        <v>0</v>
      </c>
      <c r="KMH43">
        <f t="shared" si="161"/>
        <v>0</v>
      </c>
      <c r="KMI43">
        <f t="shared" si="161"/>
        <v>0</v>
      </c>
      <c r="KMJ43">
        <f t="shared" si="161"/>
        <v>0</v>
      </c>
      <c r="KMK43">
        <f t="shared" si="161"/>
        <v>0</v>
      </c>
      <c r="KML43">
        <f t="shared" si="161"/>
        <v>0</v>
      </c>
      <c r="KMM43">
        <f t="shared" si="161"/>
        <v>0</v>
      </c>
      <c r="KMN43">
        <f t="shared" si="161"/>
        <v>0</v>
      </c>
      <c r="KMO43">
        <f t="shared" si="161"/>
        <v>0</v>
      </c>
      <c r="KMP43">
        <f t="shared" si="161"/>
        <v>0</v>
      </c>
      <c r="KMQ43">
        <f t="shared" si="161"/>
        <v>0</v>
      </c>
      <c r="KMR43">
        <f t="shared" si="161"/>
        <v>0</v>
      </c>
      <c r="KMS43">
        <f t="shared" si="161"/>
        <v>0</v>
      </c>
      <c r="KMT43">
        <f t="shared" si="161"/>
        <v>0</v>
      </c>
      <c r="KMU43">
        <f t="shared" si="161"/>
        <v>0</v>
      </c>
      <c r="KMV43">
        <f t="shared" si="161"/>
        <v>0</v>
      </c>
      <c r="KMW43">
        <f t="shared" si="161"/>
        <v>0</v>
      </c>
      <c r="KMX43">
        <f t="shared" si="161"/>
        <v>0</v>
      </c>
      <c r="KMY43">
        <f t="shared" si="161"/>
        <v>0</v>
      </c>
      <c r="KMZ43">
        <f t="shared" si="161"/>
        <v>0</v>
      </c>
      <c r="KNA43">
        <f t="shared" si="161"/>
        <v>0</v>
      </c>
      <c r="KNB43">
        <f t="shared" si="161"/>
        <v>0</v>
      </c>
      <c r="KNC43">
        <f t="shared" si="161"/>
        <v>0</v>
      </c>
      <c r="KND43">
        <f t="shared" si="161"/>
        <v>0</v>
      </c>
      <c r="KNE43">
        <f t="shared" si="161"/>
        <v>0</v>
      </c>
      <c r="KNF43">
        <f t="shared" si="162"/>
        <v>0</v>
      </c>
      <c r="KNG43">
        <f t="shared" si="162"/>
        <v>0</v>
      </c>
      <c r="KNH43">
        <f t="shared" si="162"/>
        <v>0</v>
      </c>
      <c r="KNI43">
        <f t="shared" si="162"/>
        <v>0</v>
      </c>
      <c r="KNJ43">
        <f t="shared" si="162"/>
        <v>0</v>
      </c>
      <c r="KNK43">
        <f t="shared" si="162"/>
        <v>0</v>
      </c>
      <c r="KNL43">
        <f t="shared" si="162"/>
        <v>0</v>
      </c>
      <c r="KNM43">
        <f t="shared" si="162"/>
        <v>0</v>
      </c>
      <c r="KNN43">
        <f t="shared" si="162"/>
        <v>0</v>
      </c>
      <c r="KNO43">
        <f t="shared" si="162"/>
        <v>0</v>
      </c>
      <c r="KNP43">
        <f t="shared" si="162"/>
        <v>0</v>
      </c>
      <c r="KNQ43">
        <f t="shared" si="162"/>
        <v>0</v>
      </c>
      <c r="KNR43">
        <f t="shared" si="162"/>
        <v>0</v>
      </c>
      <c r="KNS43">
        <f t="shared" si="162"/>
        <v>0</v>
      </c>
      <c r="KNT43">
        <f t="shared" si="162"/>
        <v>0</v>
      </c>
      <c r="KNU43">
        <f t="shared" si="162"/>
        <v>0</v>
      </c>
      <c r="KNV43">
        <f t="shared" si="162"/>
        <v>0</v>
      </c>
      <c r="KNW43">
        <f t="shared" si="162"/>
        <v>0</v>
      </c>
      <c r="KNX43">
        <f t="shared" si="162"/>
        <v>0</v>
      </c>
      <c r="KNY43">
        <f t="shared" si="162"/>
        <v>0</v>
      </c>
      <c r="KNZ43">
        <f t="shared" si="162"/>
        <v>0</v>
      </c>
      <c r="KOA43">
        <f t="shared" si="162"/>
        <v>0</v>
      </c>
      <c r="KOB43">
        <f t="shared" si="162"/>
        <v>0</v>
      </c>
      <c r="KOC43">
        <f t="shared" si="162"/>
        <v>0</v>
      </c>
      <c r="KOD43">
        <f t="shared" si="162"/>
        <v>0</v>
      </c>
      <c r="KOE43">
        <f t="shared" si="162"/>
        <v>0</v>
      </c>
      <c r="KOF43">
        <f t="shared" si="162"/>
        <v>0</v>
      </c>
      <c r="KOG43">
        <f t="shared" si="162"/>
        <v>0</v>
      </c>
      <c r="KOH43">
        <f t="shared" si="162"/>
        <v>0</v>
      </c>
      <c r="KOI43">
        <f t="shared" si="162"/>
        <v>0</v>
      </c>
      <c r="KOJ43">
        <f t="shared" si="162"/>
        <v>0</v>
      </c>
      <c r="KOK43">
        <f t="shared" si="162"/>
        <v>0</v>
      </c>
      <c r="KOL43">
        <f t="shared" si="162"/>
        <v>0</v>
      </c>
      <c r="KOM43">
        <f t="shared" si="162"/>
        <v>0</v>
      </c>
      <c r="KON43">
        <f t="shared" si="162"/>
        <v>0</v>
      </c>
      <c r="KOO43">
        <f t="shared" si="162"/>
        <v>0</v>
      </c>
      <c r="KOP43">
        <f t="shared" si="162"/>
        <v>0</v>
      </c>
      <c r="KOQ43">
        <f t="shared" si="162"/>
        <v>0</v>
      </c>
      <c r="KOR43">
        <f t="shared" si="162"/>
        <v>0</v>
      </c>
      <c r="KOS43">
        <f t="shared" si="162"/>
        <v>0</v>
      </c>
      <c r="KOT43">
        <f t="shared" si="162"/>
        <v>0</v>
      </c>
      <c r="KOU43">
        <f t="shared" si="162"/>
        <v>0</v>
      </c>
      <c r="KOV43">
        <f t="shared" si="162"/>
        <v>0</v>
      </c>
      <c r="KOW43">
        <f t="shared" si="162"/>
        <v>0</v>
      </c>
      <c r="KOX43">
        <f t="shared" si="162"/>
        <v>0</v>
      </c>
      <c r="KOY43">
        <f t="shared" si="162"/>
        <v>0</v>
      </c>
      <c r="KOZ43">
        <f t="shared" si="162"/>
        <v>0</v>
      </c>
      <c r="KPA43">
        <f t="shared" si="162"/>
        <v>0</v>
      </c>
      <c r="KPB43">
        <f t="shared" si="162"/>
        <v>0</v>
      </c>
      <c r="KPC43">
        <f t="shared" si="162"/>
        <v>0</v>
      </c>
      <c r="KPD43">
        <f t="shared" si="162"/>
        <v>0</v>
      </c>
      <c r="KPE43">
        <f t="shared" si="162"/>
        <v>0</v>
      </c>
      <c r="KPF43">
        <f t="shared" si="162"/>
        <v>0</v>
      </c>
      <c r="KPG43">
        <f t="shared" si="162"/>
        <v>0</v>
      </c>
      <c r="KPH43">
        <f t="shared" si="162"/>
        <v>0</v>
      </c>
      <c r="KPI43">
        <f t="shared" si="162"/>
        <v>0</v>
      </c>
      <c r="KPJ43">
        <f t="shared" si="162"/>
        <v>0</v>
      </c>
      <c r="KPK43">
        <f t="shared" si="162"/>
        <v>0</v>
      </c>
      <c r="KPL43">
        <f t="shared" si="162"/>
        <v>0</v>
      </c>
      <c r="KPM43">
        <f t="shared" si="162"/>
        <v>0</v>
      </c>
      <c r="KPN43">
        <f t="shared" si="162"/>
        <v>0</v>
      </c>
      <c r="KPO43">
        <f t="shared" si="162"/>
        <v>0</v>
      </c>
      <c r="KPP43">
        <f t="shared" si="162"/>
        <v>0</v>
      </c>
      <c r="KPQ43">
        <f t="shared" si="162"/>
        <v>0</v>
      </c>
      <c r="KPR43">
        <f t="shared" si="163"/>
        <v>0</v>
      </c>
      <c r="KPS43">
        <f t="shared" si="163"/>
        <v>0</v>
      </c>
      <c r="KPT43">
        <f t="shared" si="163"/>
        <v>0</v>
      </c>
      <c r="KPU43">
        <f t="shared" si="163"/>
        <v>0</v>
      </c>
      <c r="KPV43">
        <f t="shared" si="163"/>
        <v>0</v>
      </c>
      <c r="KPW43">
        <f t="shared" si="163"/>
        <v>0</v>
      </c>
      <c r="KPX43">
        <f t="shared" si="163"/>
        <v>0</v>
      </c>
      <c r="KPY43">
        <f t="shared" si="163"/>
        <v>0</v>
      </c>
      <c r="KPZ43">
        <f t="shared" si="163"/>
        <v>0</v>
      </c>
      <c r="KQA43">
        <f t="shared" si="163"/>
        <v>0</v>
      </c>
      <c r="KQB43">
        <f t="shared" si="163"/>
        <v>0</v>
      </c>
      <c r="KQC43">
        <f t="shared" si="163"/>
        <v>0</v>
      </c>
      <c r="KQD43">
        <f t="shared" si="163"/>
        <v>0</v>
      </c>
      <c r="KQE43">
        <f t="shared" si="163"/>
        <v>0</v>
      </c>
      <c r="KQF43">
        <f t="shared" si="163"/>
        <v>0</v>
      </c>
      <c r="KQG43">
        <f t="shared" si="163"/>
        <v>0</v>
      </c>
      <c r="KQH43">
        <f t="shared" si="163"/>
        <v>0</v>
      </c>
      <c r="KQI43">
        <f t="shared" si="163"/>
        <v>0</v>
      </c>
      <c r="KQJ43">
        <f t="shared" si="163"/>
        <v>0</v>
      </c>
      <c r="KQK43">
        <f t="shared" si="163"/>
        <v>0</v>
      </c>
      <c r="KQL43">
        <f t="shared" si="163"/>
        <v>0</v>
      </c>
      <c r="KQM43">
        <f t="shared" si="163"/>
        <v>0</v>
      </c>
      <c r="KQN43">
        <f t="shared" si="163"/>
        <v>0</v>
      </c>
      <c r="KQO43">
        <f t="shared" si="163"/>
        <v>0</v>
      </c>
      <c r="KQP43">
        <f t="shared" si="163"/>
        <v>0</v>
      </c>
      <c r="KQQ43">
        <f t="shared" si="163"/>
        <v>0</v>
      </c>
      <c r="KQR43">
        <f t="shared" si="163"/>
        <v>0</v>
      </c>
      <c r="KQS43">
        <f t="shared" si="163"/>
        <v>0</v>
      </c>
      <c r="KQT43">
        <f t="shared" si="163"/>
        <v>0</v>
      </c>
      <c r="KQU43">
        <f t="shared" si="163"/>
        <v>0</v>
      </c>
      <c r="KQV43">
        <f t="shared" si="163"/>
        <v>0</v>
      </c>
      <c r="KQW43">
        <f t="shared" si="163"/>
        <v>0</v>
      </c>
      <c r="KQX43">
        <f t="shared" si="163"/>
        <v>0</v>
      </c>
      <c r="KQY43">
        <f t="shared" si="163"/>
        <v>0</v>
      </c>
      <c r="KQZ43">
        <f t="shared" si="163"/>
        <v>0</v>
      </c>
      <c r="KRA43">
        <f t="shared" si="163"/>
        <v>0</v>
      </c>
      <c r="KRB43">
        <f t="shared" si="163"/>
        <v>0</v>
      </c>
      <c r="KRC43">
        <f t="shared" si="163"/>
        <v>0</v>
      </c>
      <c r="KRD43">
        <f t="shared" si="163"/>
        <v>0</v>
      </c>
      <c r="KRE43">
        <f t="shared" si="163"/>
        <v>0</v>
      </c>
      <c r="KRF43">
        <f t="shared" si="163"/>
        <v>0</v>
      </c>
      <c r="KRG43">
        <f t="shared" si="163"/>
        <v>0</v>
      </c>
      <c r="KRH43">
        <f t="shared" si="163"/>
        <v>0</v>
      </c>
      <c r="KRI43">
        <f t="shared" si="163"/>
        <v>0</v>
      </c>
      <c r="KRJ43">
        <f t="shared" si="163"/>
        <v>0</v>
      </c>
      <c r="KRK43">
        <f t="shared" si="163"/>
        <v>0</v>
      </c>
      <c r="KRL43">
        <f t="shared" si="163"/>
        <v>0</v>
      </c>
      <c r="KRM43">
        <f t="shared" si="163"/>
        <v>0</v>
      </c>
      <c r="KRN43">
        <f t="shared" si="163"/>
        <v>0</v>
      </c>
      <c r="KRO43">
        <f t="shared" si="163"/>
        <v>0</v>
      </c>
      <c r="KRP43">
        <f t="shared" si="163"/>
        <v>0</v>
      </c>
      <c r="KRQ43">
        <f t="shared" si="163"/>
        <v>0</v>
      </c>
      <c r="KRR43">
        <f t="shared" si="163"/>
        <v>0</v>
      </c>
      <c r="KRS43">
        <f t="shared" si="163"/>
        <v>0</v>
      </c>
      <c r="KRT43">
        <f t="shared" si="163"/>
        <v>0</v>
      </c>
      <c r="KRU43">
        <f t="shared" si="163"/>
        <v>0</v>
      </c>
      <c r="KRV43">
        <f t="shared" si="163"/>
        <v>0</v>
      </c>
      <c r="KRW43">
        <f t="shared" si="163"/>
        <v>0</v>
      </c>
      <c r="KRX43">
        <f t="shared" si="163"/>
        <v>0</v>
      </c>
      <c r="KRY43">
        <f t="shared" si="163"/>
        <v>0</v>
      </c>
      <c r="KRZ43">
        <f t="shared" si="163"/>
        <v>0</v>
      </c>
      <c r="KSA43">
        <f t="shared" si="163"/>
        <v>0</v>
      </c>
      <c r="KSB43">
        <f t="shared" si="163"/>
        <v>0</v>
      </c>
      <c r="KSC43">
        <f t="shared" si="163"/>
        <v>0</v>
      </c>
      <c r="KSD43">
        <f t="shared" si="164"/>
        <v>0</v>
      </c>
      <c r="KSE43">
        <f t="shared" si="164"/>
        <v>0</v>
      </c>
      <c r="KSF43">
        <f t="shared" si="164"/>
        <v>0</v>
      </c>
      <c r="KSG43">
        <f t="shared" si="164"/>
        <v>0</v>
      </c>
      <c r="KSH43">
        <f t="shared" si="164"/>
        <v>0</v>
      </c>
      <c r="KSI43">
        <f t="shared" si="164"/>
        <v>0</v>
      </c>
      <c r="KSJ43">
        <f t="shared" si="164"/>
        <v>0</v>
      </c>
      <c r="KSK43">
        <f t="shared" si="164"/>
        <v>0</v>
      </c>
      <c r="KSL43">
        <f t="shared" si="164"/>
        <v>0</v>
      </c>
      <c r="KSM43">
        <f t="shared" si="164"/>
        <v>0</v>
      </c>
      <c r="KSN43">
        <f t="shared" si="164"/>
        <v>0</v>
      </c>
      <c r="KSO43">
        <f t="shared" si="164"/>
        <v>0</v>
      </c>
      <c r="KSP43">
        <f t="shared" si="164"/>
        <v>0</v>
      </c>
      <c r="KSQ43">
        <f t="shared" si="164"/>
        <v>0</v>
      </c>
      <c r="KSR43">
        <f t="shared" si="164"/>
        <v>0</v>
      </c>
      <c r="KSS43">
        <f t="shared" si="164"/>
        <v>0</v>
      </c>
      <c r="KST43">
        <f t="shared" si="164"/>
        <v>0</v>
      </c>
      <c r="KSU43">
        <f t="shared" si="164"/>
        <v>0</v>
      </c>
      <c r="KSV43">
        <f t="shared" si="164"/>
        <v>0</v>
      </c>
      <c r="KSW43">
        <f t="shared" si="164"/>
        <v>0</v>
      </c>
      <c r="KSX43">
        <f t="shared" si="164"/>
        <v>0</v>
      </c>
      <c r="KSY43">
        <f t="shared" si="164"/>
        <v>0</v>
      </c>
      <c r="KSZ43">
        <f t="shared" si="164"/>
        <v>0</v>
      </c>
      <c r="KTA43">
        <f t="shared" si="164"/>
        <v>0</v>
      </c>
      <c r="KTB43">
        <f t="shared" si="164"/>
        <v>0</v>
      </c>
      <c r="KTC43">
        <f t="shared" si="164"/>
        <v>0</v>
      </c>
      <c r="KTD43">
        <f t="shared" si="164"/>
        <v>0</v>
      </c>
      <c r="KTE43">
        <f t="shared" si="164"/>
        <v>0</v>
      </c>
      <c r="KTF43">
        <f t="shared" si="164"/>
        <v>0</v>
      </c>
      <c r="KTG43">
        <f t="shared" si="164"/>
        <v>0</v>
      </c>
      <c r="KTH43">
        <f t="shared" si="164"/>
        <v>0</v>
      </c>
      <c r="KTI43">
        <f t="shared" si="164"/>
        <v>0</v>
      </c>
      <c r="KTJ43">
        <f t="shared" si="164"/>
        <v>0</v>
      </c>
      <c r="KTK43">
        <f t="shared" si="164"/>
        <v>0</v>
      </c>
      <c r="KTL43">
        <f t="shared" si="164"/>
        <v>0</v>
      </c>
      <c r="KTM43">
        <f t="shared" si="164"/>
        <v>0</v>
      </c>
      <c r="KTN43">
        <f t="shared" si="164"/>
        <v>0</v>
      </c>
      <c r="KTO43">
        <f t="shared" si="164"/>
        <v>0</v>
      </c>
      <c r="KTP43">
        <f t="shared" si="164"/>
        <v>0</v>
      </c>
      <c r="KTQ43">
        <f t="shared" si="164"/>
        <v>0</v>
      </c>
      <c r="KTR43">
        <f t="shared" si="164"/>
        <v>0</v>
      </c>
      <c r="KTS43">
        <f t="shared" si="164"/>
        <v>0</v>
      </c>
      <c r="KTT43">
        <f t="shared" si="164"/>
        <v>0</v>
      </c>
      <c r="KTU43">
        <f t="shared" si="164"/>
        <v>0</v>
      </c>
      <c r="KTV43">
        <f t="shared" si="164"/>
        <v>0</v>
      </c>
      <c r="KTW43">
        <f t="shared" si="164"/>
        <v>0</v>
      </c>
      <c r="KTX43">
        <f t="shared" si="164"/>
        <v>0</v>
      </c>
      <c r="KTY43">
        <f t="shared" si="164"/>
        <v>0</v>
      </c>
      <c r="KTZ43">
        <f t="shared" si="164"/>
        <v>0</v>
      </c>
      <c r="KUA43">
        <f t="shared" si="164"/>
        <v>0</v>
      </c>
      <c r="KUB43">
        <f t="shared" si="164"/>
        <v>0</v>
      </c>
      <c r="KUC43">
        <f t="shared" si="164"/>
        <v>0</v>
      </c>
      <c r="KUD43">
        <f t="shared" si="164"/>
        <v>0</v>
      </c>
      <c r="KUE43">
        <f t="shared" si="164"/>
        <v>0</v>
      </c>
      <c r="KUF43">
        <f t="shared" si="164"/>
        <v>0</v>
      </c>
      <c r="KUG43">
        <f t="shared" si="164"/>
        <v>0</v>
      </c>
      <c r="KUH43">
        <f t="shared" si="164"/>
        <v>0</v>
      </c>
      <c r="KUI43">
        <f t="shared" si="164"/>
        <v>0</v>
      </c>
      <c r="KUJ43">
        <f t="shared" si="164"/>
        <v>0</v>
      </c>
      <c r="KUK43">
        <f t="shared" si="164"/>
        <v>0</v>
      </c>
      <c r="KUL43">
        <f t="shared" si="164"/>
        <v>0</v>
      </c>
      <c r="KUM43">
        <f t="shared" si="164"/>
        <v>0</v>
      </c>
      <c r="KUN43">
        <f t="shared" si="164"/>
        <v>0</v>
      </c>
      <c r="KUO43">
        <f t="shared" si="164"/>
        <v>0</v>
      </c>
      <c r="KUP43">
        <f t="shared" si="165"/>
        <v>0</v>
      </c>
      <c r="KUQ43">
        <f t="shared" si="165"/>
        <v>0</v>
      </c>
      <c r="KUR43">
        <f t="shared" si="165"/>
        <v>0</v>
      </c>
      <c r="KUS43">
        <f t="shared" si="165"/>
        <v>0</v>
      </c>
      <c r="KUT43">
        <f t="shared" si="165"/>
        <v>0</v>
      </c>
      <c r="KUU43">
        <f t="shared" si="165"/>
        <v>0</v>
      </c>
      <c r="KUV43">
        <f t="shared" si="165"/>
        <v>0</v>
      </c>
      <c r="KUW43">
        <f t="shared" si="165"/>
        <v>0</v>
      </c>
      <c r="KUX43">
        <f t="shared" si="165"/>
        <v>0</v>
      </c>
      <c r="KUY43">
        <f t="shared" si="165"/>
        <v>0</v>
      </c>
      <c r="KUZ43">
        <f t="shared" si="165"/>
        <v>0</v>
      </c>
      <c r="KVA43">
        <f t="shared" si="165"/>
        <v>0</v>
      </c>
      <c r="KVB43">
        <f t="shared" si="165"/>
        <v>0</v>
      </c>
      <c r="KVC43">
        <f t="shared" si="165"/>
        <v>0</v>
      </c>
      <c r="KVD43">
        <f t="shared" si="165"/>
        <v>0</v>
      </c>
      <c r="KVE43">
        <f t="shared" si="165"/>
        <v>0</v>
      </c>
      <c r="KVF43">
        <f t="shared" si="165"/>
        <v>0</v>
      </c>
      <c r="KVG43">
        <f t="shared" si="165"/>
        <v>0</v>
      </c>
      <c r="KVH43">
        <f t="shared" si="165"/>
        <v>0</v>
      </c>
      <c r="KVI43">
        <f t="shared" si="165"/>
        <v>0</v>
      </c>
      <c r="KVJ43">
        <f t="shared" si="165"/>
        <v>0</v>
      </c>
      <c r="KVK43">
        <f t="shared" si="165"/>
        <v>0</v>
      </c>
      <c r="KVL43">
        <f t="shared" si="165"/>
        <v>0</v>
      </c>
      <c r="KVM43">
        <f t="shared" si="165"/>
        <v>0</v>
      </c>
      <c r="KVN43">
        <f t="shared" si="165"/>
        <v>0</v>
      </c>
      <c r="KVO43">
        <f t="shared" si="165"/>
        <v>0</v>
      </c>
      <c r="KVP43">
        <f t="shared" si="165"/>
        <v>0</v>
      </c>
      <c r="KVQ43">
        <f t="shared" si="165"/>
        <v>0</v>
      </c>
      <c r="KVR43">
        <f t="shared" si="165"/>
        <v>0</v>
      </c>
      <c r="KVS43">
        <f t="shared" si="165"/>
        <v>0</v>
      </c>
      <c r="KVT43">
        <f t="shared" si="165"/>
        <v>0</v>
      </c>
      <c r="KVU43">
        <f t="shared" si="165"/>
        <v>0</v>
      </c>
      <c r="KVV43">
        <f t="shared" si="165"/>
        <v>0</v>
      </c>
      <c r="KVW43">
        <f t="shared" si="165"/>
        <v>0</v>
      </c>
      <c r="KVX43">
        <f t="shared" si="165"/>
        <v>0</v>
      </c>
      <c r="KVY43">
        <f t="shared" si="165"/>
        <v>0</v>
      </c>
      <c r="KVZ43">
        <f t="shared" si="165"/>
        <v>0</v>
      </c>
      <c r="KWA43">
        <f t="shared" si="165"/>
        <v>0</v>
      </c>
      <c r="KWB43">
        <f t="shared" si="165"/>
        <v>0</v>
      </c>
      <c r="KWC43">
        <f t="shared" si="165"/>
        <v>0</v>
      </c>
      <c r="KWD43">
        <f t="shared" si="165"/>
        <v>0</v>
      </c>
      <c r="KWE43">
        <f t="shared" si="165"/>
        <v>0</v>
      </c>
      <c r="KWF43">
        <f t="shared" si="165"/>
        <v>0</v>
      </c>
      <c r="KWG43">
        <f t="shared" si="165"/>
        <v>0</v>
      </c>
      <c r="KWH43">
        <f t="shared" si="165"/>
        <v>0</v>
      </c>
      <c r="KWI43">
        <f t="shared" si="165"/>
        <v>0</v>
      </c>
      <c r="KWJ43">
        <f t="shared" si="165"/>
        <v>0</v>
      </c>
      <c r="KWK43">
        <f t="shared" si="165"/>
        <v>0</v>
      </c>
      <c r="KWL43">
        <f t="shared" si="165"/>
        <v>0</v>
      </c>
      <c r="KWM43">
        <f t="shared" si="165"/>
        <v>0</v>
      </c>
      <c r="KWN43">
        <f t="shared" si="165"/>
        <v>0</v>
      </c>
      <c r="KWO43">
        <f t="shared" si="165"/>
        <v>0</v>
      </c>
      <c r="KWP43">
        <f t="shared" si="165"/>
        <v>0</v>
      </c>
      <c r="KWQ43">
        <f t="shared" si="165"/>
        <v>0</v>
      </c>
      <c r="KWR43">
        <f t="shared" si="165"/>
        <v>0</v>
      </c>
      <c r="KWS43">
        <f t="shared" si="165"/>
        <v>0</v>
      </c>
      <c r="KWT43">
        <f t="shared" si="165"/>
        <v>0</v>
      </c>
      <c r="KWU43">
        <f t="shared" si="165"/>
        <v>0</v>
      </c>
      <c r="KWV43">
        <f t="shared" si="165"/>
        <v>0</v>
      </c>
      <c r="KWW43">
        <f t="shared" si="165"/>
        <v>0</v>
      </c>
      <c r="KWX43">
        <f t="shared" si="165"/>
        <v>0</v>
      </c>
      <c r="KWY43">
        <f t="shared" si="165"/>
        <v>0</v>
      </c>
      <c r="KWZ43">
        <f t="shared" si="165"/>
        <v>0</v>
      </c>
      <c r="KXA43">
        <f t="shared" si="165"/>
        <v>0</v>
      </c>
      <c r="KXB43">
        <f t="shared" si="166"/>
        <v>0</v>
      </c>
      <c r="KXC43">
        <f t="shared" si="166"/>
        <v>0</v>
      </c>
      <c r="KXD43">
        <f t="shared" si="166"/>
        <v>0</v>
      </c>
      <c r="KXE43">
        <f t="shared" si="166"/>
        <v>0</v>
      </c>
      <c r="KXF43">
        <f t="shared" si="166"/>
        <v>0</v>
      </c>
      <c r="KXG43">
        <f t="shared" si="166"/>
        <v>0</v>
      </c>
      <c r="KXH43">
        <f t="shared" si="166"/>
        <v>0</v>
      </c>
      <c r="KXI43">
        <f t="shared" si="166"/>
        <v>0</v>
      </c>
      <c r="KXJ43">
        <f t="shared" si="166"/>
        <v>0</v>
      </c>
      <c r="KXK43">
        <f t="shared" si="166"/>
        <v>0</v>
      </c>
      <c r="KXL43">
        <f t="shared" si="166"/>
        <v>0</v>
      </c>
      <c r="KXM43">
        <f t="shared" si="166"/>
        <v>0</v>
      </c>
      <c r="KXN43">
        <f t="shared" si="166"/>
        <v>0</v>
      </c>
      <c r="KXO43">
        <f t="shared" si="166"/>
        <v>0</v>
      </c>
      <c r="KXP43">
        <f t="shared" si="166"/>
        <v>0</v>
      </c>
      <c r="KXQ43">
        <f t="shared" si="166"/>
        <v>0</v>
      </c>
      <c r="KXR43">
        <f t="shared" si="166"/>
        <v>0</v>
      </c>
      <c r="KXS43">
        <f t="shared" si="166"/>
        <v>0</v>
      </c>
      <c r="KXT43">
        <f t="shared" si="166"/>
        <v>0</v>
      </c>
      <c r="KXU43">
        <f t="shared" si="166"/>
        <v>0</v>
      </c>
      <c r="KXV43">
        <f t="shared" si="166"/>
        <v>0</v>
      </c>
      <c r="KXW43">
        <f t="shared" si="166"/>
        <v>0</v>
      </c>
      <c r="KXX43">
        <f t="shared" si="166"/>
        <v>0</v>
      </c>
      <c r="KXY43">
        <f t="shared" si="166"/>
        <v>0</v>
      </c>
      <c r="KXZ43">
        <f t="shared" si="166"/>
        <v>0</v>
      </c>
      <c r="KYA43">
        <f t="shared" si="166"/>
        <v>0</v>
      </c>
      <c r="KYB43">
        <f t="shared" si="166"/>
        <v>0</v>
      </c>
      <c r="KYC43">
        <f t="shared" si="166"/>
        <v>0</v>
      </c>
      <c r="KYD43">
        <f t="shared" si="166"/>
        <v>0</v>
      </c>
      <c r="KYE43">
        <f t="shared" si="166"/>
        <v>0</v>
      </c>
      <c r="KYF43">
        <f t="shared" si="166"/>
        <v>0</v>
      </c>
      <c r="KYG43">
        <f t="shared" si="166"/>
        <v>0</v>
      </c>
      <c r="KYH43">
        <f t="shared" si="166"/>
        <v>0</v>
      </c>
      <c r="KYI43">
        <f t="shared" si="166"/>
        <v>0</v>
      </c>
      <c r="KYJ43">
        <f t="shared" si="166"/>
        <v>0</v>
      </c>
      <c r="KYK43">
        <f t="shared" si="166"/>
        <v>0</v>
      </c>
      <c r="KYL43">
        <f t="shared" si="166"/>
        <v>0</v>
      </c>
      <c r="KYM43">
        <f t="shared" si="166"/>
        <v>0</v>
      </c>
      <c r="KYN43">
        <f t="shared" si="166"/>
        <v>0</v>
      </c>
      <c r="KYO43">
        <f t="shared" si="166"/>
        <v>0</v>
      </c>
      <c r="KYP43">
        <f t="shared" si="166"/>
        <v>0</v>
      </c>
      <c r="KYQ43">
        <f t="shared" si="166"/>
        <v>0</v>
      </c>
      <c r="KYR43">
        <f t="shared" si="166"/>
        <v>0</v>
      </c>
      <c r="KYS43">
        <f t="shared" si="166"/>
        <v>0</v>
      </c>
      <c r="KYT43">
        <f t="shared" si="166"/>
        <v>0</v>
      </c>
      <c r="KYU43">
        <f t="shared" si="166"/>
        <v>0</v>
      </c>
      <c r="KYV43">
        <f t="shared" si="166"/>
        <v>0</v>
      </c>
      <c r="KYW43">
        <f t="shared" si="166"/>
        <v>0</v>
      </c>
      <c r="KYX43">
        <f t="shared" si="166"/>
        <v>0</v>
      </c>
      <c r="KYY43">
        <f t="shared" si="166"/>
        <v>0</v>
      </c>
      <c r="KYZ43">
        <f t="shared" si="166"/>
        <v>0</v>
      </c>
      <c r="KZA43">
        <f t="shared" si="166"/>
        <v>0</v>
      </c>
      <c r="KZB43">
        <f t="shared" si="166"/>
        <v>0</v>
      </c>
      <c r="KZC43">
        <f t="shared" si="166"/>
        <v>0</v>
      </c>
      <c r="KZD43">
        <f t="shared" si="166"/>
        <v>0</v>
      </c>
      <c r="KZE43">
        <f t="shared" si="166"/>
        <v>0</v>
      </c>
      <c r="KZF43">
        <f t="shared" si="166"/>
        <v>0</v>
      </c>
      <c r="KZG43">
        <f t="shared" si="166"/>
        <v>0</v>
      </c>
      <c r="KZH43">
        <f t="shared" si="166"/>
        <v>0</v>
      </c>
      <c r="KZI43">
        <f t="shared" si="166"/>
        <v>0</v>
      </c>
      <c r="KZJ43">
        <f t="shared" si="166"/>
        <v>0</v>
      </c>
      <c r="KZK43">
        <f t="shared" si="166"/>
        <v>0</v>
      </c>
      <c r="KZL43">
        <f t="shared" si="166"/>
        <v>0</v>
      </c>
      <c r="KZM43">
        <f t="shared" si="166"/>
        <v>0</v>
      </c>
      <c r="KZN43">
        <f t="shared" si="167"/>
        <v>0</v>
      </c>
      <c r="KZO43">
        <f t="shared" si="167"/>
        <v>0</v>
      </c>
      <c r="KZP43">
        <f t="shared" si="167"/>
        <v>0</v>
      </c>
      <c r="KZQ43">
        <f t="shared" si="167"/>
        <v>0</v>
      </c>
      <c r="KZR43">
        <f t="shared" si="167"/>
        <v>0</v>
      </c>
      <c r="KZS43">
        <f t="shared" si="167"/>
        <v>0</v>
      </c>
      <c r="KZT43">
        <f t="shared" si="167"/>
        <v>0</v>
      </c>
      <c r="KZU43">
        <f t="shared" si="167"/>
        <v>0</v>
      </c>
      <c r="KZV43">
        <f t="shared" si="167"/>
        <v>0</v>
      </c>
      <c r="KZW43">
        <f t="shared" si="167"/>
        <v>0</v>
      </c>
      <c r="KZX43">
        <f t="shared" si="167"/>
        <v>0</v>
      </c>
      <c r="KZY43">
        <f t="shared" si="167"/>
        <v>0</v>
      </c>
      <c r="KZZ43">
        <f t="shared" si="167"/>
        <v>0</v>
      </c>
      <c r="LAA43">
        <f t="shared" si="167"/>
        <v>0</v>
      </c>
      <c r="LAB43">
        <f t="shared" si="167"/>
        <v>0</v>
      </c>
      <c r="LAC43">
        <f t="shared" si="167"/>
        <v>0</v>
      </c>
      <c r="LAD43">
        <f t="shared" si="167"/>
        <v>0</v>
      </c>
      <c r="LAE43">
        <f t="shared" si="167"/>
        <v>0</v>
      </c>
      <c r="LAF43">
        <f t="shared" si="167"/>
        <v>0</v>
      </c>
      <c r="LAG43">
        <f t="shared" si="167"/>
        <v>0</v>
      </c>
      <c r="LAH43">
        <f t="shared" si="167"/>
        <v>0</v>
      </c>
      <c r="LAI43">
        <f t="shared" si="167"/>
        <v>0</v>
      </c>
      <c r="LAJ43">
        <f t="shared" si="167"/>
        <v>0</v>
      </c>
      <c r="LAK43">
        <f t="shared" si="167"/>
        <v>0</v>
      </c>
      <c r="LAL43">
        <f t="shared" si="167"/>
        <v>0</v>
      </c>
      <c r="LAM43">
        <f t="shared" si="167"/>
        <v>0</v>
      </c>
      <c r="LAN43">
        <f t="shared" si="167"/>
        <v>0</v>
      </c>
      <c r="LAO43">
        <f t="shared" si="167"/>
        <v>0</v>
      </c>
      <c r="LAP43">
        <f t="shared" si="167"/>
        <v>0</v>
      </c>
      <c r="LAQ43">
        <f t="shared" si="167"/>
        <v>0</v>
      </c>
      <c r="LAR43">
        <f t="shared" si="167"/>
        <v>0</v>
      </c>
      <c r="LAS43">
        <f t="shared" si="167"/>
        <v>0</v>
      </c>
      <c r="LAT43">
        <f t="shared" si="167"/>
        <v>0</v>
      </c>
      <c r="LAU43">
        <f t="shared" si="167"/>
        <v>0</v>
      </c>
      <c r="LAV43">
        <f t="shared" si="167"/>
        <v>0</v>
      </c>
      <c r="LAW43">
        <f t="shared" si="167"/>
        <v>0</v>
      </c>
      <c r="LAX43">
        <f t="shared" si="167"/>
        <v>0</v>
      </c>
      <c r="LAY43">
        <f t="shared" si="167"/>
        <v>0</v>
      </c>
      <c r="LAZ43">
        <f t="shared" si="167"/>
        <v>0</v>
      </c>
      <c r="LBA43">
        <f t="shared" si="167"/>
        <v>0</v>
      </c>
      <c r="LBB43">
        <f t="shared" si="167"/>
        <v>0</v>
      </c>
      <c r="LBC43">
        <f t="shared" si="167"/>
        <v>0</v>
      </c>
      <c r="LBD43">
        <f t="shared" si="167"/>
        <v>0</v>
      </c>
      <c r="LBE43">
        <f t="shared" si="167"/>
        <v>0</v>
      </c>
      <c r="LBF43">
        <f t="shared" si="167"/>
        <v>0</v>
      </c>
      <c r="LBG43">
        <f t="shared" si="167"/>
        <v>0</v>
      </c>
      <c r="LBH43">
        <f t="shared" si="167"/>
        <v>0</v>
      </c>
      <c r="LBI43">
        <f t="shared" si="167"/>
        <v>0</v>
      </c>
      <c r="LBJ43">
        <f t="shared" si="167"/>
        <v>0</v>
      </c>
      <c r="LBK43">
        <f t="shared" si="167"/>
        <v>0</v>
      </c>
      <c r="LBL43">
        <f t="shared" si="167"/>
        <v>0</v>
      </c>
      <c r="LBM43">
        <f t="shared" si="167"/>
        <v>0</v>
      </c>
      <c r="LBN43">
        <f t="shared" si="167"/>
        <v>0</v>
      </c>
      <c r="LBO43">
        <f t="shared" si="167"/>
        <v>0</v>
      </c>
      <c r="LBP43">
        <f t="shared" si="167"/>
        <v>0</v>
      </c>
      <c r="LBQ43">
        <f t="shared" si="167"/>
        <v>0</v>
      </c>
      <c r="LBR43">
        <f t="shared" si="167"/>
        <v>0</v>
      </c>
      <c r="LBS43">
        <f t="shared" si="167"/>
        <v>0</v>
      </c>
      <c r="LBT43">
        <f t="shared" si="167"/>
        <v>0</v>
      </c>
      <c r="LBU43">
        <f t="shared" si="167"/>
        <v>0</v>
      </c>
      <c r="LBV43">
        <f t="shared" si="167"/>
        <v>0</v>
      </c>
      <c r="LBW43">
        <f t="shared" si="167"/>
        <v>0</v>
      </c>
      <c r="LBX43">
        <f t="shared" si="167"/>
        <v>0</v>
      </c>
      <c r="LBY43">
        <f t="shared" si="167"/>
        <v>0</v>
      </c>
      <c r="LBZ43">
        <f t="shared" si="168"/>
        <v>0</v>
      </c>
      <c r="LCA43">
        <f t="shared" si="168"/>
        <v>0</v>
      </c>
      <c r="LCB43">
        <f t="shared" si="168"/>
        <v>0</v>
      </c>
      <c r="LCC43">
        <f t="shared" si="168"/>
        <v>0</v>
      </c>
      <c r="LCD43">
        <f t="shared" si="168"/>
        <v>0</v>
      </c>
      <c r="LCE43">
        <f t="shared" si="168"/>
        <v>0</v>
      </c>
      <c r="LCF43">
        <f t="shared" si="168"/>
        <v>0</v>
      </c>
      <c r="LCG43">
        <f t="shared" si="168"/>
        <v>0</v>
      </c>
      <c r="LCH43">
        <f t="shared" si="168"/>
        <v>0</v>
      </c>
      <c r="LCI43">
        <f t="shared" si="168"/>
        <v>0</v>
      </c>
      <c r="LCJ43">
        <f t="shared" si="168"/>
        <v>0</v>
      </c>
      <c r="LCK43">
        <f t="shared" si="168"/>
        <v>0</v>
      </c>
      <c r="LCL43">
        <f t="shared" si="168"/>
        <v>0</v>
      </c>
      <c r="LCM43">
        <f t="shared" si="168"/>
        <v>0</v>
      </c>
      <c r="LCN43">
        <f t="shared" si="168"/>
        <v>0</v>
      </c>
      <c r="LCO43">
        <f t="shared" si="168"/>
        <v>0</v>
      </c>
      <c r="LCP43">
        <f t="shared" si="168"/>
        <v>0</v>
      </c>
      <c r="LCQ43">
        <f t="shared" si="168"/>
        <v>0</v>
      </c>
      <c r="LCR43">
        <f t="shared" si="168"/>
        <v>0</v>
      </c>
      <c r="LCS43">
        <f t="shared" si="168"/>
        <v>0</v>
      </c>
      <c r="LCT43">
        <f t="shared" si="168"/>
        <v>0</v>
      </c>
      <c r="LCU43">
        <f t="shared" si="168"/>
        <v>0</v>
      </c>
      <c r="LCV43">
        <f t="shared" si="168"/>
        <v>0</v>
      </c>
      <c r="LCW43">
        <f t="shared" si="168"/>
        <v>0</v>
      </c>
      <c r="LCX43">
        <f t="shared" si="168"/>
        <v>0</v>
      </c>
      <c r="LCY43">
        <f t="shared" si="168"/>
        <v>0</v>
      </c>
      <c r="LCZ43">
        <f t="shared" si="168"/>
        <v>0</v>
      </c>
      <c r="LDA43">
        <f t="shared" si="168"/>
        <v>0</v>
      </c>
      <c r="LDB43">
        <f t="shared" si="168"/>
        <v>0</v>
      </c>
      <c r="LDC43">
        <f t="shared" si="168"/>
        <v>0</v>
      </c>
      <c r="LDD43">
        <f t="shared" si="168"/>
        <v>0</v>
      </c>
      <c r="LDE43">
        <f t="shared" si="168"/>
        <v>0</v>
      </c>
      <c r="LDF43">
        <f t="shared" si="168"/>
        <v>0</v>
      </c>
      <c r="LDG43">
        <f t="shared" si="168"/>
        <v>0</v>
      </c>
      <c r="LDH43">
        <f t="shared" si="168"/>
        <v>0</v>
      </c>
      <c r="LDI43">
        <f t="shared" si="168"/>
        <v>0</v>
      </c>
      <c r="LDJ43">
        <f t="shared" si="168"/>
        <v>0</v>
      </c>
      <c r="LDK43">
        <f t="shared" si="168"/>
        <v>0</v>
      </c>
      <c r="LDL43">
        <f t="shared" si="168"/>
        <v>0</v>
      </c>
      <c r="LDM43">
        <f t="shared" si="168"/>
        <v>0</v>
      </c>
      <c r="LDN43">
        <f t="shared" si="168"/>
        <v>0</v>
      </c>
      <c r="LDO43">
        <f t="shared" si="168"/>
        <v>0</v>
      </c>
      <c r="LDP43">
        <f t="shared" si="168"/>
        <v>0</v>
      </c>
      <c r="LDQ43">
        <f t="shared" si="168"/>
        <v>0</v>
      </c>
      <c r="LDR43">
        <f t="shared" si="168"/>
        <v>0</v>
      </c>
      <c r="LDS43">
        <f t="shared" si="168"/>
        <v>0</v>
      </c>
      <c r="LDT43">
        <f t="shared" si="168"/>
        <v>0</v>
      </c>
      <c r="LDU43">
        <f t="shared" si="168"/>
        <v>0</v>
      </c>
      <c r="LDV43">
        <f t="shared" si="168"/>
        <v>0</v>
      </c>
      <c r="LDW43">
        <f t="shared" si="168"/>
        <v>0</v>
      </c>
      <c r="LDX43">
        <f t="shared" si="168"/>
        <v>0</v>
      </c>
      <c r="LDY43">
        <f t="shared" si="168"/>
        <v>0</v>
      </c>
      <c r="LDZ43">
        <f t="shared" si="168"/>
        <v>0</v>
      </c>
      <c r="LEA43">
        <f t="shared" si="168"/>
        <v>0</v>
      </c>
      <c r="LEB43">
        <f t="shared" si="168"/>
        <v>0</v>
      </c>
      <c r="LEC43">
        <f t="shared" si="168"/>
        <v>0</v>
      </c>
      <c r="LED43">
        <f t="shared" si="168"/>
        <v>0</v>
      </c>
      <c r="LEE43">
        <f t="shared" si="168"/>
        <v>0</v>
      </c>
      <c r="LEF43">
        <f t="shared" si="168"/>
        <v>0</v>
      </c>
      <c r="LEG43">
        <f t="shared" si="168"/>
        <v>0</v>
      </c>
      <c r="LEH43">
        <f t="shared" si="168"/>
        <v>0</v>
      </c>
      <c r="LEI43">
        <f t="shared" si="168"/>
        <v>0</v>
      </c>
      <c r="LEJ43">
        <f t="shared" si="168"/>
        <v>0</v>
      </c>
      <c r="LEK43">
        <f t="shared" si="168"/>
        <v>0</v>
      </c>
      <c r="LEL43">
        <f t="shared" si="169"/>
        <v>0</v>
      </c>
      <c r="LEM43">
        <f t="shared" si="169"/>
        <v>0</v>
      </c>
      <c r="LEN43">
        <f t="shared" si="169"/>
        <v>0</v>
      </c>
      <c r="LEO43">
        <f t="shared" si="169"/>
        <v>0</v>
      </c>
      <c r="LEP43">
        <f t="shared" si="169"/>
        <v>0</v>
      </c>
      <c r="LEQ43">
        <f t="shared" si="169"/>
        <v>0</v>
      </c>
      <c r="LER43">
        <f t="shared" si="169"/>
        <v>0</v>
      </c>
      <c r="LES43">
        <f t="shared" si="169"/>
        <v>0</v>
      </c>
      <c r="LET43">
        <f t="shared" si="169"/>
        <v>0</v>
      </c>
      <c r="LEU43">
        <f t="shared" si="169"/>
        <v>0</v>
      </c>
      <c r="LEV43">
        <f t="shared" si="169"/>
        <v>0</v>
      </c>
      <c r="LEW43">
        <f t="shared" si="169"/>
        <v>0</v>
      </c>
      <c r="LEX43">
        <f t="shared" si="169"/>
        <v>0</v>
      </c>
      <c r="LEY43">
        <f t="shared" si="169"/>
        <v>0</v>
      </c>
      <c r="LEZ43">
        <f t="shared" si="169"/>
        <v>0</v>
      </c>
      <c r="LFA43">
        <f t="shared" si="169"/>
        <v>0</v>
      </c>
      <c r="LFB43">
        <f t="shared" si="169"/>
        <v>0</v>
      </c>
      <c r="LFC43">
        <f t="shared" si="169"/>
        <v>0</v>
      </c>
      <c r="LFD43">
        <f t="shared" si="169"/>
        <v>0</v>
      </c>
      <c r="LFE43">
        <f t="shared" si="169"/>
        <v>0</v>
      </c>
      <c r="LFF43">
        <f t="shared" si="169"/>
        <v>0</v>
      </c>
      <c r="LFG43">
        <f t="shared" si="169"/>
        <v>0</v>
      </c>
      <c r="LFH43">
        <f t="shared" si="169"/>
        <v>0</v>
      </c>
      <c r="LFI43">
        <f t="shared" si="169"/>
        <v>0</v>
      </c>
      <c r="LFJ43">
        <f t="shared" si="169"/>
        <v>0</v>
      </c>
      <c r="LFK43">
        <f t="shared" si="169"/>
        <v>0</v>
      </c>
      <c r="LFL43">
        <f t="shared" si="169"/>
        <v>0</v>
      </c>
      <c r="LFM43">
        <f t="shared" si="169"/>
        <v>0</v>
      </c>
      <c r="LFN43">
        <f t="shared" si="169"/>
        <v>0</v>
      </c>
      <c r="LFO43">
        <f t="shared" si="169"/>
        <v>0</v>
      </c>
      <c r="LFP43">
        <f t="shared" si="169"/>
        <v>0</v>
      </c>
      <c r="LFQ43">
        <f t="shared" si="169"/>
        <v>0</v>
      </c>
      <c r="LFR43">
        <f t="shared" si="169"/>
        <v>0</v>
      </c>
      <c r="LFS43">
        <f t="shared" si="169"/>
        <v>0</v>
      </c>
      <c r="LFT43">
        <f t="shared" si="169"/>
        <v>0</v>
      </c>
      <c r="LFU43">
        <f t="shared" si="169"/>
        <v>0</v>
      </c>
      <c r="LFV43">
        <f t="shared" si="169"/>
        <v>0</v>
      </c>
      <c r="LFW43">
        <f t="shared" si="169"/>
        <v>0</v>
      </c>
      <c r="LFX43">
        <f t="shared" si="169"/>
        <v>0</v>
      </c>
      <c r="LFY43">
        <f t="shared" si="169"/>
        <v>0</v>
      </c>
      <c r="LFZ43">
        <f t="shared" si="169"/>
        <v>0</v>
      </c>
      <c r="LGA43">
        <f t="shared" si="169"/>
        <v>0</v>
      </c>
      <c r="LGB43">
        <f t="shared" si="169"/>
        <v>0</v>
      </c>
      <c r="LGC43">
        <f t="shared" si="169"/>
        <v>0</v>
      </c>
      <c r="LGD43">
        <f t="shared" si="169"/>
        <v>0</v>
      </c>
      <c r="LGE43">
        <f t="shared" si="169"/>
        <v>0</v>
      </c>
      <c r="LGF43">
        <f t="shared" si="169"/>
        <v>0</v>
      </c>
      <c r="LGG43">
        <f t="shared" si="169"/>
        <v>0</v>
      </c>
      <c r="LGH43">
        <f t="shared" si="169"/>
        <v>0</v>
      </c>
      <c r="LGI43">
        <f t="shared" si="169"/>
        <v>0</v>
      </c>
      <c r="LGJ43">
        <f t="shared" si="169"/>
        <v>0</v>
      </c>
      <c r="LGK43">
        <f t="shared" si="169"/>
        <v>0</v>
      </c>
      <c r="LGL43">
        <f t="shared" si="169"/>
        <v>0</v>
      </c>
      <c r="LGM43">
        <f t="shared" si="169"/>
        <v>0</v>
      </c>
      <c r="LGN43">
        <f t="shared" si="169"/>
        <v>0</v>
      </c>
      <c r="LGO43">
        <f t="shared" si="169"/>
        <v>0</v>
      </c>
      <c r="LGP43">
        <f t="shared" si="169"/>
        <v>0</v>
      </c>
      <c r="LGQ43">
        <f t="shared" si="169"/>
        <v>0</v>
      </c>
      <c r="LGR43">
        <f t="shared" si="169"/>
        <v>0</v>
      </c>
      <c r="LGS43">
        <f t="shared" si="169"/>
        <v>0</v>
      </c>
      <c r="LGT43">
        <f t="shared" si="169"/>
        <v>0</v>
      </c>
      <c r="LGU43">
        <f t="shared" si="169"/>
        <v>0</v>
      </c>
      <c r="LGV43">
        <f t="shared" si="169"/>
        <v>0</v>
      </c>
      <c r="LGW43">
        <f t="shared" si="169"/>
        <v>0</v>
      </c>
      <c r="LGX43">
        <f t="shared" si="170"/>
        <v>0</v>
      </c>
      <c r="LGY43">
        <f t="shared" si="170"/>
        <v>0</v>
      </c>
      <c r="LGZ43">
        <f t="shared" si="170"/>
        <v>0</v>
      </c>
      <c r="LHA43">
        <f t="shared" si="170"/>
        <v>0</v>
      </c>
      <c r="LHB43">
        <f t="shared" si="170"/>
        <v>0</v>
      </c>
      <c r="LHC43">
        <f t="shared" si="170"/>
        <v>0</v>
      </c>
      <c r="LHD43">
        <f t="shared" si="170"/>
        <v>0</v>
      </c>
      <c r="LHE43">
        <f t="shared" si="170"/>
        <v>0</v>
      </c>
      <c r="LHF43">
        <f t="shared" si="170"/>
        <v>0</v>
      </c>
      <c r="LHG43">
        <f t="shared" si="170"/>
        <v>0</v>
      </c>
      <c r="LHH43">
        <f t="shared" si="170"/>
        <v>0</v>
      </c>
      <c r="LHI43">
        <f t="shared" si="170"/>
        <v>0</v>
      </c>
      <c r="LHJ43">
        <f t="shared" si="170"/>
        <v>0</v>
      </c>
      <c r="LHK43">
        <f t="shared" si="170"/>
        <v>0</v>
      </c>
      <c r="LHL43">
        <f t="shared" si="170"/>
        <v>0</v>
      </c>
      <c r="LHM43">
        <f t="shared" si="170"/>
        <v>0</v>
      </c>
      <c r="LHN43">
        <f t="shared" si="170"/>
        <v>0</v>
      </c>
      <c r="LHO43">
        <f t="shared" si="170"/>
        <v>0</v>
      </c>
      <c r="LHP43">
        <f t="shared" si="170"/>
        <v>0</v>
      </c>
      <c r="LHQ43">
        <f t="shared" si="170"/>
        <v>0</v>
      </c>
      <c r="LHR43">
        <f t="shared" si="170"/>
        <v>0</v>
      </c>
      <c r="LHS43">
        <f t="shared" si="170"/>
        <v>0</v>
      </c>
      <c r="LHT43">
        <f t="shared" si="170"/>
        <v>0</v>
      </c>
      <c r="LHU43">
        <f t="shared" si="170"/>
        <v>0</v>
      </c>
      <c r="LHV43">
        <f t="shared" si="170"/>
        <v>0</v>
      </c>
      <c r="LHW43">
        <f t="shared" si="170"/>
        <v>0</v>
      </c>
      <c r="LHX43">
        <f t="shared" si="170"/>
        <v>0</v>
      </c>
      <c r="LHY43">
        <f t="shared" si="170"/>
        <v>0</v>
      </c>
      <c r="LHZ43">
        <f t="shared" si="170"/>
        <v>0</v>
      </c>
      <c r="LIA43">
        <f t="shared" si="170"/>
        <v>0</v>
      </c>
      <c r="LIB43">
        <f t="shared" si="170"/>
        <v>0</v>
      </c>
      <c r="LIC43">
        <f t="shared" si="170"/>
        <v>0</v>
      </c>
      <c r="LID43">
        <f t="shared" si="170"/>
        <v>0</v>
      </c>
      <c r="LIE43">
        <f t="shared" si="170"/>
        <v>0</v>
      </c>
      <c r="LIF43">
        <f t="shared" si="170"/>
        <v>0</v>
      </c>
      <c r="LIG43">
        <f t="shared" si="170"/>
        <v>0</v>
      </c>
      <c r="LIH43">
        <f t="shared" si="170"/>
        <v>0</v>
      </c>
      <c r="LII43">
        <f t="shared" si="170"/>
        <v>0</v>
      </c>
      <c r="LIJ43">
        <f t="shared" si="170"/>
        <v>0</v>
      </c>
      <c r="LIK43">
        <f t="shared" si="170"/>
        <v>0</v>
      </c>
      <c r="LIL43">
        <f t="shared" si="170"/>
        <v>0</v>
      </c>
      <c r="LIM43">
        <f t="shared" si="170"/>
        <v>0</v>
      </c>
      <c r="LIN43">
        <f t="shared" si="170"/>
        <v>0</v>
      </c>
      <c r="LIO43">
        <f t="shared" si="170"/>
        <v>0</v>
      </c>
      <c r="LIP43">
        <f t="shared" si="170"/>
        <v>0</v>
      </c>
      <c r="LIQ43">
        <f t="shared" si="170"/>
        <v>0</v>
      </c>
      <c r="LIR43">
        <f t="shared" si="170"/>
        <v>0</v>
      </c>
      <c r="LIS43">
        <f t="shared" si="170"/>
        <v>0</v>
      </c>
      <c r="LIT43">
        <f t="shared" si="170"/>
        <v>0</v>
      </c>
      <c r="LIU43">
        <f t="shared" si="170"/>
        <v>0</v>
      </c>
      <c r="LIV43">
        <f t="shared" si="170"/>
        <v>0</v>
      </c>
      <c r="LIW43">
        <f t="shared" si="170"/>
        <v>0</v>
      </c>
      <c r="LIX43">
        <f t="shared" si="170"/>
        <v>0</v>
      </c>
      <c r="LIY43">
        <f t="shared" si="170"/>
        <v>0</v>
      </c>
      <c r="LIZ43">
        <f t="shared" si="170"/>
        <v>0</v>
      </c>
      <c r="LJA43">
        <f t="shared" si="170"/>
        <v>0</v>
      </c>
      <c r="LJB43">
        <f t="shared" si="170"/>
        <v>0</v>
      </c>
      <c r="LJC43">
        <f t="shared" si="170"/>
        <v>0</v>
      </c>
      <c r="LJD43">
        <f t="shared" si="170"/>
        <v>0</v>
      </c>
      <c r="LJE43">
        <f t="shared" si="170"/>
        <v>0</v>
      </c>
      <c r="LJF43">
        <f t="shared" si="170"/>
        <v>0</v>
      </c>
      <c r="LJG43">
        <f t="shared" si="170"/>
        <v>0</v>
      </c>
      <c r="LJH43">
        <f t="shared" si="170"/>
        <v>0</v>
      </c>
      <c r="LJI43">
        <f t="shared" si="170"/>
        <v>0</v>
      </c>
      <c r="LJJ43">
        <f t="shared" si="171"/>
        <v>0</v>
      </c>
      <c r="LJK43">
        <f t="shared" si="171"/>
        <v>0</v>
      </c>
      <c r="LJL43">
        <f t="shared" si="171"/>
        <v>0</v>
      </c>
      <c r="LJM43">
        <f t="shared" si="171"/>
        <v>0</v>
      </c>
      <c r="LJN43">
        <f t="shared" si="171"/>
        <v>0</v>
      </c>
      <c r="LJO43">
        <f t="shared" si="171"/>
        <v>0</v>
      </c>
      <c r="LJP43">
        <f t="shared" si="171"/>
        <v>0</v>
      </c>
      <c r="LJQ43">
        <f t="shared" si="171"/>
        <v>0</v>
      </c>
      <c r="LJR43">
        <f t="shared" si="171"/>
        <v>0</v>
      </c>
      <c r="LJS43">
        <f t="shared" si="171"/>
        <v>0</v>
      </c>
      <c r="LJT43">
        <f t="shared" si="171"/>
        <v>0</v>
      </c>
      <c r="LJU43">
        <f t="shared" si="171"/>
        <v>0</v>
      </c>
      <c r="LJV43">
        <f t="shared" si="171"/>
        <v>0</v>
      </c>
      <c r="LJW43">
        <f t="shared" si="171"/>
        <v>0</v>
      </c>
      <c r="LJX43">
        <f t="shared" si="171"/>
        <v>0</v>
      </c>
      <c r="LJY43">
        <f t="shared" si="171"/>
        <v>0</v>
      </c>
      <c r="LJZ43">
        <f t="shared" si="171"/>
        <v>0</v>
      </c>
      <c r="LKA43">
        <f t="shared" si="171"/>
        <v>0</v>
      </c>
      <c r="LKB43">
        <f t="shared" si="171"/>
        <v>0</v>
      </c>
      <c r="LKC43">
        <f t="shared" si="171"/>
        <v>0</v>
      </c>
      <c r="LKD43">
        <f t="shared" si="171"/>
        <v>0</v>
      </c>
      <c r="LKE43">
        <f t="shared" si="171"/>
        <v>0</v>
      </c>
      <c r="LKF43">
        <f t="shared" si="171"/>
        <v>0</v>
      </c>
      <c r="LKG43">
        <f t="shared" si="171"/>
        <v>0</v>
      </c>
      <c r="LKH43">
        <f t="shared" si="171"/>
        <v>0</v>
      </c>
      <c r="LKI43">
        <f t="shared" si="171"/>
        <v>0</v>
      </c>
      <c r="LKJ43">
        <f t="shared" si="171"/>
        <v>0</v>
      </c>
      <c r="LKK43">
        <f t="shared" si="171"/>
        <v>0</v>
      </c>
      <c r="LKL43">
        <f t="shared" si="171"/>
        <v>0</v>
      </c>
      <c r="LKM43">
        <f t="shared" si="171"/>
        <v>0</v>
      </c>
      <c r="LKN43">
        <f t="shared" si="171"/>
        <v>0</v>
      </c>
      <c r="LKO43">
        <f t="shared" si="171"/>
        <v>0</v>
      </c>
      <c r="LKP43">
        <f t="shared" si="171"/>
        <v>0</v>
      </c>
      <c r="LKQ43">
        <f t="shared" si="171"/>
        <v>0</v>
      </c>
      <c r="LKR43">
        <f t="shared" si="171"/>
        <v>0</v>
      </c>
      <c r="LKS43">
        <f t="shared" si="171"/>
        <v>0</v>
      </c>
      <c r="LKT43">
        <f t="shared" si="171"/>
        <v>0</v>
      </c>
      <c r="LKU43">
        <f t="shared" si="171"/>
        <v>0</v>
      </c>
      <c r="LKV43">
        <f t="shared" si="171"/>
        <v>0</v>
      </c>
      <c r="LKW43">
        <f t="shared" si="171"/>
        <v>0</v>
      </c>
      <c r="LKX43">
        <f t="shared" si="171"/>
        <v>0</v>
      </c>
      <c r="LKY43">
        <f t="shared" si="171"/>
        <v>0</v>
      </c>
      <c r="LKZ43">
        <f t="shared" si="171"/>
        <v>0</v>
      </c>
      <c r="LLA43">
        <f t="shared" si="171"/>
        <v>0</v>
      </c>
      <c r="LLB43">
        <f t="shared" si="171"/>
        <v>0</v>
      </c>
      <c r="LLC43">
        <f t="shared" si="171"/>
        <v>0</v>
      </c>
      <c r="LLD43">
        <f t="shared" si="171"/>
        <v>0</v>
      </c>
      <c r="LLE43">
        <f t="shared" si="171"/>
        <v>0</v>
      </c>
      <c r="LLF43">
        <f t="shared" si="171"/>
        <v>0</v>
      </c>
      <c r="LLG43">
        <f t="shared" si="171"/>
        <v>0</v>
      </c>
      <c r="LLH43">
        <f t="shared" si="171"/>
        <v>0</v>
      </c>
      <c r="LLI43">
        <f t="shared" si="171"/>
        <v>0</v>
      </c>
      <c r="LLJ43">
        <f t="shared" si="171"/>
        <v>0</v>
      </c>
      <c r="LLK43">
        <f t="shared" si="171"/>
        <v>0</v>
      </c>
      <c r="LLL43">
        <f t="shared" si="171"/>
        <v>0</v>
      </c>
      <c r="LLM43">
        <f t="shared" si="171"/>
        <v>0</v>
      </c>
      <c r="LLN43">
        <f t="shared" si="171"/>
        <v>0</v>
      </c>
      <c r="LLO43">
        <f t="shared" si="171"/>
        <v>0</v>
      </c>
      <c r="LLP43">
        <f t="shared" si="171"/>
        <v>0</v>
      </c>
      <c r="LLQ43">
        <f t="shared" si="171"/>
        <v>0</v>
      </c>
      <c r="LLR43">
        <f t="shared" si="171"/>
        <v>0</v>
      </c>
      <c r="LLS43">
        <f t="shared" si="171"/>
        <v>0</v>
      </c>
      <c r="LLT43">
        <f t="shared" si="171"/>
        <v>0</v>
      </c>
      <c r="LLU43">
        <f t="shared" si="171"/>
        <v>0</v>
      </c>
      <c r="LLV43">
        <f t="shared" si="172"/>
        <v>0</v>
      </c>
      <c r="LLW43">
        <f t="shared" si="172"/>
        <v>0</v>
      </c>
      <c r="LLX43">
        <f t="shared" si="172"/>
        <v>0</v>
      </c>
      <c r="LLY43">
        <f t="shared" si="172"/>
        <v>0</v>
      </c>
      <c r="LLZ43">
        <f t="shared" si="172"/>
        <v>0</v>
      </c>
      <c r="LMA43">
        <f t="shared" si="172"/>
        <v>0</v>
      </c>
      <c r="LMB43">
        <f t="shared" si="172"/>
        <v>0</v>
      </c>
      <c r="LMC43">
        <f t="shared" si="172"/>
        <v>0</v>
      </c>
      <c r="LMD43">
        <f t="shared" si="172"/>
        <v>0</v>
      </c>
      <c r="LME43">
        <f t="shared" si="172"/>
        <v>0</v>
      </c>
      <c r="LMF43">
        <f t="shared" si="172"/>
        <v>0</v>
      </c>
      <c r="LMG43">
        <f t="shared" si="172"/>
        <v>0</v>
      </c>
      <c r="LMH43">
        <f t="shared" si="172"/>
        <v>0</v>
      </c>
      <c r="LMI43">
        <f t="shared" si="172"/>
        <v>0</v>
      </c>
      <c r="LMJ43">
        <f t="shared" si="172"/>
        <v>0</v>
      </c>
      <c r="LMK43">
        <f t="shared" si="172"/>
        <v>0</v>
      </c>
      <c r="LML43">
        <f t="shared" si="172"/>
        <v>0</v>
      </c>
      <c r="LMM43">
        <f t="shared" si="172"/>
        <v>0</v>
      </c>
      <c r="LMN43">
        <f t="shared" si="172"/>
        <v>0</v>
      </c>
      <c r="LMO43">
        <f t="shared" si="172"/>
        <v>0</v>
      </c>
      <c r="LMP43">
        <f t="shared" si="172"/>
        <v>0</v>
      </c>
      <c r="LMQ43">
        <f t="shared" si="172"/>
        <v>0</v>
      </c>
      <c r="LMR43">
        <f t="shared" si="172"/>
        <v>0</v>
      </c>
      <c r="LMS43">
        <f t="shared" si="172"/>
        <v>0</v>
      </c>
      <c r="LMT43">
        <f t="shared" si="172"/>
        <v>0</v>
      </c>
      <c r="LMU43">
        <f t="shared" si="172"/>
        <v>0</v>
      </c>
      <c r="LMV43">
        <f t="shared" si="172"/>
        <v>0</v>
      </c>
      <c r="LMW43">
        <f t="shared" si="172"/>
        <v>0</v>
      </c>
      <c r="LMX43">
        <f t="shared" si="172"/>
        <v>0</v>
      </c>
      <c r="LMY43">
        <f t="shared" si="172"/>
        <v>0</v>
      </c>
      <c r="LMZ43">
        <f t="shared" si="172"/>
        <v>0</v>
      </c>
      <c r="LNA43">
        <f t="shared" si="172"/>
        <v>0</v>
      </c>
      <c r="LNB43">
        <f t="shared" si="172"/>
        <v>0</v>
      </c>
      <c r="LNC43">
        <f t="shared" si="172"/>
        <v>0</v>
      </c>
      <c r="LND43">
        <f t="shared" si="172"/>
        <v>0</v>
      </c>
      <c r="LNE43">
        <f t="shared" si="172"/>
        <v>0</v>
      </c>
      <c r="LNF43">
        <f t="shared" si="172"/>
        <v>0</v>
      </c>
      <c r="LNG43">
        <f t="shared" si="172"/>
        <v>0</v>
      </c>
      <c r="LNH43">
        <f t="shared" si="172"/>
        <v>0</v>
      </c>
      <c r="LNI43">
        <f t="shared" si="172"/>
        <v>0</v>
      </c>
      <c r="LNJ43">
        <f t="shared" si="172"/>
        <v>0</v>
      </c>
      <c r="LNK43">
        <f t="shared" si="172"/>
        <v>0</v>
      </c>
      <c r="LNL43">
        <f t="shared" si="172"/>
        <v>0</v>
      </c>
      <c r="LNM43">
        <f t="shared" si="172"/>
        <v>0</v>
      </c>
      <c r="LNN43">
        <f t="shared" si="172"/>
        <v>0</v>
      </c>
      <c r="LNO43">
        <f t="shared" si="172"/>
        <v>0</v>
      </c>
      <c r="LNP43">
        <f t="shared" si="172"/>
        <v>0</v>
      </c>
      <c r="LNQ43">
        <f t="shared" si="172"/>
        <v>0</v>
      </c>
      <c r="LNR43">
        <f t="shared" si="172"/>
        <v>0</v>
      </c>
      <c r="LNS43">
        <f t="shared" si="172"/>
        <v>0</v>
      </c>
      <c r="LNT43">
        <f t="shared" si="172"/>
        <v>0</v>
      </c>
      <c r="LNU43">
        <f t="shared" si="172"/>
        <v>0</v>
      </c>
      <c r="LNV43">
        <f t="shared" si="172"/>
        <v>0</v>
      </c>
      <c r="LNW43">
        <f t="shared" si="172"/>
        <v>0</v>
      </c>
      <c r="LNX43">
        <f t="shared" si="172"/>
        <v>0</v>
      </c>
      <c r="LNY43">
        <f t="shared" si="172"/>
        <v>0</v>
      </c>
      <c r="LNZ43">
        <f t="shared" si="172"/>
        <v>0</v>
      </c>
      <c r="LOA43">
        <f t="shared" si="172"/>
        <v>0</v>
      </c>
      <c r="LOB43">
        <f t="shared" si="172"/>
        <v>0</v>
      </c>
      <c r="LOC43">
        <f t="shared" si="172"/>
        <v>0</v>
      </c>
      <c r="LOD43">
        <f t="shared" si="172"/>
        <v>0</v>
      </c>
      <c r="LOE43">
        <f t="shared" si="172"/>
        <v>0</v>
      </c>
      <c r="LOF43">
        <f t="shared" si="172"/>
        <v>0</v>
      </c>
      <c r="LOG43">
        <f t="shared" si="172"/>
        <v>0</v>
      </c>
      <c r="LOH43">
        <f t="shared" si="173"/>
        <v>0</v>
      </c>
      <c r="LOI43">
        <f t="shared" si="173"/>
        <v>0</v>
      </c>
      <c r="LOJ43">
        <f t="shared" si="173"/>
        <v>0</v>
      </c>
      <c r="LOK43">
        <f t="shared" si="173"/>
        <v>0</v>
      </c>
      <c r="LOL43">
        <f t="shared" si="173"/>
        <v>0</v>
      </c>
      <c r="LOM43">
        <f t="shared" si="173"/>
        <v>0</v>
      </c>
      <c r="LON43">
        <f t="shared" si="173"/>
        <v>0</v>
      </c>
      <c r="LOO43">
        <f t="shared" si="173"/>
        <v>0</v>
      </c>
      <c r="LOP43">
        <f t="shared" si="173"/>
        <v>0</v>
      </c>
      <c r="LOQ43">
        <f t="shared" si="173"/>
        <v>0</v>
      </c>
      <c r="LOR43">
        <f t="shared" si="173"/>
        <v>0</v>
      </c>
      <c r="LOS43">
        <f t="shared" si="173"/>
        <v>0</v>
      </c>
      <c r="LOT43">
        <f t="shared" si="173"/>
        <v>0</v>
      </c>
      <c r="LOU43">
        <f t="shared" si="173"/>
        <v>0</v>
      </c>
      <c r="LOV43">
        <f t="shared" si="173"/>
        <v>0</v>
      </c>
      <c r="LOW43">
        <f t="shared" si="173"/>
        <v>0</v>
      </c>
      <c r="LOX43">
        <f t="shared" si="173"/>
        <v>0</v>
      </c>
      <c r="LOY43">
        <f t="shared" si="173"/>
        <v>0</v>
      </c>
      <c r="LOZ43">
        <f t="shared" si="173"/>
        <v>0</v>
      </c>
      <c r="LPA43">
        <f t="shared" si="173"/>
        <v>0</v>
      </c>
      <c r="LPB43">
        <f t="shared" si="173"/>
        <v>0</v>
      </c>
      <c r="LPC43">
        <f t="shared" si="173"/>
        <v>0</v>
      </c>
      <c r="LPD43">
        <f t="shared" si="173"/>
        <v>0</v>
      </c>
      <c r="LPE43">
        <f t="shared" si="173"/>
        <v>0</v>
      </c>
      <c r="LPF43">
        <f t="shared" si="173"/>
        <v>0</v>
      </c>
      <c r="LPG43">
        <f t="shared" si="173"/>
        <v>0</v>
      </c>
      <c r="LPH43">
        <f t="shared" si="173"/>
        <v>0</v>
      </c>
      <c r="LPI43">
        <f t="shared" si="173"/>
        <v>0</v>
      </c>
      <c r="LPJ43">
        <f t="shared" si="173"/>
        <v>0</v>
      </c>
      <c r="LPK43">
        <f t="shared" si="173"/>
        <v>0</v>
      </c>
      <c r="LPL43">
        <f t="shared" si="173"/>
        <v>0</v>
      </c>
      <c r="LPM43">
        <f t="shared" si="173"/>
        <v>0</v>
      </c>
      <c r="LPN43">
        <f t="shared" si="173"/>
        <v>0</v>
      </c>
      <c r="LPO43">
        <f t="shared" si="173"/>
        <v>0</v>
      </c>
      <c r="LPP43">
        <f t="shared" si="173"/>
        <v>0</v>
      </c>
      <c r="LPQ43">
        <f t="shared" si="173"/>
        <v>0</v>
      </c>
      <c r="LPR43">
        <f t="shared" si="173"/>
        <v>0</v>
      </c>
      <c r="LPS43">
        <f t="shared" si="173"/>
        <v>0</v>
      </c>
      <c r="LPT43">
        <f t="shared" si="173"/>
        <v>0</v>
      </c>
      <c r="LPU43">
        <f t="shared" si="173"/>
        <v>0</v>
      </c>
      <c r="LPV43">
        <f t="shared" si="173"/>
        <v>0</v>
      </c>
      <c r="LPW43">
        <f t="shared" si="173"/>
        <v>0</v>
      </c>
      <c r="LPX43">
        <f t="shared" si="173"/>
        <v>0</v>
      </c>
      <c r="LPY43">
        <f t="shared" si="173"/>
        <v>0</v>
      </c>
      <c r="LPZ43">
        <f t="shared" si="173"/>
        <v>0</v>
      </c>
      <c r="LQA43">
        <f t="shared" si="173"/>
        <v>0</v>
      </c>
      <c r="LQB43">
        <f t="shared" si="173"/>
        <v>0</v>
      </c>
      <c r="LQC43">
        <f t="shared" si="173"/>
        <v>0</v>
      </c>
      <c r="LQD43">
        <f t="shared" si="173"/>
        <v>0</v>
      </c>
      <c r="LQE43">
        <f t="shared" si="173"/>
        <v>0</v>
      </c>
      <c r="LQF43">
        <f t="shared" si="173"/>
        <v>0</v>
      </c>
      <c r="LQG43">
        <f t="shared" si="173"/>
        <v>0</v>
      </c>
      <c r="LQH43">
        <f t="shared" si="173"/>
        <v>0</v>
      </c>
      <c r="LQI43">
        <f t="shared" si="173"/>
        <v>0</v>
      </c>
      <c r="LQJ43">
        <f t="shared" si="173"/>
        <v>0</v>
      </c>
      <c r="LQK43">
        <f t="shared" si="173"/>
        <v>0</v>
      </c>
      <c r="LQL43">
        <f t="shared" si="173"/>
        <v>0</v>
      </c>
      <c r="LQM43">
        <f t="shared" si="173"/>
        <v>0</v>
      </c>
      <c r="LQN43">
        <f t="shared" si="173"/>
        <v>0</v>
      </c>
      <c r="LQO43">
        <f t="shared" si="173"/>
        <v>0</v>
      </c>
      <c r="LQP43">
        <f t="shared" si="173"/>
        <v>0</v>
      </c>
      <c r="LQQ43">
        <f t="shared" si="173"/>
        <v>0</v>
      </c>
      <c r="LQR43">
        <f t="shared" si="173"/>
        <v>0</v>
      </c>
      <c r="LQS43">
        <f t="shared" si="173"/>
        <v>0</v>
      </c>
      <c r="LQT43">
        <f t="shared" si="174"/>
        <v>0</v>
      </c>
      <c r="LQU43">
        <f t="shared" si="174"/>
        <v>0</v>
      </c>
      <c r="LQV43">
        <f t="shared" si="174"/>
        <v>0</v>
      </c>
      <c r="LQW43">
        <f t="shared" si="174"/>
        <v>0</v>
      </c>
      <c r="LQX43">
        <f t="shared" si="174"/>
        <v>0</v>
      </c>
      <c r="LQY43">
        <f t="shared" si="174"/>
        <v>0</v>
      </c>
      <c r="LQZ43">
        <f t="shared" si="174"/>
        <v>0</v>
      </c>
      <c r="LRA43">
        <f t="shared" si="174"/>
        <v>0</v>
      </c>
      <c r="LRB43">
        <f t="shared" si="174"/>
        <v>0</v>
      </c>
      <c r="LRC43">
        <f t="shared" si="174"/>
        <v>0</v>
      </c>
      <c r="LRD43">
        <f t="shared" si="174"/>
        <v>0</v>
      </c>
      <c r="LRE43">
        <f t="shared" si="174"/>
        <v>0</v>
      </c>
      <c r="LRF43">
        <f t="shared" si="174"/>
        <v>0</v>
      </c>
      <c r="LRG43">
        <f t="shared" si="174"/>
        <v>0</v>
      </c>
      <c r="LRH43">
        <f t="shared" si="174"/>
        <v>0</v>
      </c>
      <c r="LRI43">
        <f t="shared" si="174"/>
        <v>0</v>
      </c>
      <c r="LRJ43">
        <f t="shared" si="174"/>
        <v>0</v>
      </c>
      <c r="LRK43">
        <f t="shared" si="174"/>
        <v>0</v>
      </c>
      <c r="LRL43">
        <f t="shared" si="174"/>
        <v>0</v>
      </c>
      <c r="LRM43">
        <f t="shared" si="174"/>
        <v>0</v>
      </c>
      <c r="LRN43">
        <f t="shared" si="174"/>
        <v>0</v>
      </c>
      <c r="LRO43">
        <f t="shared" si="174"/>
        <v>0</v>
      </c>
      <c r="LRP43">
        <f t="shared" si="174"/>
        <v>0</v>
      </c>
      <c r="LRQ43">
        <f t="shared" si="174"/>
        <v>0</v>
      </c>
      <c r="LRR43">
        <f t="shared" si="174"/>
        <v>0</v>
      </c>
      <c r="LRS43">
        <f t="shared" si="174"/>
        <v>0</v>
      </c>
      <c r="LRT43">
        <f t="shared" si="174"/>
        <v>0</v>
      </c>
      <c r="LRU43">
        <f t="shared" si="174"/>
        <v>0</v>
      </c>
      <c r="LRV43">
        <f t="shared" si="174"/>
        <v>0</v>
      </c>
      <c r="LRW43">
        <f t="shared" si="174"/>
        <v>0</v>
      </c>
      <c r="LRX43">
        <f t="shared" si="174"/>
        <v>0</v>
      </c>
      <c r="LRY43">
        <f t="shared" si="174"/>
        <v>0</v>
      </c>
      <c r="LRZ43">
        <f t="shared" si="174"/>
        <v>0</v>
      </c>
      <c r="LSA43">
        <f t="shared" si="174"/>
        <v>0</v>
      </c>
      <c r="LSB43">
        <f t="shared" si="174"/>
        <v>0</v>
      </c>
      <c r="LSC43">
        <f t="shared" si="174"/>
        <v>0</v>
      </c>
      <c r="LSD43">
        <f t="shared" si="174"/>
        <v>0</v>
      </c>
      <c r="LSE43">
        <f t="shared" si="174"/>
        <v>0</v>
      </c>
      <c r="LSF43">
        <f t="shared" si="174"/>
        <v>0</v>
      </c>
      <c r="LSG43">
        <f t="shared" si="174"/>
        <v>0</v>
      </c>
      <c r="LSH43">
        <f t="shared" si="174"/>
        <v>0</v>
      </c>
      <c r="LSI43">
        <f t="shared" si="174"/>
        <v>0</v>
      </c>
      <c r="LSJ43">
        <f t="shared" si="174"/>
        <v>0</v>
      </c>
      <c r="LSK43">
        <f t="shared" si="174"/>
        <v>0</v>
      </c>
      <c r="LSL43">
        <f t="shared" si="174"/>
        <v>0</v>
      </c>
      <c r="LSM43">
        <f t="shared" si="174"/>
        <v>0</v>
      </c>
      <c r="LSN43">
        <f t="shared" si="174"/>
        <v>0</v>
      </c>
      <c r="LSO43">
        <f t="shared" si="174"/>
        <v>0</v>
      </c>
      <c r="LSP43">
        <f t="shared" si="174"/>
        <v>0</v>
      </c>
      <c r="LSQ43">
        <f t="shared" si="174"/>
        <v>0</v>
      </c>
      <c r="LSR43">
        <f t="shared" si="174"/>
        <v>0</v>
      </c>
      <c r="LSS43">
        <f t="shared" si="174"/>
        <v>0</v>
      </c>
      <c r="LST43">
        <f t="shared" si="174"/>
        <v>0</v>
      </c>
      <c r="LSU43">
        <f t="shared" si="174"/>
        <v>0</v>
      </c>
      <c r="LSV43">
        <f t="shared" si="174"/>
        <v>0</v>
      </c>
      <c r="LSW43">
        <f t="shared" si="174"/>
        <v>0</v>
      </c>
      <c r="LSX43">
        <f t="shared" si="174"/>
        <v>0</v>
      </c>
      <c r="LSY43">
        <f t="shared" si="174"/>
        <v>0</v>
      </c>
      <c r="LSZ43">
        <f t="shared" si="174"/>
        <v>0</v>
      </c>
      <c r="LTA43">
        <f t="shared" si="174"/>
        <v>0</v>
      </c>
      <c r="LTB43">
        <f t="shared" si="174"/>
        <v>0</v>
      </c>
      <c r="LTC43">
        <f t="shared" si="174"/>
        <v>0</v>
      </c>
      <c r="LTD43">
        <f t="shared" si="174"/>
        <v>0</v>
      </c>
      <c r="LTE43">
        <f t="shared" si="174"/>
        <v>0</v>
      </c>
      <c r="LTF43">
        <f t="shared" si="175"/>
        <v>0</v>
      </c>
      <c r="LTG43">
        <f t="shared" si="175"/>
        <v>0</v>
      </c>
      <c r="LTH43">
        <f t="shared" si="175"/>
        <v>0</v>
      </c>
      <c r="LTI43">
        <f t="shared" si="175"/>
        <v>0</v>
      </c>
      <c r="LTJ43">
        <f t="shared" si="175"/>
        <v>0</v>
      </c>
      <c r="LTK43">
        <f t="shared" si="175"/>
        <v>0</v>
      </c>
      <c r="LTL43">
        <f t="shared" si="175"/>
        <v>0</v>
      </c>
      <c r="LTM43">
        <f t="shared" si="175"/>
        <v>0</v>
      </c>
      <c r="LTN43">
        <f t="shared" si="175"/>
        <v>0</v>
      </c>
      <c r="LTO43">
        <f t="shared" si="175"/>
        <v>0</v>
      </c>
      <c r="LTP43">
        <f t="shared" si="175"/>
        <v>0</v>
      </c>
      <c r="LTQ43">
        <f t="shared" si="175"/>
        <v>0</v>
      </c>
      <c r="LTR43">
        <f t="shared" si="175"/>
        <v>0</v>
      </c>
      <c r="LTS43">
        <f t="shared" si="175"/>
        <v>0</v>
      </c>
      <c r="LTT43">
        <f t="shared" si="175"/>
        <v>0</v>
      </c>
      <c r="LTU43">
        <f t="shared" si="175"/>
        <v>0</v>
      </c>
      <c r="LTV43">
        <f t="shared" si="175"/>
        <v>0</v>
      </c>
      <c r="LTW43">
        <f t="shared" si="175"/>
        <v>0</v>
      </c>
      <c r="LTX43">
        <f t="shared" si="175"/>
        <v>0</v>
      </c>
      <c r="LTY43">
        <f t="shared" si="175"/>
        <v>0</v>
      </c>
      <c r="LTZ43">
        <f t="shared" si="175"/>
        <v>0</v>
      </c>
      <c r="LUA43">
        <f t="shared" si="175"/>
        <v>0</v>
      </c>
      <c r="LUB43">
        <f t="shared" si="175"/>
        <v>0</v>
      </c>
      <c r="LUC43">
        <f t="shared" si="175"/>
        <v>0</v>
      </c>
      <c r="LUD43">
        <f t="shared" si="175"/>
        <v>0</v>
      </c>
      <c r="LUE43">
        <f t="shared" si="175"/>
        <v>0</v>
      </c>
      <c r="LUF43">
        <f t="shared" si="175"/>
        <v>0</v>
      </c>
      <c r="LUG43">
        <f t="shared" si="175"/>
        <v>0</v>
      </c>
      <c r="LUH43">
        <f t="shared" si="175"/>
        <v>0</v>
      </c>
      <c r="LUI43">
        <f t="shared" si="175"/>
        <v>0</v>
      </c>
      <c r="LUJ43">
        <f t="shared" si="175"/>
        <v>0</v>
      </c>
      <c r="LUK43">
        <f t="shared" si="175"/>
        <v>0</v>
      </c>
      <c r="LUL43">
        <f t="shared" si="175"/>
        <v>0</v>
      </c>
      <c r="LUM43">
        <f t="shared" si="175"/>
        <v>0</v>
      </c>
      <c r="LUN43">
        <f t="shared" si="175"/>
        <v>0</v>
      </c>
      <c r="LUO43">
        <f t="shared" si="175"/>
        <v>0</v>
      </c>
      <c r="LUP43">
        <f t="shared" si="175"/>
        <v>0</v>
      </c>
      <c r="LUQ43">
        <f t="shared" si="175"/>
        <v>0</v>
      </c>
      <c r="LUR43">
        <f t="shared" si="175"/>
        <v>0</v>
      </c>
      <c r="LUS43">
        <f t="shared" si="175"/>
        <v>0</v>
      </c>
      <c r="LUT43">
        <f t="shared" si="175"/>
        <v>0</v>
      </c>
      <c r="LUU43">
        <f t="shared" si="175"/>
        <v>0</v>
      </c>
      <c r="LUV43">
        <f t="shared" si="175"/>
        <v>0</v>
      </c>
      <c r="LUW43">
        <f t="shared" si="175"/>
        <v>0</v>
      </c>
      <c r="LUX43">
        <f t="shared" si="175"/>
        <v>0</v>
      </c>
      <c r="LUY43">
        <f t="shared" si="175"/>
        <v>0</v>
      </c>
      <c r="LUZ43">
        <f t="shared" si="175"/>
        <v>0</v>
      </c>
      <c r="LVA43">
        <f t="shared" si="175"/>
        <v>0</v>
      </c>
      <c r="LVB43">
        <f t="shared" si="175"/>
        <v>0</v>
      </c>
      <c r="LVC43">
        <f t="shared" si="175"/>
        <v>0</v>
      </c>
      <c r="LVD43">
        <f t="shared" si="175"/>
        <v>0</v>
      </c>
      <c r="LVE43">
        <f t="shared" si="175"/>
        <v>0</v>
      </c>
      <c r="LVF43">
        <f t="shared" si="175"/>
        <v>0</v>
      </c>
      <c r="LVG43">
        <f t="shared" si="175"/>
        <v>0</v>
      </c>
      <c r="LVH43">
        <f t="shared" si="175"/>
        <v>0</v>
      </c>
      <c r="LVI43">
        <f t="shared" si="175"/>
        <v>0</v>
      </c>
      <c r="LVJ43">
        <f t="shared" si="175"/>
        <v>0</v>
      </c>
      <c r="LVK43">
        <f t="shared" si="175"/>
        <v>0</v>
      </c>
      <c r="LVL43">
        <f t="shared" si="175"/>
        <v>0</v>
      </c>
      <c r="LVM43">
        <f t="shared" si="175"/>
        <v>0</v>
      </c>
      <c r="LVN43">
        <f t="shared" si="175"/>
        <v>0</v>
      </c>
      <c r="LVO43">
        <f t="shared" si="175"/>
        <v>0</v>
      </c>
      <c r="LVP43">
        <f t="shared" si="175"/>
        <v>0</v>
      </c>
      <c r="LVQ43">
        <f t="shared" si="175"/>
        <v>0</v>
      </c>
      <c r="LVR43">
        <f t="shared" si="176"/>
        <v>0</v>
      </c>
      <c r="LVS43">
        <f t="shared" si="176"/>
        <v>0</v>
      </c>
      <c r="LVT43">
        <f t="shared" si="176"/>
        <v>0</v>
      </c>
      <c r="LVU43">
        <f t="shared" si="176"/>
        <v>0</v>
      </c>
      <c r="LVV43">
        <f t="shared" si="176"/>
        <v>0</v>
      </c>
      <c r="LVW43">
        <f t="shared" si="176"/>
        <v>0</v>
      </c>
      <c r="LVX43">
        <f t="shared" si="176"/>
        <v>0</v>
      </c>
      <c r="LVY43">
        <f t="shared" si="176"/>
        <v>0</v>
      </c>
      <c r="LVZ43">
        <f t="shared" si="176"/>
        <v>0</v>
      </c>
      <c r="LWA43">
        <f t="shared" si="176"/>
        <v>0</v>
      </c>
      <c r="LWB43">
        <f t="shared" si="176"/>
        <v>0</v>
      </c>
      <c r="LWC43">
        <f t="shared" si="176"/>
        <v>0</v>
      </c>
      <c r="LWD43">
        <f t="shared" si="176"/>
        <v>0</v>
      </c>
      <c r="LWE43">
        <f t="shared" si="176"/>
        <v>0</v>
      </c>
      <c r="LWF43">
        <f t="shared" si="176"/>
        <v>0</v>
      </c>
      <c r="LWG43">
        <f t="shared" si="176"/>
        <v>0</v>
      </c>
      <c r="LWH43">
        <f t="shared" si="176"/>
        <v>0</v>
      </c>
      <c r="LWI43">
        <f t="shared" si="176"/>
        <v>0</v>
      </c>
      <c r="LWJ43">
        <f t="shared" si="176"/>
        <v>0</v>
      </c>
      <c r="LWK43">
        <f t="shared" si="176"/>
        <v>0</v>
      </c>
      <c r="LWL43">
        <f t="shared" si="176"/>
        <v>0</v>
      </c>
      <c r="LWM43">
        <f t="shared" si="176"/>
        <v>0</v>
      </c>
      <c r="LWN43">
        <f t="shared" si="176"/>
        <v>0</v>
      </c>
      <c r="LWO43">
        <f t="shared" si="176"/>
        <v>0</v>
      </c>
      <c r="LWP43">
        <f t="shared" si="176"/>
        <v>0</v>
      </c>
      <c r="LWQ43">
        <f t="shared" si="176"/>
        <v>0</v>
      </c>
      <c r="LWR43">
        <f t="shared" si="176"/>
        <v>0</v>
      </c>
      <c r="LWS43">
        <f t="shared" si="176"/>
        <v>0</v>
      </c>
      <c r="LWT43">
        <f t="shared" si="176"/>
        <v>0</v>
      </c>
      <c r="LWU43">
        <f t="shared" si="176"/>
        <v>0</v>
      </c>
      <c r="LWV43">
        <f t="shared" si="176"/>
        <v>0</v>
      </c>
      <c r="LWW43">
        <f t="shared" si="176"/>
        <v>0</v>
      </c>
      <c r="LWX43">
        <f t="shared" si="176"/>
        <v>0</v>
      </c>
      <c r="LWY43">
        <f t="shared" si="176"/>
        <v>0</v>
      </c>
      <c r="LWZ43">
        <f t="shared" si="176"/>
        <v>0</v>
      </c>
      <c r="LXA43">
        <f t="shared" si="176"/>
        <v>0</v>
      </c>
      <c r="LXB43">
        <f t="shared" si="176"/>
        <v>0</v>
      </c>
      <c r="LXC43">
        <f t="shared" si="176"/>
        <v>0</v>
      </c>
      <c r="LXD43">
        <f t="shared" si="176"/>
        <v>0</v>
      </c>
      <c r="LXE43">
        <f t="shared" si="176"/>
        <v>0</v>
      </c>
      <c r="LXF43">
        <f t="shared" si="176"/>
        <v>0</v>
      </c>
      <c r="LXG43">
        <f t="shared" si="176"/>
        <v>0</v>
      </c>
      <c r="LXH43">
        <f t="shared" si="176"/>
        <v>0</v>
      </c>
      <c r="LXI43">
        <f t="shared" si="176"/>
        <v>0</v>
      </c>
      <c r="LXJ43">
        <f t="shared" si="176"/>
        <v>0</v>
      </c>
      <c r="LXK43">
        <f t="shared" si="176"/>
        <v>0</v>
      </c>
      <c r="LXL43">
        <f t="shared" si="176"/>
        <v>0</v>
      </c>
      <c r="LXM43">
        <f t="shared" si="176"/>
        <v>0</v>
      </c>
      <c r="LXN43">
        <f t="shared" si="176"/>
        <v>0</v>
      </c>
      <c r="LXO43">
        <f t="shared" si="176"/>
        <v>0</v>
      </c>
      <c r="LXP43">
        <f t="shared" si="176"/>
        <v>0</v>
      </c>
      <c r="LXQ43">
        <f t="shared" si="176"/>
        <v>0</v>
      </c>
      <c r="LXR43">
        <f t="shared" si="176"/>
        <v>0</v>
      </c>
      <c r="LXS43">
        <f t="shared" si="176"/>
        <v>0</v>
      </c>
      <c r="LXT43">
        <f t="shared" si="176"/>
        <v>0</v>
      </c>
      <c r="LXU43">
        <f t="shared" si="176"/>
        <v>0</v>
      </c>
      <c r="LXV43">
        <f t="shared" si="176"/>
        <v>0</v>
      </c>
      <c r="LXW43">
        <f t="shared" si="176"/>
        <v>0</v>
      </c>
      <c r="LXX43">
        <f t="shared" si="176"/>
        <v>0</v>
      </c>
      <c r="LXY43">
        <f t="shared" si="176"/>
        <v>0</v>
      </c>
      <c r="LXZ43">
        <f t="shared" si="176"/>
        <v>0</v>
      </c>
      <c r="LYA43">
        <f t="shared" si="176"/>
        <v>0</v>
      </c>
      <c r="LYB43">
        <f t="shared" si="176"/>
        <v>0</v>
      </c>
      <c r="LYC43">
        <f t="shared" si="176"/>
        <v>0</v>
      </c>
      <c r="LYD43">
        <f t="shared" si="177"/>
        <v>0</v>
      </c>
      <c r="LYE43">
        <f t="shared" si="177"/>
        <v>0</v>
      </c>
      <c r="LYF43">
        <f t="shared" si="177"/>
        <v>0</v>
      </c>
      <c r="LYG43">
        <f t="shared" si="177"/>
        <v>0</v>
      </c>
      <c r="LYH43">
        <f t="shared" si="177"/>
        <v>0</v>
      </c>
      <c r="LYI43">
        <f t="shared" si="177"/>
        <v>0</v>
      </c>
      <c r="LYJ43">
        <f t="shared" si="177"/>
        <v>0</v>
      </c>
      <c r="LYK43">
        <f t="shared" si="177"/>
        <v>0</v>
      </c>
      <c r="LYL43">
        <f t="shared" si="177"/>
        <v>0</v>
      </c>
      <c r="LYM43">
        <f t="shared" si="177"/>
        <v>0</v>
      </c>
      <c r="LYN43">
        <f t="shared" si="177"/>
        <v>0</v>
      </c>
      <c r="LYO43">
        <f t="shared" si="177"/>
        <v>0</v>
      </c>
      <c r="LYP43">
        <f t="shared" si="177"/>
        <v>0</v>
      </c>
      <c r="LYQ43">
        <f t="shared" si="177"/>
        <v>0</v>
      </c>
      <c r="LYR43">
        <f t="shared" si="177"/>
        <v>0</v>
      </c>
      <c r="LYS43">
        <f t="shared" si="177"/>
        <v>0</v>
      </c>
      <c r="LYT43">
        <f t="shared" si="177"/>
        <v>0</v>
      </c>
      <c r="LYU43">
        <f t="shared" si="177"/>
        <v>0</v>
      </c>
      <c r="LYV43">
        <f t="shared" si="177"/>
        <v>0</v>
      </c>
      <c r="LYW43">
        <f t="shared" si="177"/>
        <v>0</v>
      </c>
      <c r="LYX43">
        <f t="shared" si="177"/>
        <v>0</v>
      </c>
      <c r="LYY43">
        <f t="shared" si="177"/>
        <v>0</v>
      </c>
      <c r="LYZ43">
        <f t="shared" si="177"/>
        <v>0</v>
      </c>
      <c r="LZA43">
        <f t="shared" si="177"/>
        <v>0</v>
      </c>
      <c r="LZB43">
        <f t="shared" si="177"/>
        <v>0</v>
      </c>
      <c r="LZC43">
        <f t="shared" si="177"/>
        <v>0</v>
      </c>
      <c r="LZD43">
        <f t="shared" si="177"/>
        <v>0</v>
      </c>
      <c r="LZE43">
        <f t="shared" si="177"/>
        <v>0</v>
      </c>
      <c r="LZF43">
        <f t="shared" si="177"/>
        <v>0</v>
      </c>
      <c r="LZG43">
        <f t="shared" si="177"/>
        <v>0</v>
      </c>
      <c r="LZH43">
        <f t="shared" si="177"/>
        <v>0</v>
      </c>
      <c r="LZI43">
        <f t="shared" si="177"/>
        <v>0</v>
      </c>
      <c r="LZJ43">
        <f t="shared" si="177"/>
        <v>0</v>
      </c>
      <c r="LZK43">
        <f t="shared" si="177"/>
        <v>0</v>
      </c>
      <c r="LZL43">
        <f t="shared" si="177"/>
        <v>0</v>
      </c>
      <c r="LZM43">
        <f t="shared" si="177"/>
        <v>0</v>
      </c>
      <c r="LZN43">
        <f t="shared" si="177"/>
        <v>0</v>
      </c>
      <c r="LZO43">
        <f t="shared" si="177"/>
        <v>0</v>
      </c>
      <c r="LZP43">
        <f t="shared" si="177"/>
        <v>0</v>
      </c>
      <c r="LZQ43">
        <f t="shared" si="177"/>
        <v>0</v>
      </c>
      <c r="LZR43">
        <f t="shared" si="177"/>
        <v>0</v>
      </c>
      <c r="LZS43">
        <f t="shared" si="177"/>
        <v>0</v>
      </c>
      <c r="LZT43">
        <f t="shared" si="177"/>
        <v>0</v>
      </c>
      <c r="LZU43">
        <f t="shared" si="177"/>
        <v>0</v>
      </c>
      <c r="LZV43">
        <f t="shared" si="177"/>
        <v>0</v>
      </c>
      <c r="LZW43">
        <f t="shared" si="177"/>
        <v>0</v>
      </c>
      <c r="LZX43">
        <f t="shared" si="177"/>
        <v>0</v>
      </c>
      <c r="LZY43">
        <f t="shared" si="177"/>
        <v>0</v>
      </c>
      <c r="LZZ43">
        <f t="shared" si="177"/>
        <v>0</v>
      </c>
      <c r="MAA43">
        <f t="shared" si="177"/>
        <v>0</v>
      </c>
      <c r="MAB43">
        <f t="shared" si="177"/>
        <v>0</v>
      </c>
      <c r="MAC43">
        <f t="shared" si="177"/>
        <v>0</v>
      </c>
      <c r="MAD43">
        <f t="shared" si="177"/>
        <v>0</v>
      </c>
      <c r="MAE43">
        <f t="shared" si="177"/>
        <v>0</v>
      </c>
      <c r="MAF43">
        <f t="shared" si="177"/>
        <v>0</v>
      </c>
      <c r="MAG43">
        <f t="shared" si="177"/>
        <v>0</v>
      </c>
      <c r="MAH43">
        <f t="shared" si="177"/>
        <v>0</v>
      </c>
      <c r="MAI43">
        <f t="shared" si="177"/>
        <v>0</v>
      </c>
      <c r="MAJ43">
        <f t="shared" si="177"/>
        <v>0</v>
      </c>
      <c r="MAK43">
        <f t="shared" si="177"/>
        <v>0</v>
      </c>
      <c r="MAL43">
        <f t="shared" si="177"/>
        <v>0</v>
      </c>
      <c r="MAM43">
        <f t="shared" si="177"/>
        <v>0</v>
      </c>
      <c r="MAN43">
        <f t="shared" si="177"/>
        <v>0</v>
      </c>
      <c r="MAO43">
        <f t="shared" si="177"/>
        <v>0</v>
      </c>
      <c r="MAP43">
        <f t="shared" si="178"/>
        <v>0</v>
      </c>
      <c r="MAQ43">
        <f t="shared" si="178"/>
        <v>0</v>
      </c>
      <c r="MAR43">
        <f t="shared" si="178"/>
        <v>0</v>
      </c>
      <c r="MAS43">
        <f t="shared" si="178"/>
        <v>0</v>
      </c>
      <c r="MAT43">
        <f t="shared" si="178"/>
        <v>0</v>
      </c>
      <c r="MAU43">
        <f t="shared" si="178"/>
        <v>0</v>
      </c>
      <c r="MAV43">
        <f t="shared" si="178"/>
        <v>0</v>
      </c>
      <c r="MAW43">
        <f t="shared" si="178"/>
        <v>0</v>
      </c>
      <c r="MAX43">
        <f t="shared" si="178"/>
        <v>0</v>
      </c>
      <c r="MAY43">
        <f t="shared" si="178"/>
        <v>0</v>
      </c>
      <c r="MAZ43">
        <f t="shared" si="178"/>
        <v>0</v>
      </c>
      <c r="MBA43">
        <f t="shared" si="178"/>
        <v>0</v>
      </c>
      <c r="MBB43">
        <f t="shared" si="178"/>
        <v>0</v>
      </c>
      <c r="MBC43">
        <f t="shared" si="178"/>
        <v>0</v>
      </c>
      <c r="MBD43">
        <f t="shared" si="178"/>
        <v>0</v>
      </c>
      <c r="MBE43">
        <f t="shared" si="178"/>
        <v>0</v>
      </c>
      <c r="MBF43">
        <f t="shared" si="178"/>
        <v>0</v>
      </c>
      <c r="MBG43">
        <f t="shared" si="178"/>
        <v>0</v>
      </c>
      <c r="MBH43">
        <f t="shared" si="178"/>
        <v>0</v>
      </c>
      <c r="MBI43">
        <f t="shared" si="178"/>
        <v>0</v>
      </c>
      <c r="MBJ43">
        <f t="shared" si="178"/>
        <v>0</v>
      </c>
      <c r="MBK43">
        <f t="shared" si="178"/>
        <v>0</v>
      </c>
      <c r="MBL43">
        <f t="shared" si="178"/>
        <v>0</v>
      </c>
      <c r="MBM43">
        <f t="shared" si="178"/>
        <v>0</v>
      </c>
      <c r="MBN43">
        <f t="shared" si="178"/>
        <v>0</v>
      </c>
      <c r="MBO43">
        <f t="shared" si="178"/>
        <v>0</v>
      </c>
      <c r="MBP43">
        <f t="shared" si="178"/>
        <v>0</v>
      </c>
      <c r="MBQ43">
        <f t="shared" si="178"/>
        <v>0</v>
      </c>
      <c r="MBR43">
        <f t="shared" si="178"/>
        <v>0</v>
      </c>
      <c r="MBS43">
        <f t="shared" si="178"/>
        <v>0</v>
      </c>
      <c r="MBT43">
        <f t="shared" si="178"/>
        <v>0</v>
      </c>
      <c r="MBU43">
        <f t="shared" si="178"/>
        <v>0</v>
      </c>
      <c r="MBV43">
        <f t="shared" si="178"/>
        <v>0</v>
      </c>
      <c r="MBW43">
        <f t="shared" si="178"/>
        <v>0</v>
      </c>
      <c r="MBX43">
        <f t="shared" si="178"/>
        <v>0</v>
      </c>
      <c r="MBY43">
        <f t="shared" si="178"/>
        <v>0</v>
      </c>
      <c r="MBZ43">
        <f t="shared" si="178"/>
        <v>0</v>
      </c>
      <c r="MCA43">
        <f t="shared" si="178"/>
        <v>0</v>
      </c>
      <c r="MCB43">
        <f t="shared" si="178"/>
        <v>0</v>
      </c>
      <c r="MCC43">
        <f t="shared" si="178"/>
        <v>0</v>
      </c>
      <c r="MCD43">
        <f t="shared" si="178"/>
        <v>0</v>
      </c>
      <c r="MCE43">
        <f t="shared" si="178"/>
        <v>0</v>
      </c>
      <c r="MCF43">
        <f t="shared" si="178"/>
        <v>0</v>
      </c>
      <c r="MCG43">
        <f t="shared" si="178"/>
        <v>0</v>
      </c>
      <c r="MCH43">
        <f t="shared" si="178"/>
        <v>0</v>
      </c>
      <c r="MCI43">
        <f t="shared" si="178"/>
        <v>0</v>
      </c>
      <c r="MCJ43">
        <f t="shared" si="178"/>
        <v>0</v>
      </c>
      <c r="MCK43">
        <f t="shared" si="178"/>
        <v>0</v>
      </c>
      <c r="MCL43">
        <f t="shared" si="178"/>
        <v>0</v>
      </c>
      <c r="MCM43">
        <f t="shared" si="178"/>
        <v>0</v>
      </c>
      <c r="MCN43">
        <f t="shared" si="178"/>
        <v>0</v>
      </c>
      <c r="MCO43">
        <f t="shared" si="178"/>
        <v>0</v>
      </c>
      <c r="MCP43">
        <f t="shared" si="178"/>
        <v>0</v>
      </c>
      <c r="MCQ43">
        <f t="shared" si="178"/>
        <v>0</v>
      </c>
      <c r="MCR43">
        <f t="shared" si="178"/>
        <v>0</v>
      </c>
      <c r="MCS43">
        <f t="shared" si="178"/>
        <v>0</v>
      </c>
      <c r="MCT43">
        <f t="shared" si="178"/>
        <v>0</v>
      </c>
      <c r="MCU43">
        <f t="shared" si="178"/>
        <v>0</v>
      </c>
      <c r="MCV43">
        <f t="shared" si="178"/>
        <v>0</v>
      </c>
      <c r="MCW43">
        <f t="shared" si="178"/>
        <v>0</v>
      </c>
      <c r="MCX43">
        <f t="shared" si="178"/>
        <v>0</v>
      </c>
      <c r="MCY43">
        <f t="shared" si="178"/>
        <v>0</v>
      </c>
      <c r="MCZ43">
        <f t="shared" si="178"/>
        <v>0</v>
      </c>
      <c r="MDA43">
        <f t="shared" si="178"/>
        <v>0</v>
      </c>
      <c r="MDB43">
        <f t="shared" si="179"/>
        <v>0</v>
      </c>
      <c r="MDC43">
        <f t="shared" si="179"/>
        <v>0</v>
      </c>
      <c r="MDD43">
        <f t="shared" si="179"/>
        <v>0</v>
      </c>
      <c r="MDE43">
        <f t="shared" si="179"/>
        <v>0</v>
      </c>
      <c r="MDF43">
        <f t="shared" si="179"/>
        <v>0</v>
      </c>
      <c r="MDG43">
        <f t="shared" si="179"/>
        <v>0</v>
      </c>
      <c r="MDH43">
        <f t="shared" si="179"/>
        <v>0</v>
      </c>
      <c r="MDI43">
        <f t="shared" si="179"/>
        <v>0</v>
      </c>
      <c r="MDJ43">
        <f t="shared" si="179"/>
        <v>0</v>
      </c>
      <c r="MDK43">
        <f t="shared" si="179"/>
        <v>0</v>
      </c>
      <c r="MDL43">
        <f t="shared" si="179"/>
        <v>0</v>
      </c>
      <c r="MDM43">
        <f t="shared" si="179"/>
        <v>0</v>
      </c>
      <c r="MDN43">
        <f t="shared" si="179"/>
        <v>0</v>
      </c>
      <c r="MDO43">
        <f t="shared" si="179"/>
        <v>0</v>
      </c>
      <c r="MDP43">
        <f t="shared" si="179"/>
        <v>0</v>
      </c>
      <c r="MDQ43">
        <f t="shared" si="179"/>
        <v>0</v>
      </c>
      <c r="MDR43">
        <f t="shared" si="179"/>
        <v>0</v>
      </c>
      <c r="MDS43">
        <f t="shared" si="179"/>
        <v>0</v>
      </c>
      <c r="MDT43">
        <f t="shared" si="179"/>
        <v>0</v>
      </c>
      <c r="MDU43">
        <f t="shared" si="179"/>
        <v>0</v>
      </c>
      <c r="MDV43">
        <f t="shared" si="179"/>
        <v>0</v>
      </c>
      <c r="MDW43">
        <f t="shared" si="179"/>
        <v>0</v>
      </c>
      <c r="MDX43">
        <f t="shared" si="179"/>
        <v>0</v>
      </c>
      <c r="MDY43">
        <f t="shared" si="179"/>
        <v>0</v>
      </c>
      <c r="MDZ43">
        <f t="shared" si="179"/>
        <v>0</v>
      </c>
      <c r="MEA43">
        <f t="shared" si="179"/>
        <v>0</v>
      </c>
      <c r="MEB43">
        <f t="shared" si="179"/>
        <v>0</v>
      </c>
      <c r="MEC43">
        <f t="shared" si="179"/>
        <v>0</v>
      </c>
      <c r="MED43">
        <f t="shared" si="179"/>
        <v>0</v>
      </c>
      <c r="MEE43">
        <f t="shared" si="179"/>
        <v>0</v>
      </c>
      <c r="MEF43">
        <f t="shared" si="179"/>
        <v>0</v>
      </c>
      <c r="MEG43">
        <f t="shared" si="179"/>
        <v>0</v>
      </c>
      <c r="MEH43">
        <f t="shared" si="179"/>
        <v>0</v>
      </c>
      <c r="MEI43">
        <f t="shared" si="179"/>
        <v>0</v>
      </c>
      <c r="MEJ43">
        <f t="shared" si="179"/>
        <v>0</v>
      </c>
      <c r="MEK43">
        <f t="shared" si="179"/>
        <v>0</v>
      </c>
      <c r="MEL43">
        <f t="shared" si="179"/>
        <v>0</v>
      </c>
      <c r="MEM43">
        <f t="shared" si="179"/>
        <v>0</v>
      </c>
      <c r="MEN43">
        <f t="shared" si="179"/>
        <v>0</v>
      </c>
      <c r="MEO43">
        <f t="shared" si="179"/>
        <v>0</v>
      </c>
      <c r="MEP43">
        <f t="shared" si="179"/>
        <v>0</v>
      </c>
      <c r="MEQ43">
        <f t="shared" si="179"/>
        <v>0</v>
      </c>
      <c r="MER43">
        <f t="shared" si="179"/>
        <v>0</v>
      </c>
      <c r="MES43">
        <f t="shared" si="179"/>
        <v>0</v>
      </c>
      <c r="MET43">
        <f t="shared" si="179"/>
        <v>0</v>
      </c>
      <c r="MEU43">
        <f t="shared" si="179"/>
        <v>0</v>
      </c>
      <c r="MEV43">
        <f t="shared" si="179"/>
        <v>0</v>
      </c>
      <c r="MEW43">
        <f t="shared" si="179"/>
        <v>0</v>
      </c>
      <c r="MEX43">
        <f t="shared" si="179"/>
        <v>0</v>
      </c>
      <c r="MEY43">
        <f t="shared" si="179"/>
        <v>0</v>
      </c>
      <c r="MEZ43">
        <f t="shared" si="179"/>
        <v>0</v>
      </c>
      <c r="MFA43">
        <f t="shared" si="179"/>
        <v>0</v>
      </c>
      <c r="MFB43">
        <f t="shared" si="179"/>
        <v>0</v>
      </c>
      <c r="MFC43">
        <f t="shared" si="179"/>
        <v>0</v>
      </c>
      <c r="MFD43">
        <f t="shared" si="179"/>
        <v>0</v>
      </c>
      <c r="MFE43">
        <f t="shared" si="179"/>
        <v>0</v>
      </c>
      <c r="MFF43">
        <f t="shared" si="179"/>
        <v>0</v>
      </c>
      <c r="MFG43">
        <f t="shared" si="179"/>
        <v>0</v>
      </c>
      <c r="MFH43">
        <f t="shared" si="179"/>
        <v>0</v>
      </c>
      <c r="MFI43">
        <f t="shared" si="179"/>
        <v>0</v>
      </c>
      <c r="MFJ43">
        <f t="shared" si="179"/>
        <v>0</v>
      </c>
      <c r="MFK43">
        <f t="shared" si="179"/>
        <v>0</v>
      </c>
      <c r="MFL43">
        <f t="shared" si="179"/>
        <v>0</v>
      </c>
      <c r="MFM43">
        <f t="shared" si="179"/>
        <v>0</v>
      </c>
      <c r="MFN43">
        <f t="shared" si="180"/>
        <v>0</v>
      </c>
      <c r="MFO43">
        <f t="shared" si="180"/>
        <v>0</v>
      </c>
      <c r="MFP43">
        <f t="shared" si="180"/>
        <v>0</v>
      </c>
      <c r="MFQ43">
        <f t="shared" si="180"/>
        <v>0</v>
      </c>
      <c r="MFR43">
        <f t="shared" si="180"/>
        <v>0</v>
      </c>
      <c r="MFS43">
        <f t="shared" si="180"/>
        <v>0</v>
      </c>
      <c r="MFT43">
        <f t="shared" si="180"/>
        <v>0</v>
      </c>
      <c r="MFU43">
        <f t="shared" si="180"/>
        <v>0</v>
      </c>
      <c r="MFV43">
        <f t="shared" si="180"/>
        <v>0</v>
      </c>
      <c r="MFW43">
        <f t="shared" si="180"/>
        <v>0</v>
      </c>
      <c r="MFX43">
        <f t="shared" si="180"/>
        <v>0</v>
      </c>
      <c r="MFY43">
        <f t="shared" si="180"/>
        <v>0</v>
      </c>
      <c r="MFZ43">
        <f t="shared" si="180"/>
        <v>0</v>
      </c>
      <c r="MGA43">
        <f t="shared" si="180"/>
        <v>0</v>
      </c>
      <c r="MGB43">
        <f t="shared" si="180"/>
        <v>0</v>
      </c>
      <c r="MGC43">
        <f t="shared" si="180"/>
        <v>0</v>
      </c>
      <c r="MGD43">
        <f t="shared" si="180"/>
        <v>0</v>
      </c>
      <c r="MGE43">
        <f t="shared" si="180"/>
        <v>0</v>
      </c>
      <c r="MGF43">
        <f t="shared" si="180"/>
        <v>0</v>
      </c>
      <c r="MGG43">
        <f t="shared" si="180"/>
        <v>0</v>
      </c>
      <c r="MGH43">
        <f t="shared" si="180"/>
        <v>0</v>
      </c>
      <c r="MGI43">
        <f t="shared" si="180"/>
        <v>0</v>
      </c>
      <c r="MGJ43">
        <f t="shared" si="180"/>
        <v>0</v>
      </c>
      <c r="MGK43">
        <f t="shared" si="180"/>
        <v>0</v>
      </c>
      <c r="MGL43">
        <f t="shared" si="180"/>
        <v>0</v>
      </c>
      <c r="MGM43">
        <f t="shared" si="180"/>
        <v>0</v>
      </c>
      <c r="MGN43">
        <f t="shared" si="180"/>
        <v>0</v>
      </c>
      <c r="MGO43">
        <f t="shared" si="180"/>
        <v>0</v>
      </c>
      <c r="MGP43">
        <f t="shared" si="180"/>
        <v>0</v>
      </c>
      <c r="MGQ43">
        <f t="shared" si="180"/>
        <v>0</v>
      </c>
      <c r="MGR43">
        <f t="shared" si="180"/>
        <v>0</v>
      </c>
      <c r="MGS43">
        <f t="shared" si="180"/>
        <v>0</v>
      </c>
      <c r="MGT43">
        <f t="shared" si="180"/>
        <v>0</v>
      </c>
      <c r="MGU43">
        <f t="shared" si="180"/>
        <v>0</v>
      </c>
      <c r="MGV43">
        <f t="shared" si="180"/>
        <v>0</v>
      </c>
      <c r="MGW43">
        <f t="shared" si="180"/>
        <v>0</v>
      </c>
      <c r="MGX43">
        <f t="shared" si="180"/>
        <v>0</v>
      </c>
      <c r="MGY43">
        <f t="shared" si="180"/>
        <v>0</v>
      </c>
      <c r="MGZ43">
        <f t="shared" si="180"/>
        <v>0</v>
      </c>
      <c r="MHA43">
        <f t="shared" si="180"/>
        <v>0</v>
      </c>
      <c r="MHB43">
        <f t="shared" si="180"/>
        <v>0</v>
      </c>
      <c r="MHC43">
        <f t="shared" si="180"/>
        <v>0</v>
      </c>
      <c r="MHD43">
        <f t="shared" si="180"/>
        <v>0</v>
      </c>
      <c r="MHE43">
        <f t="shared" si="180"/>
        <v>0</v>
      </c>
      <c r="MHF43">
        <f t="shared" si="180"/>
        <v>0</v>
      </c>
      <c r="MHG43">
        <f t="shared" si="180"/>
        <v>0</v>
      </c>
      <c r="MHH43">
        <f t="shared" si="180"/>
        <v>0</v>
      </c>
      <c r="MHI43">
        <f t="shared" si="180"/>
        <v>0</v>
      </c>
      <c r="MHJ43">
        <f t="shared" si="180"/>
        <v>0</v>
      </c>
      <c r="MHK43">
        <f t="shared" si="180"/>
        <v>0</v>
      </c>
      <c r="MHL43">
        <f t="shared" si="180"/>
        <v>0</v>
      </c>
      <c r="MHM43">
        <f t="shared" si="180"/>
        <v>0</v>
      </c>
      <c r="MHN43">
        <f t="shared" si="180"/>
        <v>0</v>
      </c>
      <c r="MHO43">
        <f t="shared" si="180"/>
        <v>0</v>
      </c>
      <c r="MHP43">
        <f t="shared" si="180"/>
        <v>0</v>
      </c>
      <c r="MHQ43">
        <f t="shared" si="180"/>
        <v>0</v>
      </c>
      <c r="MHR43">
        <f t="shared" si="180"/>
        <v>0</v>
      </c>
      <c r="MHS43">
        <f t="shared" si="180"/>
        <v>0</v>
      </c>
      <c r="MHT43">
        <f t="shared" si="180"/>
        <v>0</v>
      </c>
      <c r="MHU43">
        <f t="shared" si="180"/>
        <v>0</v>
      </c>
      <c r="MHV43">
        <f t="shared" si="180"/>
        <v>0</v>
      </c>
      <c r="MHW43">
        <f t="shared" si="180"/>
        <v>0</v>
      </c>
      <c r="MHX43">
        <f t="shared" si="180"/>
        <v>0</v>
      </c>
      <c r="MHY43">
        <f t="shared" si="180"/>
        <v>0</v>
      </c>
      <c r="MHZ43">
        <f t="shared" si="181"/>
        <v>0</v>
      </c>
      <c r="MIA43">
        <f t="shared" si="181"/>
        <v>0</v>
      </c>
      <c r="MIB43">
        <f t="shared" si="181"/>
        <v>0</v>
      </c>
      <c r="MIC43">
        <f t="shared" si="181"/>
        <v>0</v>
      </c>
      <c r="MID43">
        <f t="shared" si="181"/>
        <v>0</v>
      </c>
      <c r="MIE43">
        <f t="shared" si="181"/>
        <v>0</v>
      </c>
      <c r="MIF43">
        <f t="shared" si="181"/>
        <v>0</v>
      </c>
      <c r="MIG43">
        <f t="shared" si="181"/>
        <v>0</v>
      </c>
      <c r="MIH43">
        <f t="shared" si="181"/>
        <v>0</v>
      </c>
      <c r="MII43">
        <f t="shared" si="181"/>
        <v>0</v>
      </c>
      <c r="MIJ43">
        <f t="shared" si="181"/>
        <v>0</v>
      </c>
      <c r="MIK43">
        <f t="shared" si="181"/>
        <v>0</v>
      </c>
      <c r="MIL43">
        <f t="shared" si="181"/>
        <v>0</v>
      </c>
      <c r="MIM43">
        <f t="shared" si="181"/>
        <v>0</v>
      </c>
      <c r="MIN43">
        <f t="shared" si="181"/>
        <v>0</v>
      </c>
      <c r="MIO43">
        <f t="shared" si="181"/>
        <v>0</v>
      </c>
      <c r="MIP43">
        <f t="shared" si="181"/>
        <v>0</v>
      </c>
      <c r="MIQ43">
        <f t="shared" si="181"/>
        <v>0</v>
      </c>
      <c r="MIR43">
        <f t="shared" si="181"/>
        <v>0</v>
      </c>
      <c r="MIS43">
        <f t="shared" si="181"/>
        <v>0</v>
      </c>
      <c r="MIT43">
        <f t="shared" si="181"/>
        <v>0</v>
      </c>
      <c r="MIU43">
        <f t="shared" si="181"/>
        <v>0</v>
      </c>
      <c r="MIV43">
        <f t="shared" si="181"/>
        <v>0</v>
      </c>
      <c r="MIW43">
        <f t="shared" si="181"/>
        <v>0</v>
      </c>
      <c r="MIX43">
        <f t="shared" si="181"/>
        <v>0</v>
      </c>
      <c r="MIY43">
        <f t="shared" si="181"/>
        <v>0</v>
      </c>
      <c r="MIZ43">
        <f t="shared" si="181"/>
        <v>0</v>
      </c>
      <c r="MJA43">
        <f t="shared" si="181"/>
        <v>0</v>
      </c>
      <c r="MJB43">
        <f t="shared" si="181"/>
        <v>0</v>
      </c>
      <c r="MJC43">
        <f t="shared" si="181"/>
        <v>0</v>
      </c>
      <c r="MJD43">
        <f t="shared" si="181"/>
        <v>0</v>
      </c>
      <c r="MJE43">
        <f t="shared" si="181"/>
        <v>0</v>
      </c>
      <c r="MJF43">
        <f t="shared" si="181"/>
        <v>0</v>
      </c>
      <c r="MJG43">
        <f t="shared" si="181"/>
        <v>0</v>
      </c>
      <c r="MJH43">
        <f t="shared" si="181"/>
        <v>0</v>
      </c>
      <c r="MJI43">
        <f t="shared" si="181"/>
        <v>0</v>
      </c>
      <c r="MJJ43">
        <f t="shared" si="181"/>
        <v>0</v>
      </c>
      <c r="MJK43">
        <f t="shared" si="181"/>
        <v>0</v>
      </c>
      <c r="MJL43">
        <f t="shared" si="181"/>
        <v>0</v>
      </c>
      <c r="MJM43">
        <f t="shared" si="181"/>
        <v>0</v>
      </c>
      <c r="MJN43">
        <f t="shared" si="181"/>
        <v>0</v>
      </c>
      <c r="MJO43">
        <f t="shared" si="181"/>
        <v>0</v>
      </c>
      <c r="MJP43">
        <f t="shared" si="181"/>
        <v>0</v>
      </c>
      <c r="MJQ43">
        <f t="shared" si="181"/>
        <v>0</v>
      </c>
      <c r="MJR43">
        <f t="shared" si="181"/>
        <v>0</v>
      </c>
      <c r="MJS43">
        <f t="shared" si="181"/>
        <v>0</v>
      </c>
      <c r="MJT43">
        <f t="shared" si="181"/>
        <v>0</v>
      </c>
      <c r="MJU43">
        <f t="shared" si="181"/>
        <v>0</v>
      </c>
      <c r="MJV43">
        <f t="shared" si="181"/>
        <v>0</v>
      </c>
      <c r="MJW43">
        <f t="shared" si="181"/>
        <v>0</v>
      </c>
      <c r="MJX43">
        <f t="shared" si="181"/>
        <v>0</v>
      </c>
      <c r="MJY43">
        <f t="shared" si="181"/>
        <v>0</v>
      </c>
      <c r="MJZ43">
        <f t="shared" si="181"/>
        <v>0</v>
      </c>
      <c r="MKA43">
        <f t="shared" si="181"/>
        <v>0</v>
      </c>
      <c r="MKB43">
        <f t="shared" si="181"/>
        <v>0</v>
      </c>
      <c r="MKC43">
        <f t="shared" si="181"/>
        <v>0</v>
      </c>
      <c r="MKD43">
        <f t="shared" si="181"/>
        <v>0</v>
      </c>
      <c r="MKE43">
        <f t="shared" si="181"/>
        <v>0</v>
      </c>
      <c r="MKF43">
        <f t="shared" si="181"/>
        <v>0</v>
      </c>
      <c r="MKG43">
        <f t="shared" si="181"/>
        <v>0</v>
      </c>
      <c r="MKH43">
        <f t="shared" si="181"/>
        <v>0</v>
      </c>
      <c r="MKI43">
        <f t="shared" si="181"/>
        <v>0</v>
      </c>
      <c r="MKJ43">
        <f t="shared" si="181"/>
        <v>0</v>
      </c>
      <c r="MKK43">
        <f t="shared" si="181"/>
        <v>0</v>
      </c>
      <c r="MKL43">
        <f t="shared" si="182"/>
        <v>0</v>
      </c>
      <c r="MKM43">
        <f t="shared" si="182"/>
        <v>0</v>
      </c>
      <c r="MKN43">
        <f t="shared" si="182"/>
        <v>0</v>
      </c>
      <c r="MKO43">
        <f t="shared" si="182"/>
        <v>0</v>
      </c>
      <c r="MKP43">
        <f t="shared" si="182"/>
        <v>0</v>
      </c>
      <c r="MKQ43">
        <f t="shared" si="182"/>
        <v>0</v>
      </c>
      <c r="MKR43">
        <f t="shared" si="182"/>
        <v>0</v>
      </c>
      <c r="MKS43">
        <f t="shared" si="182"/>
        <v>0</v>
      </c>
      <c r="MKT43">
        <f t="shared" si="182"/>
        <v>0</v>
      </c>
      <c r="MKU43">
        <f t="shared" si="182"/>
        <v>0</v>
      </c>
      <c r="MKV43">
        <f t="shared" si="182"/>
        <v>0</v>
      </c>
      <c r="MKW43">
        <f t="shared" si="182"/>
        <v>0</v>
      </c>
      <c r="MKX43">
        <f t="shared" si="182"/>
        <v>0</v>
      </c>
      <c r="MKY43">
        <f t="shared" si="182"/>
        <v>0</v>
      </c>
      <c r="MKZ43">
        <f t="shared" si="182"/>
        <v>0</v>
      </c>
      <c r="MLA43">
        <f t="shared" si="182"/>
        <v>0</v>
      </c>
      <c r="MLB43">
        <f t="shared" si="182"/>
        <v>0</v>
      </c>
      <c r="MLC43">
        <f t="shared" si="182"/>
        <v>0</v>
      </c>
      <c r="MLD43">
        <f t="shared" si="182"/>
        <v>0</v>
      </c>
      <c r="MLE43">
        <f t="shared" si="182"/>
        <v>0</v>
      </c>
      <c r="MLF43">
        <f t="shared" si="182"/>
        <v>0</v>
      </c>
      <c r="MLG43">
        <f t="shared" si="182"/>
        <v>0</v>
      </c>
      <c r="MLH43">
        <f t="shared" si="182"/>
        <v>0</v>
      </c>
      <c r="MLI43">
        <f t="shared" si="182"/>
        <v>0</v>
      </c>
      <c r="MLJ43">
        <f t="shared" si="182"/>
        <v>0</v>
      </c>
      <c r="MLK43">
        <f t="shared" si="182"/>
        <v>0</v>
      </c>
      <c r="MLL43">
        <f t="shared" si="182"/>
        <v>0</v>
      </c>
      <c r="MLM43">
        <f t="shared" si="182"/>
        <v>0</v>
      </c>
      <c r="MLN43">
        <f t="shared" si="182"/>
        <v>0</v>
      </c>
      <c r="MLO43">
        <f t="shared" si="182"/>
        <v>0</v>
      </c>
      <c r="MLP43">
        <f t="shared" si="182"/>
        <v>0</v>
      </c>
      <c r="MLQ43">
        <f t="shared" si="182"/>
        <v>0</v>
      </c>
      <c r="MLR43">
        <f t="shared" si="182"/>
        <v>0</v>
      </c>
      <c r="MLS43">
        <f t="shared" si="182"/>
        <v>0</v>
      </c>
      <c r="MLT43">
        <f t="shared" si="182"/>
        <v>0</v>
      </c>
      <c r="MLU43">
        <f t="shared" si="182"/>
        <v>0</v>
      </c>
      <c r="MLV43">
        <f t="shared" si="182"/>
        <v>0</v>
      </c>
      <c r="MLW43">
        <f t="shared" si="182"/>
        <v>0</v>
      </c>
      <c r="MLX43">
        <f t="shared" si="182"/>
        <v>0</v>
      </c>
      <c r="MLY43">
        <f t="shared" si="182"/>
        <v>0</v>
      </c>
      <c r="MLZ43">
        <f t="shared" si="182"/>
        <v>0</v>
      </c>
      <c r="MMA43">
        <f t="shared" si="182"/>
        <v>0</v>
      </c>
      <c r="MMB43">
        <f t="shared" si="182"/>
        <v>0</v>
      </c>
      <c r="MMC43">
        <f t="shared" si="182"/>
        <v>0</v>
      </c>
      <c r="MMD43">
        <f t="shared" si="182"/>
        <v>0</v>
      </c>
      <c r="MME43">
        <f t="shared" si="182"/>
        <v>0</v>
      </c>
      <c r="MMF43">
        <f t="shared" si="182"/>
        <v>0</v>
      </c>
      <c r="MMG43">
        <f t="shared" si="182"/>
        <v>0</v>
      </c>
      <c r="MMH43">
        <f t="shared" si="182"/>
        <v>0</v>
      </c>
      <c r="MMI43">
        <f t="shared" si="182"/>
        <v>0</v>
      </c>
      <c r="MMJ43">
        <f t="shared" si="182"/>
        <v>0</v>
      </c>
      <c r="MMK43">
        <f t="shared" si="182"/>
        <v>0</v>
      </c>
      <c r="MML43">
        <f t="shared" si="182"/>
        <v>0</v>
      </c>
      <c r="MMM43">
        <f t="shared" si="182"/>
        <v>0</v>
      </c>
      <c r="MMN43">
        <f t="shared" si="182"/>
        <v>0</v>
      </c>
      <c r="MMO43">
        <f t="shared" si="182"/>
        <v>0</v>
      </c>
      <c r="MMP43">
        <f t="shared" si="182"/>
        <v>0</v>
      </c>
      <c r="MMQ43">
        <f t="shared" si="182"/>
        <v>0</v>
      </c>
      <c r="MMR43">
        <f t="shared" si="182"/>
        <v>0</v>
      </c>
      <c r="MMS43">
        <f t="shared" si="182"/>
        <v>0</v>
      </c>
      <c r="MMT43">
        <f t="shared" si="182"/>
        <v>0</v>
      </c>
      <c r="MMU43">
        <f t="shared" si="182"/>
        <v>0</v>
      </c>
      <c r="MMV43">
        <f t="shared" si="182"/>
        <v>0</v>
      </c>
      <c r="MMW43">
        <f t="shared" si="182"/>
        <v>0</v>
      </c>
      <c r="MMX43">
        <f t="shared" si="183"/>
        <v>0</v>
      </c>
      <c r="MMY43">
        <f t="shared" si="183"/>
        <v>0</v>
      </c>
      <c r="MMZ43">
        <f t="shared" si="183"/>
        <v>0</v>
      </c>
      <c r="MNA43">
        <f t="shared" si="183"/>
        <v>0</v>
      </c>
      <c r="MNB43">
        <f t="shared" si="183"/>
        <v>0</v>
      </c>
      <c r="MNC43">
        <f t="shared" si="183"/>
        <v>0</v>
      </c>
      <c r="MND43">
        <f t="shared" si="183"/>
        <v>0</v>
      </c>
      <c r="MNE43">
        <f t="shared" si="183"/>
        <v>0</v>
      </c>
      <c r="MNF43">
        <f t="shared" si="183"/>
        <v>0</v>
      </c>
      <c r="MNG43">
        <f t="shared" si="183"/>
        <v>0</v>
      </c>
      <c r="MNH43">
        <f t="shared" si="183"/>
        <v>0</v>
      </c>
      <c r="MNI43">
        <f t="shared" si="183"/>
        <v>0</v>
      </c>
      <c r="MNJ43">
        <f t="shared" si="183"/>
        <v>0</v>
      </c>
      <c r="MNK43">
        <f t="shared" si="183"/>
        <v>0</v>
      </c>
      <c r="MNL43">
        <f t="shared" si="183"/>
        <v>0</v>
      </c>
      <c r="MNM43">
        <f t="shared" si="183"/>
        <v>0</v>
      </c>
      <c r="MNN43">
        <f t="shared" si="183"/>
        <v>0</v>
      </c>
      <c r="MNO43">
        <f t="shared" si="183"/>
        <v>0</v>
      </c>
      <c r="MNP43">
        <f t="shared" si="183"/>
        <v>0</v>
      </c>
      <c r="MNQ43">
        <f t="shared" si="183"/>
        <v>0</v>
      </c>
      <c r="MNR43">
        <f t="shared" si="183"/>
        <v>0</v>
      </c>
      <c r="MNS43">
        <f t="shared" si="183"/>
        <v>0</v>
      </c>
      <c r="MNT43">
        <f t="shared" si="183"/>
        <v>0</v>
      </c>
      <c r="MNU43">
        <f t="shared" si="183"/>
        <v>0</v>
      </c>
      <c r="MNV43">
        <f t="shared" si="183"/>
        <v>0</v>
      </c>
      <c r="MNW43">
        <f t="shared" si="183"/>
        <v>0</v>
      </c>
      <c r="MNX43">
        <f t="shared" si="183"/>
        <v>0</v>
      </c>
      <c r="MNY43">
        <f t="shared" si="183"/>
        <v>0</v>
      </c>
      <c r="MNZ43">
        <f t="shared" si="183"/>
        <v>0</v>
      </c>
      <c r="MOA43">
        <f t="shared" si="183"/>
        <v>0</v>
      </c>
      <c r="MOB43">
        <f t="shared" si="183"/>
        <v>0</v>
      </c>
      <c r="MOC43">
        <f t="shared" si="183"/>
        <v>0</v>
      </c>
      <c r="MOD43">
        <f t="shared" si="183"/>
        <v>0</v>
      </c>
      <c r="MOE43">
        <f t="shared" si="183"/>
        <v>0</v>
      </c>
      <c r="MOF43">
        <f t="shared" si="183"/>
        <v>0</v>
      </c>
      <c r="MOG43">
        <f t="shared" si="183"/>
        <v>0</v>
      </c>
      <c r="MOH43">
        <f t="shared" si="183"/>
        <v>0</v>
      </c>
      <c r="MOI43">
        <f t="shared" si="183"/>
        <v>0</v>
      </c>
      <c r="MOJ43">
        <f t="shared" si="183"/>
        <v>0</v>
      </c>
      <c r="MOK43">
        <f t="shared" si="183"/>
        <v>0</v>
      </c>
      <c r="MOL43">
        <f t="shared" si="183"/>
        <v>0</v>
      </c>
      <c r="MOM43">
        <f t="shared" si="183"/>
        <v>0</v>
      </c>
      <c r="MON43">
        <f t="shared" si="183"/>
        <v>0</v>
      </c>
      <c r="MOO43">
        <f t="shared" si="183"/>
        <v>0</v>
      </c>
      <c r="MOP43">
        <f t="shared" si="183"/>
        <v>0</v>
      </c>
      <c r="MOQ43">
        <f t="shared" si="183"/>
        <v>0</v>
      </c>
      <c r="MOR43">
        <f t="shared" si="183"/>
        <v>0</v>
      </c>
      <c r="MOS43">
        <f t="shared" si="183"/>
        <v>0</v>
      </c>
      <c r="MOT43">
        <f t="shared" si="183"/>
        <v>0</v>
      </c>
      <c r="MOU43">
        <f t="shared" si="183"/>
        <v>0</v>
      </c>
      <c r="MOV43">
        <f t="shared" si="183"/>
        <v>0</v>
      </c>
      <c r="MOW43">
        <f t="shared" si="183"/>
        <v>0</v>
      </c>
      <c r="MOX43">
        <f t="shared" si="183"/>
        <v>0</v>
      </c>
      <c r="MOY43">
        <f t="shared" si="183"/>
        <v>0</v>
      </c>
      <c r="MOZ43">
        <f t="shared" si="183"/>
        <v>0</v>
      </c>
      <c r="MPA43">
        <f t="shared" si="183"/>
        <v>0</v>
      </c>
      <c r="MPB43">
        <f t="shared" si="183"/>
        <v>0</v>
      </c>
      <c r="MPC43">
        <f t="shared" si="183"/>
        <v>0</v>
      </c>
      <c r="MPD43">
        <f t="shared" si="183"/>
        <v>0</v>
      </c>
      <c r="MPE43">
        <f t="shared" si="183"/>
        <v>0</v>
      </c>
      <c r="MPF43">
        <f t="shared" si="183"/>
        <v>0</v>
      </c>
      <c r="MPG43">
        <f t="shared" si="183"/>
        <v>0</v>
      </c>
      <c r="MPH43">
        <f t="shared" si="183"/>
        <v>0</v>
      </c>
      <c r="MPI43">
        <f t="shared" si="183"/>
        <v>0</v>
      </c>
      <c r="MPJ43">
        <f t="shared" si="184"/>
        <v>0</v>
      </c>
      <c r="MPK43">
        <f t="shared" si="184"/>
        <v>0</v>
      </c>
      <c r="MPL43">
        <f t="shared" si="184"/>
        <v>0</v>
      </c>
      <c r="MPM43">
        <f t="shared" si="184"/>
        <v>0</v>
      </c>
      <c r="MPN43">
        <f t="shared" si="184"/>
        <v>0</v>
      </c>
      <c r="MPO43">
        <f t="shared" si="184"/>
        <v>0</v>
      </c>
      <c r="MPP43">
        <f t="shared" si="184"/>
        <v>0</v>
      </c>
      <c r="MPQ43">
        <f t="shared" si="184"/>
        <v>0</v>
      </c>
      <c r="MPR43">
        <f t="shared" si="184"/>
        <v>0</v>
      </c>
      <c r="MPS43">
        <f t="shared" si="184"/>
        <v>0</v>
      </c>
      <c r="MPT43">
        <f t="shared" si="184"/>
        <v>0</v>
      </c>
      <c r="MPU43">
        <f t="shared" si="184"/>
        <v>0</v>
      </c>
      <c r="MPV43">
        <f t="shared" si="184"/>
        <v>0</v>
      </c>
      <c r="MPW43">
        <f t="shared" si="184"/>
        <v>0</v>
      </c>
      <c r="MPX43">
        <f t="shared" si="184"/>
        <v>0</v>
      </c>
      <c r="MPY43">
        <f t="shared" si="184"/>
        <v>0</v>
      </c>
      <c r="MPZ43">
        <f t="shared" si="184"/>
        <v>0</v>
      </c>
      <c r="MQA43">
        <f t="shared" si="184"/>
        <v>0</v>
      </c>
      <c r="MQB43">
        <f t="shared" si="184"/>
        <v>0</v>
      </c>
      <c r="MQC43">
        <f t="shared" si="184"/>
        <v>0</v>
      </c>
      <c r="MQD43">
        <f t="shared" si="184"/>
        <v>0</v>
      </c>
      <c r="MQE43">
        <f t="shared" si="184"/>
        <v>0</v>
      </c>
      <c r="MQF43">
        <f t="shared" si="184"/>
        <v>0</v>
      </c>
      <c r="MQG43">
        <f t="shared" si="184"/>
        <v>0</v>
      </c>
      <c r="MQH43">
        <f t="shared" si="184"/>
        <v>0</v>
      </c>
      <c r="MQI43">
        <f t="shared" si="184"/>
        <v>0</v>
      </c>
      <c r="MQJ43">
        <f t="shared" si="184"/>
        <v>0</v>
      </c>
      <c r="MQK43">
        <f t="shared" si="184"/>
        <v>0</v>
      </c>
      <c r="MQL43">
        <f t="shared" si="184"/>
        <v>0</v>
      </c>
      <c r="MQM43">
        <f t="shared" si="184"/>
        <v>0</v>
      </c>
      <c r="MQN43">
        <f t="shared" si="184"/>
        <v>0</v>
      </c>
      <c r="MQO43">
        <f t="shared" si="184"/>
        <v>0</v>
      </c>
      <c r="MQP43">
        <f t="shared" si="184"/>
        <v>0</v>
      </c>
      <c r="MQQ43">
        <f t="shared" si="184"/>
        <v>0</v>
      </c>
      <c r="MQR43">
        <f t="shared" si="184"/>
        <v>0</v>
      </c>
      <c r="MQS43">
        <f t="shared" si="184"/>
        <v>0</v>
      </c>
      <c r="MQT43">
        <f t="shared" si="184"/>
        <v>0</v>
      </c>
      <c r="MQU43">
        <f t="shared" si="184"/>
        <v>0</v>
      </c>
      <c r="MQV43">
        <f t="shared" si="184"/>
        <v>0</v>
      </c>
      <c r="MQW43">
        <f t="shared" si="184"/>
        <v>0</v>
      </c>
      <c r="MQX43">
        <f t="shared" si="184"/>
        <v>0</v>
      </c>
      <c r="MQY43">
        <f t="shared" si="184"/>
        <v>0</v>
      </c>
      <c r="MQZ43">
        <f t="shared" si="184"/>
        <v>0</v>
      </c>
      <c r="MRA43">
        <f t="shared" si="184"/>
        <v>0</v>
      </c>
      <c r="MRB43">
        <f t="shared" si="184"/>
        <v>0</v>
      </c>
      <c r="MRC43">
        <f t="shared" si="184"/>
        <v>0</v>
      </c>
      <c r="MRD43">
        <f t="shared" si="184"/>
        <v>0</v>
      </c>
      <c r="MRE43">
        <f t="shared" si="184"/>
        <v>0</v>
      </c>
      <c r="MRF43">
        <f t="shared" si="184"/>
        <v>0</v>
      </c>
      <c r="MRG43">
        <f t="shared" si="184"/>
        <v>0</v>
      </c>
      <c r="MRH43">
        <f t="shared" si="184"/>
        <v>0</v>
      </c>
      <c r="MRI43">
        <f t="shared" si="184"/>
        <v>0</v>
      </c>
      <c r="MRJ43">
        <f t="shared" si="184"/>
        <v>0</v>
      </c>
      <c r="MRK43">
        <f t="shared" si="184"/>
        <v>0</v>
      </c>
      <c r="MRL43">
        <f t="shared" si="184"/>
        <v>0</v>
      </c>
      <c r="MRM43">
        <f t="shared" si="184"/>
        <v>0</v>
      </c>
      <c r="MRN43">
        <f t="shared" si="184"/>
        <v>0</v>
      </c>
      <c r="MRO43">
        <f t="shared" si="184"/>
        <v>0</v>
      </c>
      <c r="MRP43">
        <f t="shared" si="184"/>
        <v>0</v>
      </c>
      <c r="MRQ43">
        <f t="shared" si="184"/>
        <v>0</v>
      </c>
      <c r="MRR43">
        <f t="shared" si="184"/>
        <v>0</v>
      </c>
      <c r="MRS43">
        <f t="shared" si="184"/>
        <v>0</v>
      </c>
      <c r="MRT43">
        <f t="shared" si="184"/>
        <v>0</v>
      </c>
      <c r="MRU43">
        <f t="shared" si="184"/>
        <v>0</v>
      </c>
      <c r="MRV43">
        <f t="shared" si="185"/>
        <v>0</v>
      </c>
      <c r="MRW43">
        <f t="shared" si="185"/>
        <v>0</v>
      </c>
      <c r="MRX43">
        <f t="shared" si="185"/>
        <v>0</v>
      </c>
      <c r="MRY43">
        <f t="shared" si="185"/>
        <v>0</v>
      </c>
      <c r="MRZ43">
        <f t="shared" si="185"/>
        <v>0</v>
      </c>
      <c r="MSA43">
        <f t="shared" si="185"/>
        <v>0</v>
      </c>
      <c r="MSB43">
        <f t="shared" si="185"/>
        <v>0</v>
      </c>
      <c r="MSC43">
        <f t="shared" si="185"/>
        <v>0</v>
      </c>
      <c r="MSD43">
        <f t="shared" si="185"/>
        <v>0</v>
      </c>
      <c r="MSE43">
        <f t="shared" si="185"/>
        <v>0</v>
      </c>
      <c r="MSF43">
        <f t="shared" si="185"/>
        <v>0</v>
      </c>
      <c r="MSG43">
        <f t="shared" si="185"/>
        <v>0</v>
      </c>
      <c r="MSH43">
        <f t="shared" si="185"/>
        <v>0</v>
      </c>
      <c r="MSI43">
        <f t="shared" si="185"/>
        <v>0</v>
      </c>
      <c r="MSJ43">
        <f t="shared" si="185"/>
        <v>0</v>
      </c>
      <c r="MSK43">
        <f t="shared" si="185"/>
        <v>0</v>
      </c>
      <c r="MSL43">
        <f t="shared" si="185"/>
        <v>0</v>
      </c>
      <c r="MSM43">
        <f t="shared" si="185"/>
        <v>0</v>
      </c>
      <c r="MSN43">
        <f t="shared" si="185"/>
        <v>0</v>
      </c>
      <c r="MSO43">
        <f t="shared" si="185"/>
        <v>0</v>
      </c>
      <c r="MSP43">
        <f t="shared" si="185"/>
        <v>0</v>
      </c>
      <c r="MSQ43">
        <f t="shared" si="185"/>
        <v>0</v>
      </c>
      <c r="MSR43">
        <f t="shared" si="185"/>
        <v>0</v>
      </c>
      <c r="MSS43">
        <f t="shared" si="185"/>
        <v>0</v>
      </c>
      <c r="MST43">
        <f t="shared" si="185"/>
        <v>0</v>
      </c>
      <c r="MSU43">
        <f t="shared" si="185"/>
        <v>0</v>
      </c>
      <c r="MSV43">
        <f t="shared" si="185"/>
        <v>0</v>
      </c>
      <c r="MSW43">
        <f t="shared" si="185"/>
        <v>0</v>
      </c>
      <c r="MSX43">
        <f t="shared" si="185"/>
        <v>0</v>
      </c>
      <c r="MSY43">
        <f t="shared" si="185"/>
        <v>0</v>
      </c>
      <c r="MSZ43">
        <f t="shared" si="185"/>
        <v>0</v>
      </c>
      <c r="MTA43">
        <f t="shared" si="185"/>
        <v>0</v>
      </c>
      <c r="MTB43">
        <f t="shared" si="185"/>
        <v>0</v>
      </c>
      <c r="MTC43">
        <f t="shared" si="185"/>
        <v>0</v>
      </c>
      <c r="MTD43">
        <f t="shared" si="185"/>
        <v>0</v>
      </c>
      <c r="MTE43">
        <f t="shared" si="185"/>
        <v>0</v>
      </c>
      <c r="MTF43">
        <f t="shared" si="185"/>
        <v>0</v>
      </c>
      <c r="MTG43">
        <f t="shared" si="185"/>
        <v>0</v>
      </c>
      <c r="MTH43">
        <f t="shared" si="185"/>
        <v>0</v>
      </c>
      <c r="MTI43">
        <f t="shared" si="185"/>
        <v>0</v>
      </c>
      <c r="MTJ43">
        <f t="shared" si="185"/>
        <v>0</v>
      </c>
      <c r="MTK43">
        <f t="shared" si="185"/>
        <v>0</v>
      </c>
      <c r="MTL43">
        <f t="shared" si="185"/>
        <v>0</v>
      </c>
      <c r="MTM43">
        <f t="shared" si="185"/>
        <v>0</v>
      </c>
      <c r="MTN43">
        <f t="shared" si="185"/>
        <v>0</v>
      </c>
      <c r="MTO43">
        <f t="shared" si="185"/>
        <v>0</v>
      </c>
      <c r="MTP43">
        <f t="shared" si="185"/>
        <v>0</v>
      </c>
      <c r="MTQ43">
        <f t="shared" si="185"/>
        <v>0</v>
      </c>
      <c r="MTR43">
        <f t="shared" si="185"/>
        <v>0</v>
      </c>
      <c r="MTS43">
        <f t="shared" si="185"/>
        <v>0</v>
      </c>
      <c r="MTT43">
        <f t="shared" si="185"/>
        <v>0</v>
      </c>
      <c r="MTU43">
        <f t="shared" si="185"/>
        <v>0</v>
      </c>
      <c r="MTV43">
        <f t="shared" si="185"/>
        <v>0</v>
      </c>
      <c r="MTW43">
        <f t="shared" si="185"/>
        <v>0</v>
      </c>
      <c r="MTX43">
        <f t="shared" si="185"/>
        <v>0</v>
      </c>
      <c r="MTY43">
        <f t="shared" si="185"/>
        <v>0</v>
      </c>
      <c r="MTZ43">
        <f t="shared" si="185"/>
        <v>0</v>
      </c>
      <c r="MUA43">
        <f t="shared" si="185"/>
        <v>0</v>
      </c>
      <c r="MUB43">
        <f t="shared" si="185"/>
        <v>0</v>
      </c>
      <c r="MUC43">
        <f t="shared" si="185"/>
        <v>0</v>
      </c>
      <c r="MUD43">
        <f t="shared" si="185"/>
        <v>0</v>
      </c>
      <c r="MUE43">
        <f t="shared" si="185"/>
        <v>0</v>
      </c>
      <c r="MUF43">
        <f t="shared" si="185"/>
        <v>0</v>
      </c>
      <c r="MUG43">
        <f t="shared" si="185"/>
        <v>0</v>
      </c>
      <c r="MUH43">
        <f t="shared" si="186"/>
        <v>0</v>
      </c>
      <c r="MUI43">
        <f t="shared" si="186"/>
        <v>0</v>
      </c>
      <c r="MUJ43">
        <f t="shared" si="186"/>
        <v>0</v>
      </c>
      <c r="MUK43">
        <f t="shared" si="186"/>
        <v>0</v>
      </c>
      <c r="MUL43">
        <f t="shared" si="186"/>
        <v>0</v>
      </c>
      <c r="MUM43">
        <f t="shared" si="186"/>
        <v>0</v>
      </c>
      <c r="MUN43">
        <f t="shared" si="186"/>
        <v>0</v>
      </c>
      <c r="MUO43">
        <f t="shared" si="186"/>
        <v>0</v>
      </c>
      <c r="MUP43">
        <f t="shared" si="186"/>
        <v>0</v>
      </c>
      <c r="MUQ43">
        <f t="shared" si="186"/>
        <v>0</v>
      </c>
      <c r="MUR43">
        <f t="shared" si="186"/>
        <v>0</v>
      </c>
      <c r="MUS43">
        <f t="shared" si="186"/>
        <v>0</v>
      </c>
      <c r="MUT43">
        <f t="shared" si="186"/>
        <v>0</v>
      </c>
      <c r="MUU43">
        <f t="shared" si="186"/>
        <v>0</v>
      </c>
      <c r="MUV43">
        <f t="shared" si="186"/>
        <v>0</v>
      </c>
      <c r="MUW43">
        <f t="shared" si="186"/>
        <v>0</v>
      </c>
      <c r="MUX43">
        <f t="shared" si="186"/>
        <v>0</v>
      </c>
      <c r="MUY43">
        <f t="shared" si="186"/>
        <v>0</v>
      </c>
      <c r="MUZ43">
        <f t="shared" si="186"/>
        <v>0</v>
      </c>
      <c r="MVA43">
        <f t="shared" si="186"/>
        <v>0</v>
      </c>
      <c r="MVB43">
        <f t="shared" si="186"/>
        <v>0</v>
      </c>
      <c r="MVC43">
        <f t="shared" si="186"/>
        <v>0</v>
      </c>
      <c r="MVD43">
        <f t="shared" si="186"/>
        <v>0</v>
      </c>
      <c r="MVE43">
        <f t="shared" si="186"/>
        <v>0</v>
      </c>
      <c r="MVF43">
        <f t="shared" si="186"/>
        <v>0</v>
      </c>
      <c r="MVG43">
        <f t="shared" si="186"/>
        <v>0</v>
      </c>
      <c r="MVH43">
        <f t="shared" si="186"/>
        <v>0</v>
      </c>
      <c r="MVI43">
        <f t="shared" si="186"/>
        <v>0</v>
      </c>
      <c r="MVJ43">
        <f t="shared" si="186"/>
        <v>0</v>
      </c>
      <c r="MVK43">
        <f t="shared" si="186"/>
        <v>0</v>
      </c>
      <c r="MVL43">
        <f t="shared" si="186"/>
        <v>0</v>
      </c>
      <c r="MVM43">
        <f t="shared" si="186"/>
        <v>0</v>
      </c>
      <c r="MVN43">
        <f t="shared" si="186"/>
        <v>0</v>
      </c>
      <c r="MVO43">
        <f t="shared" si="186"/>
        <v>0</v>
      </c>
      <c r="MVP43">
        <f t="shared" si="186"/>
        <v>0</v>
      </c>
      <c r="MVQ43">
        <f t="shared" si="186"/>
        <v>0</v>
      </c>
      <c r="MVR43">
        <f t="shared" si="186"/>
        <v>0</v>
      </c>
      <c r="MVS43">
        <f t="shared" si="186"/>
        <v>0</v>
      </c>
      <c r="MVT43">
        <f t="shared" si="186"/>
        <v>0</v>
      </c>
      <c r="MVU43">
        <f t="shared" si="186"/>
        <v>0</v>
      </c>
      <c r="MVV43">
        <f t="shared" si="186"/>
        <v>0</v>
      </c>
      <c r="MVW43">
        <f t="shared" si="186"/>
        <v>0</v>
      </c>
      <c r="MVX43">
        <f t="shared" si="186"/>
        <v>0</v>
      </c>
      <c r="MVY43">
        <f t="shared" si="186"/>
        <v>0</v>
      </c>
      <c r="MVZ43">
        <f t="shared" si="186"/>
        <v>0</v>
      </c>
      <c r="MWA43">
        <f t="shared" si="186"/>
        <v>0</v>
      </c>
      <c r="MWB43">
        <f t="shared" si="186"/>
        <v>0</v>
      </c>
      <c r="MWC43">
        <f t="shared" si="186"/>
        <v>0</v>
      </c>
      <c r="MWD43">
        <f t="shared" si="186"/>
        <v>0</v>
      </c>
      <c r="MWE43">
        <f t="shared" si="186"/>
        <v>0</v>
      </c>
      <c r="MWF43">
        <f t="shared" si="186"/>
        <v>0</v>
      </c>
      <c r="MWG43">
        <f t="shared" si="186"/>
        <v>0</v>
      </c>
      <c r="MWH43">
        <f t="shared" si="186"/>
        <v>0</v>
      </c>
      <c r="MWI43">
        <f t="shared" si="186"/>
        <v>0</v>
      </c>
      <c r="MWJ43">
        <f t="shared" si="186"/>
        <v>0</v>
      </c>
      <c r="MWK43">
        <f t="shared" si="186"/>
        <v>0</v>
      </c>
      <c r="MWL43">
        <f t="shared" si="186"/>
        <v>0</v>
      </c>
      <c r="MWM43">
        <f t="shared" si="186"/>
        <v>0</v>
      </c>
      <c r="MWN43">
        <f t="shared" si="186"/>
        <v>0</v>
      </c>
      <c r="MWO43">
        <f t="shared" si="186"/>
        <v>0</v>
      </c>
      <c r="MWP43">
        <f t="shared" si="186"/>
        <v>0</v>
      </c>
      <c r="MWQ43">
        <f t="shared" si="186"/>
        <v>0</v>
      </c>
      <c r="MWR43">
        <f t="shared" si="186"/>
        <v>0</v>
      </c>
      <c r="MWS43">
        <f t="shared" si="186"/>
        <v>0</v>
      </c>
      <c r="MWT43">
        <f t="shared" si="187"/>
        <v>0</v>
      </c>
      <c r="MWU43">
        <f t="shared" si="187"/>
        <v>0</v>
      </c>
      <c r="MWV43">
        <f t="shared" si="187"/>
        <v>0</v>
      </c>
      <c r="MWW43">
        <f t="shared" si="187"/>
        <v>0</v>
      </c>
      <c r="MWX43">
        <f t="shared" si="187"/>
        <v>0</v>
      </c>
      <c r="MWY43">
        <f t="shared" si="187"/>
        <v>0</v>
      </c>
      <c r="MWZ43">
        <f t="shared" si="187"/>
        <v>0</v>
      </c>
      <c r="MXA43">
        <f t="shared" si="187"/>
        <v>0</v>
      </c>
      <c r="MXB43">
        <f t="shared" si="187"/>
        <v>0</v>
      </c>
      <c r="MXC43">
        <f t="shared" si="187"/>
        <v>0</v>
      </c>
      <c r="MXD43">
        <f t="shared" si="187"/>
        <v>0</v>
      </c>
      <c r="MXE43">
        <f t="shared" si="187"/>
        <v>0</v>
      </c>
      <c r="MXF43">
        <f t="shared" si="187"/>
        <v>0</v>
      </c>
      <c r="MXG43">
        <f t="shared" si="187"/>
        <v>0</v>
      </c>
      <c r="MXH43">
        <f t="shared" si="187"/>
        <v>0</v>
      </c>
      <c r="MXI43">
        <f t="shared" si="187"/>
        <v>0</v>
      </c>
      <c r="MXJ43">
        <f t="shared" si="187"/>
        <v>0</v>
      </c>
      <c r="MXK43">
        <f t="shared" si="187"/>
        <v>0</v>
      </c>
      <c r="MXL43">
        <f t="shared" si="187"/>
        <v>0</v>
      </c>
      <c r="MXM43">
        <f t="shared" si="187"/>
        <v>0</v>
      </c>
      <c r="MXN43">
        <f t="shared" si="187"/>
        <v>0</v>
      </c>
      <c r="MXO43">
        <f t="shared" si="187"/>
        <v>0</v>
      </c>
      <c r="MXP43">
        <f t="shared" si="187"/>
        <v>0</v>
      </c>
      <c r="MXQ43">
        <f t="shared" si="187"/>
        <v>0</v>
      </c>
      <c r="MXR43">
        <f t="shared" si="187"/>
        <v>0</v>
      </c>
      <c r="MXS43">
        <f t="shared" si="187"/>
        <v>0</v>
      </c>
      <c r="MXT43">
        <f t="shared" si="187"/>
        <v>0</v>
      </c>
      <c r="MXU43">
        <f t="shared" si="187"/>
        <v>0</v>
      </c>
      <c r="MXV43">
        <f t="shared" si="187"/>
        <v>0</v>
      </c>
      <c r="MXW43">
        <f t="shared" si="187"/>
        <v>0</v>
      </c>
      <c r="MXX43">
        <f t="shared" si="187"/>
        <v>0</v>
      </c>
      <c r="MXY43">
        <f t="shared" si="187"/>
        <v>0</v>
      </c>
      <c r="MXZ43">
        <f t="shared" si="187"/>
        <v>0</v>
      </c>
      <c r="MYA43">
        <f t="shared" si="187"/>
        <v>0</v>
      </c>
      <c r="MYB43">
        <f t="shared" si="187"/>
        <v>0</v>
      </c>
      <c r="MYC43">
        <f t="shared" si="187"/>
        <v>0</v>
      </c>
      <c r="MYD43">
        <f t="shared" si="187"/>
        <v>0</v>
      </c>
      <c r="MYE43">
        <f t="shared" si="187"/>
        <v>0</v>
      </c>
      <c r="MYF43">
        <f t="shared" si="187"/>
        <v>0</v>
      </c>
      <c r="MYG43">
        <f t="shared" si="187"/>
        <v>0</v>
      </c>
      <c r="MYH43">
        <f t="shared" si="187"/>
        <v>0</v>
      </c>
      <c r="MYI43">
        <f t="shared" si="187"/>
        <v>0</v>
      </c>
      <c r="MYJ43">
        <f t="shared" si="187"/>
        <v>0</v>
      </c>
      <c r="MYK43">
        <f t="shared" si="187"/>
        <v>0</v>
      </c>
      <c r="MYL43">
        <f t="shared" si="187"/>
        <v>0</v>
      </c>
      <c r="MYM43">
        <f t="shared" si="187"/>
        <v>0</v>
      </c>
      <c r="MYN43">
        <f t="shared" si="187"/>
        <v>0</v>
      </c>
      <c r="MYO43">
        <f t="shared" si="187"/>
        <v>0</v>
      </c>
      <c r="MYP43">
        <f t="shared" si="187"/>
        <v>0</v>
      </c>
      <c r="MYQ43">
        <f t="shared" si="187"/>
        <v>0</v>
      </c>
      <c r="MYR43">
        <f t="shared" si="187"/>
        <v>0</v>
      </c>
      <c r="MYS43">
        <f t="shared" si="187"/>
        <v>0</v>
      </c>
      <c r="MYT43">
        <f t="shared" si="187"/>
        <v>0</v>
      </c>
      <c r="MYU43">
        <f t="shared" si="187"/>
        <v>0</v>
      </c>
      <c r="MYV43">
        <f t="shared" si="187"/>
        <v>0</v>
      </c>
      <c r="MYW43">
        <f t="shared" si="187"/>
        <v>0</v>
      </c>
      <c r="MYX43">
        <f t="shared" si="187"/>
        <v>0</v>
      </c>
      <c r="MYY43">
        <f t="shared" si="187"/>
        <v>0</v>
      </c>
      <c r="MYZ43">
        <f t="shared" si="187"/>
        <v>0</v>
      </c>
      <c r="MZA43">
        <f t="shared" si="187"/>
        <v>0</v>
      </c>
      <c r="MZB43">
        <f t="shared" si="187"/>
        <v>0</v>
      </c>
      <c r="MZC43">
        <f t="shared" si="187"/>
        <v>0</v>
      </c>
      <c r="MZD43">
        <f t="shared" si="187"/>
        <v>0</v>
      </c>
      <c r="MZE43">
        <f t="shared" si="187"/>
        <v>0</v>
      </c>
      <c r="MZF43">
        <f t="shared" si="188"/>
        <v>0</v>
      </c>
      <c r="MZG43">
        <f t="shared" si="188"/>
        <v>0</v>
      </c>
      <c r="MZH43">
        <f t="shared" si="188"/>
        <v>0</v>
      </c>
      <c r="MZI43">
        <f t="shared" si="188"/>
        <v>0</v>
      </c>
      <c r="MZJ43">
        <f t="shared" si="188"/>
        <v>0</v>
      </c>
      <c r="MZK43">
        <f t="shared" si="188"/>
        <v>0</v>
      </c>
      <c r="MZL43">
        <f t="shared" si="188"/>
        <v>0</v>
      </c>
      <c r="MZM43">
        <f t="shared" si="188"/>
        <v>0</v>
      </c>
      <c r="MZN43">
        <f t="shared" si="188"/>
        <v>0</v>
      </c>
      <c r="MZO43">
        <f t="shared" si="188"/>
        <v>0</v>
      </c>
      <c r="MZP43">
        <f t="shared" si="188"/>
        <v>0</v>
      </c>
      <c r="MZQ43">
        <f t="shared" si="188"/>
        <v>0</v>
      </c>
      <c r="MZR43">
        <f t="shared" si="188"/>
        <v>0</v>
      </c>
      <c r="MZS43">
        <f t="shared" si="188"/>
        <v>0</v>
      </c>
      <c r="MZT43">
        <f t="shared" si="188"/>
        <v>0</v>
      </c>
      <c r="MZU43">
        <f t="shared" si="188"/>
        <v>0</v>
      </c>
      <c r="MZV43">
        <f t="shared" si="188"/>
        <v>0</v>
      </c>
      <c r="MZW43">
        <f t="shared" si="188"/>
        <v>0</v>
      </c>
      <c r="MZX43">
        <f t="shared" si="188"/>
        <v>0</v>
      </c>
      <c r="MZY43">
        <f t="shared" si="188"/>
        <v>0</v>
      </c>
      <c r="MZZ43">
        <f t="shared" si="188"/>
        <v>0</v>
      </c>
      <c r="NAA43">
        <f t="shared" si="188"/>
        <v>0</v>
      </c>
      <c r="NAB43">
        <f t="shared" si="188"/>
        <v>0</v>
      </c>
      <c r="NAC43">
        <f t="shared" si="188"/>
        <v>0</v>
      </c>
      <c r="NAD43">
        <f t="shared" si="188"/>
        <v>0</v>
      </c>
      <c r="NAE43">
        <f t="shared" si="188"/>
        <v>0</v>
      </c>
      <c r="NAF43">
        <f t="shared" si="188"/>
        <v>0</v>
      </c>
      <c r="NAG43">
        <f t="shared" si="188"/>
        <v>0</v>
      </c>
      <c r="NAH43">
        <f t="shared" si="188"/>
        <v>0</v>
      </c>
      <c r="NAI43">
        <f t="shared" si="188"/>
        <v>0</v>
      </c>
      <c r="NAJ43">
        <f t="shared" si="188"/>
        <v>0</v>
      </c>
      <c r="NAK43">
        <f t="shared" si="188"/>
        <v>0</v>
      </c>
      <c r="NAL43">
        <f t="shared" si="188"/>
        <v>0</v>
      </c>
      <c r="NAM43">
        <f t="shared" si="188"/>
        <v>0</v>
      </c>
      <c r="NAN43">
        <f t="shared" si="188"/>
        <v>0</v>
      </c>
      <c r="NAO43">
        <f t="shared" si="188"/>
        <v>0</v>
      </c>
      <c r="NAP43">
        <f t="shared" si="188"/>
        <v>0</v>
      </c>
      <c r="NAQ43">
        <f t="shared" si="188"/>
        <v>0</v>
      </c>
      <c r="NAR43">
        <f t="shared" si="188"/>
        <v>0</v>
      </c>
      <c r="NAS43">
        <f t="shared" si="188"/>
        <v>0</v>
      </c>
      <c r="NAT43">
        <f t="shared" si="188"/>
        <v>0</v>
      </c>
      <c r="NAU43">
        <f t="shared" si="188"/>
        <v>0</v>
      </c>
      <c r="NAV43">
        <f t="shared" si="188"/>
        <v>0</v>
      </c>
      <c r="NAW43">
        <f t="shared" si="188"/>
        <v>0</v>
      </c>
      <c r="NAX43">
        <f t="shared" si="188"/>
        <v>0</v>
      </c>
      <c r="NAY43">
        <f t="shared" si="188"/>
        <v>0</v>
      </c>
      <c r="NAZ43">
        <f t="shared" si="188"/>
        <v>0</v>
      </c>
      <c r="NBA43">
        <f t="shared" si="188"/>
        <v>0</v>
      </c>
      <c r="NBB43">
        <f t="shared" si="188"/>
        <v>0</v>
      </c>
      <c r="NBC43">
        <f t="shared" si="188"/>
        <v>0</v>
      </c>
      <c r="NBD43">
        <f t="shared" si="188"/>
        <v>0</v>
      </c>
      <c r="NBE43">
        <f t="shared" si="188"/>
        <v>0</v>
      </c>
      <c r="NBF43">
        <f t="shared" si="188"/>
        <v>0</v>
      </c>
      <c r="NBG43">
        <f t="shared" si="188"/>
        <v>0</v>
      </c>
      <c r="NBH43">
        <f t="shared" si="188"/>
        <v>0</v>
      </c>
      <c r="NBI43">
        <f t="shared" si="188"/>
        <v>0</v>
      </c>
      <c r="NBJ43">
        <f t="shared" si="188"/>
        <v>0</v>
      </c>
      <c r="NBK43">
        <f t="shared" si="188"/>
        <v>0</v>
      </c>
      <c r="NBL43">
        <f t="shared" si="188"/>
        <v>0</v>
      </c>
      <c r="NBM43">
        <f t="shared" si="188"/>
        <v>0</v>
      </c>
      <c r="NBN43">
        <f t="shared" si="188"/>
        <v>0</v>
      </c>
      <c r="NBO43">
        <f t="shared" si="188"/>
        <v>0</v>
      </c>
      <c r="NBP43">
        <f t="shared" si="188"/>
        <v>0</v>
      </c>
      <c r="NBQ43">
        <f t="shared" si="188"/>
        <v>0</v>
      </c>
      <c r="NBR43">
        <f t="shared" si="189"/>
        <v>0</v>
      </c>
      <c r="NBS43">
        <f t="shared" si="189"/>
        <v>0</v>
      </c>
      <c r="NBT43">
        <f t="shared" si="189"/>
        <v>0</v>
      </c>
      <c r="NBU43">
        <f t="shared" si="189"/>
        <v>0</v>
      </c>
      <c r="NBV43">
        <f t="shared" si="189"/>
        <v>0</v>
      </c>
      <c r="NBW43">
        <f t="shared" si="189"/>
        <v>0</v>
      </c>
      <c r="NBX43">
        <f t="shared" si="189"/>
        <v>0</v>
      </c>
      <c r="NBY43">
        <f t="shared" si="189"/>
        <v>0</v>
      </c>
      <c r="NBZ43">
        <f t="shared" si="189"/>
        <v>0</v>
      </c>
      <c r="NCA43">
        <f t="shared" si="189"/>
        <v>0</v>
      </c>
      <c r="NCB43">
        <f t="shared" si="189"/>
        <v>0</v>
      </c>
      <c r="NCC43">
        <f t="shared" si="189"/>
        <v>0</v>
      </c>
      <c r="NCD43">
        <f t="shared" si="189"/>
        <v>0</v>
      </c>
      <c r="NCE43">
        <f t="shared" si="189"/>
        <v>0</v>
      </c>
      <c r="NCF43">
        <f t="shared" si="189"/>
        <v>0</v>
      </c>
      <c r="NCG43">
        <f t="shared" si="189"/>
        <v>0</v>
      </c>
      <c r="NCH43">
        <f t="shared" si="189"/>
        <v>0</v>
      </c>
      <c r="NCI43">
        <f t="shared" si="189"/>
        <v>0</v>
      </c>
      <c r="NCJ43">
        <f t="shared" si="189"/>
        <v>0</v>
      </c>
      <c r="NCK43">
        <f t="shared" si="189"/>
        <v>0</v>
      </c>
      <c r="NCL43">
        <f t="shared" si="189"/>
        <v>0</v>
      </c>
      <c r="NCM43">
        <f t="shared" si="189"/>
        <v>0</v>
      </c>
      <c r="NCN43">
        <f t="shared" si="189"/>
        <v>0</v>
      </c>
      <c r="NCO43">
        <f t="shared" si="189"/>
        <v>0</v>
      </c>
      <c r="NCP43">
        <f t="shared" si="189"/>
        <v>0</v>
      </c>
      <c r="NCQ43">
        <f t="shared" si="189"/>
        <v>0</v>
      </c>
      <c r="NCR43">
        <f t="shared" si="189"/>
        <v>0</v>
      </c>
      <c r="NCS43">
        <f t="shared" si="189"/>
        <v>0</v>
      </c>
      <c r="NCT43">
        <f t="shared" si="189"/>
        <v>0</v>
      </c>
      <c r="NCU43">
        <f t="shared" si="189"/>
        <v>0</v>
      </c>
      <c r="NCV43">
        <f t="shared" si="189"/>
        <v>0</v>
      </c>
      <c r="NCW43">
        <f t="shared" si="189"/>
        <v>0</v>
      </c>
      <c r="NCX43">
        <f t="shared" si="189"/>
        <v>0</v>
      </c>
      <c r="NCY43">
        <f t="shared" si="189"/>
        <v>0</v>
      </c>
      <c r="NCZ43">
        <f t="shared" si="189"/>
        <v>0</v>
      </c>
      <c r="NDA43">
        <f t="shared" si="189"/>
        <v>0</v>
      </c>
      <c r="NDB43">
        <f t="shared" si="189"/>
        <v>0</v>
      </c>
      <c r="NDC43">
        <f t="shared" si="189"/>
        <v>0</v>
      </c>
      <c r="NDD43">
        <f t="shared" si="189"/>
        <v>0</v>
      </c>
      <c r="NDE43">
        <f t="shared" si="189"/>
        <v>0</v>
      </c>
      <c r="NDF43">
        <f t="shared" si="189"/>
        <v>0</v>
      </c>
      <c r="NDG43">
        <f t="shared" si="189"/>
        <v>0</v>
      </c>
      <c r="NDH43">
        <f t="shared" si="189"/>
        <v>0</v>
      </c>
      <c r="NDI43">
        <f t="shared" si="189"/>
        <v>0</v>
      </c>
      <c r="NDJ43">
        <f t="shared" si="189"/>
        <v>0</v>
      </c>
      <c r="NDK43">
        <f t="shared" si="189"/>
        <v>0</v>
      </c>
      <c r="NDL43">
        <f t="shared" si="189"/>
        <v>0</v>
      </c>
      <c r="NDM43">
        <f t="shared" si="189"/>
        <v>0</v>
      </c>
      <c r="NDN43">
        <f t="shared" si="189"/>
        <v>0</v>
      </c>
      <c r="NDO43">
        <f t="shared" si="189"/>
        <v>0</v>
      </c>
      <c r="NDP43">
        <f t="shared" si="189"/>
        <v>0</v>
      </c>
      <c r="NDQ43">
        <f t="shared" si="189"/>
        <v>0</v>
      </c>
      <c r="NDR43">
        <f t="shared" si="189"/>
        <v>0</v>
      </c>
      <c r="NDS43">
        <f t="shared" si="189"/>
        <v>0</v>
      </c>
      <c r="NDT43">
        <f t="shared" si="189"/>
        <v>0</v>
      </c>
      <c r="NDU43">
        <f t="shared" si="189"/>
        <v>0</v>
      </c>
      <c r="NDV43">
        <f t="shared" si="189"/>
        <v>0</v>
      </c>
      <c r="NDW43">
        <f t="shared" si="189"/>
        <v>0</v>
      </c>
      <c r="NDX43">
        <f t="shared" si="189"/>
        <v>0</v>
      </c>
      <c r="NDY43">
        <f t="shared" si="189"/>
        <v>0</v>
      </c>
      <c r="NDZ43">
        <f t="shared" si="189"/>
        <v>0</v>
      </c>
      <c r="NEA43">
        <f t="shared" si="189"/>
        <v>0</v>
      </c>
      <c r="NEB43">
        <f t="shared" si="189"/>
        <v>0</v>
      </c>
      <c r="NEC43">
        <f t="shared" si="189"/>
        <v>0</v>
      </c>
      <c r="NED43">
        <f t="shared" si="190"/>
        <v>0</v>
      </c>
      <c r="NEE43">
        <f t="shared" si="190"/>
        <v>0</v>
      </c>
      <c r="NEF43">
        <f t="shared" si="190"/>
        <v>0</v>
      </c>
      <c r="NEG43">
        <f t="shared" si="190"/>
        <v>0</v>
      </c>
      <c r="NEH43">
        <f t="shared" si="190"/>
        <v>0</v>
      </c>
      <c r="NEI43">
        <f t="shared" si="190"/>
        <v>0</v>
      </c>
      <c r="NEJ43">
        <f t="shared" si="190"/>
        <v>0</v>
      </c>
      <c r="NEK43">
        <f t="shared" si="190"/>
        <v>0</v>
      </c>
      <c r="NEL43">
        <f t="shared" si="190"/>
        <v>0</v>
      </c>
      <c r="NEM43">
        <f t="shared" si="190"/>
        <v>0</v>
      </c>
      <c r="NEN43">
        <f t="shared" si="190"/>
        <v>0</v>
      </c>
      <c r="NEO43">
        <f t="shared" si="190"/>
        <v>0</v>
      </c>
      <c r="NEP43">
        <f t="shared" si="190"/>
        <v>0</v>
      </c>
      <c r="NEQ43">
        <f t="shared" si="190"/>
        <v>0</v>
      </c>
      <c r="NER43">
        <f t="shared" si="190"/>
        <v>0</v>
      </c>
      <c r="NES43">
        <f t="shared" si="190"/>
        <v>0</v>
      </c>
      <c r="NET43">
        <f t="shared" si="190"/>
        <v>0</v>
      </c>
      <c r="NEU43">
        <f t="shared" si="190"/>
        <v>0</v>
      </c>
      <c r="NEV43">
        <f t="shared" si="190"/>
        <v>0</v>
      </c>
      <c r="NEW43">
        <f t="shared" si="190"/>
        <v>0</v>
      </c>
      <c r="NEX43">
        <f t="shared" si="190"/>
        <v>0</v>
      </c>
      <c r="NEY43">
        <f t="shared" si="190"/>
        <v>0</v>
      </c>
      <c r="NEZ43">
        <f t="shared" si="190"/>
        <v>0</v>
      </c>
      <c r="NFA43">
        <f t="shared" si="190"/>
        <v>0</v>
      </c>
      <c r="NFB43">
        <f t="shared" si="190"/>
        <v>0</v>
      </c>
      <c r="NFC43">
        <f t="shared" si="190"/>
        <v>0</v>
      </c>
      <c r="NFD43">
        <f t="shared" si="190"/>
        <v>0</v>
      </c>
      <c r="NFE43">
        <f t="shared" si="190"/>
        <v>0</v>
      </c>
      <c r="NFF43">
        <f t="shared" si="190"/>
        <v>0</v>
      </c>
      <c r="NFG43">
        <f t="shared" si="190"/>
        <v>0</v>
      </c>
      <c r="NFH43">
        <f t="shared" si="190"/>
        <v>0</v>
      </c>
      <c r="NFI43">
        <f t="shared" si="190"/>
        <v>0</v>
      </c>
      <c r="NFJ43">
        <f t="shared" si="190"/>
        <v>0</v>
      </c>
      <c r="NFK43">
        <f t="shared" si="190"/>
        <v>0</v>
      </c>
      <c r="NFL43">
        <f t="shared" si="190"/>
        <v>0</v>
      </c>
      <c r="NFM43">
        <f t="shared" si="190"/>
        <v>0</v>
      </c>
      <c r="NFN43">
        <f t="shared" si="190"/>
        <v>0</v>
      </c>
      <c r="NFO43">
        <f t="shared" si="190"/>
        <v>0</v>
      </c>
      <c r="NFP43">
        <f t="shared" si="190"/>
        <v>0</v>
      </c>
      <c r="NFQ43">
        <f t="shared" si="190"/>
        <v>0</v>
      </c>
      <c r="NFR43">
        <f t="shared" si="190"/>
        <v>0</v>
      </c>
      <c r="NFS43">
        <f t="shared" si="190"/>
        <v>0</v>
      </c>
      <c r="NFT43">
        <f t="shared" si="190"/>
        <v>0</v>
      </c>
      <c r="NFU43">
        <f t="shared" si="190"/>
        <v>0</v>
      </c>
      <c r="NFV43">
        <f t="shared" si="190"/>
        <v>0</v>
      </c>
      <c r="NFW43">
        <f t="shared" si="190"/>
        <v>0</v>
      </c>
      <c r="NFX43">
        <f t="shared" si="190"/>
        <v>0</v>
      </c>
      <c r="NFY43">
        <f t="shared" si="190"/>
        <v>0</v>
      </c>
      <c r="NFZ43">
        <f t="shared" si="190"/>
        <v>0</v>
      </c>
      <c r="NGA43">
        <f t="shared" si="190"/>
        <v>0</v>
      </c>
      <c r="NGB43">
        <f t="shared" si="190"/>
        <v>0</v>
      </c>
      <c r="NGC43">
        <f t="shared" si="190"/>
        <v>0</v>
      </c>
      <c r="NGD43">
        <f t="shared" si="190"/>
        <v>0</v>
      </c>
      <c r="NGE43">
        <f t="shared" si="190"/>
        <v>0</v>
      </c>
      <c r="NGF43">
        <f t="shared" si="190"/>
        <v>0</v>
      </c>
      <c r="NGG43">
        <f t="shared" si="190"/>
        <v>0</v>
      </c>
      <c r="NGH43">
        <f t="shared" si="190"/>
        <v>0</v>
      </c>
      <c r="NGI43">
        <f t="shared" si="190"/>
        <v>0</v>
      </c>
      <c r="NGJ43">
        <f t="shared" si="190"/>
        <v>0</v>
      </c>
      <c r="NGK43">
        <f t="shared" si="190"/>
        <v>0</v>
      </c>
      <c r="NGL43">
        <f t="shared" si="190"/>
        <v>0</v>
      </c>
      <c r="NGM43">
        <f t="shared" si="190"/>
        <v>0</v>
      </c>
      <c r="NGN43">
        <f t="shared" si="190"/>
        <v>0</v>
      </c>
      <c r="NGO43">
        <f t="shared" si="190"/>
        <v>0</v>
      </c>
      <c r="NGP43">
        <f t="shared" si="191"/>
        <v>0</v>
      </c>
      <c r="NGQ43">
        <f t="shared" si="191"/>
        <v>0</v>
      </c>
      <c r="NGR43">
        <f t="shared" si="191"/>
        <v>0</v>
      </c>
      <c r="NGS43">
        <f t="shared" si="191"/>
        <v>0</v>
      </c>
      <c r="NGT43">
        <f t="shared" si="191"/>
        <v>0</v>
      </c>
      <c r="NGU43">
        <f t="shared" si="191"/>
        <v>0</v>
      </c>
      <c r="NGV43">
        <f t="shared" si="191"/>
        <v>0</v>
      </c>
      <c r="NGW43">
        <f t="shared" si="191"/>
        <v>0</v>
      </c>
      <c r="NGX43">
        <f t="shared" si="191"/>
        <v>0</v>
      </c>
      <c r="NGY43">
        <f t="shared" si="191"/>
        <v>0</v>
      </c>
      <c r="NGZ43">
        <f t="shared" si="191"/>
        <v>0</v>
      </c>
      <c r="NHA43">
        <f t="shared" si="191"/>
        <v>0</v>
      </c>
      <c r="NHB43">
        <f t="shared" si="191"/>
        <v>0</v>
      </c>
      <c r="NHC43">
        <f t="shared" si="191"/>
        <v>0</v>
      </c>
      <c r="NHD43">
        <f t="shared" si="191"/>
        <v>0</v>
      </c>
      <c r="NHE43">
        <f t="shared" si="191"/>
        <v>0</v>
      </c>
      <c r="NHF43">
        <f t="shared" si="191"/>
        <v>0</v>
      </c>
      <c r="NHG43">
        <f t="shared" si="191"/>
        <v>0</v>
      </c>
      <c r="NHH43">
        <f t="shared" si="191"/>
        <v>0</v>
      </c>
      <c r="NHI43">
        <f t="shared" si="191"/>
        <v>0</v>
      </c>
      <c r="NHJ43">
        <f t="shared" si="191"/>
        <v>0</v>
      </c>
      <c r="NHK43">
        <f t="shared" si="191"/>
        <v>0</v>
      </c>
      <c r="NHL43">
        <f t="shared" si="191"/>
        <v>0</v>
      </c>
      <c r="NHM43">
        <f t="shared" si="191"/>
        <v>0</v>
      </c>
      <c r="NHN43">
        <f t="shared" si="191"/>
        <v>0</v>
      </c>
      <c r="NHO43">
        <f t="shared" si="191"/>
        <v>0</v>
      </c>
      <c r="NHP43">
        <f t="shared" si="191"/>
        <v>0</v>
      </c>
      <c r="NHQ43">
        <f t="shared" si="191"/>
        <v>0</v>
      </c>
      <c r="NHR43">
        <f t="shared" si="191"/>
        <v>0</v>
      </c>
      <c r="NHS43">
        <f t="shared" si="191"/>
        <v>0</v>
      </c>
      <c r="NHT43">
        <f t="shared" si="191"/>
        <v>0</v>
      </c>
      <c r="NHU43">
        <f t="shared" si="191"/>
        <v>0</v>
      </c>
      <c r="NHV43">
        <f t="shared" si="191"/>
        <v>0</v>
      </c>
      <c r="NHW43">
        <f t="shared" si="191"/>
        <v>0</v>
      </c>
      <c r="NHX43">
        <f t="shared" si="191"/>
        <v>0</v>
      </c>
      <c r="NHY43">
        <f t="shared" si="191"/>
        <v>0</v>
      </c>
      <c r="NHZ43">
        <f t="shared" si="191"/>
        <v>0</v>
      </c>
      <c r="NIA43">
        <f t="shared" si="191"/>
        <v>0</v>
      </c>
      <c r="NIB43">
        <f t="shared" si="191"/>
        <v>0</v>
      </c>
      <c r="NIC43">
        <f t="shared" si="191"/>
        <v>0</v>
      </c>
      <c r="NID43">
        <f t="shared" si="191"/>
        <v>0</v>
      </c>
      <c r="NIE43">
        <f t="shared" si="191"/>
        <v>0</v>
      </c>
      <c r="NIF43">
        <f t="shared" si="191"/>
        <v>0</v>
      </c>
      <c r="NIG43">
        <f t="shared" si="191"/>
        <v>0</v>
      </c>
      <c r="NIH43">
        <f t="shared" si="191"/>
        <v>0</v>
      </c>
      <c r="NII43">
        <f t="shared" si="191"/>
        <v>0</v>
      </c>
      <c r="NIJ43">
        <f t="shared" si="191"/>
        <v>0</v>
      </c>
      <c r="NIK43">
        <f t="shared" si="191"/>
        <v>0</v>
      </c>
      <c r="NIL43">
        <f t="shared" si="191"/>
        <v>0</v>
      </c>
      <c r="NIM43">
        <f t="shared" si="191"/>
        <v>0</v>
      </c>
      <c r="NIN43">
        <f t="shared" si="191"/>
        <v>0</v>
      </c>
      <c r="NIO43">
        <f t="shared" si="191"/>
        <v>0</v>
      </c>
      <c r="NIP43">
        <f t="shared" si="191"/>
        <v>0</v>
      </c>
      <c r="NIQ43">
        <f t="shared" si="191"/>
        <v>0</v>
      </c>
      <c r="NIR43">
        <f t="shared" si="191"/>
        <v>0</v>
      </c>
      <c r="NIS43">
        <f t="shared" si="191"/>
        <v>0</v>
      </c>
      <c r="NIT43">
        <f t="shared" si="191"/>
        <v>0</v>
      </c>
      <c r="NIU43">
        <f t="shared" si="191"/>
        <v>0</v>
      </c>
      <c r="NIV43">
        <f t="shared" si="191"/>
        <v>0</v>
      </c>
      <c r="NIW43">
        <f t="shared" si="191"/>
        <v>0</v>
      </c>
      <c r="NIX43">
        <f t="shared" si="191"/>
        <v>0</v>
      </c>
      <c r="NIY43">
        <f t="shared" si="191"/>
        <v>0</v>
      </c>
      <c r="NIZ43">
        <f t="shared" si="191"/>
        <v>0</v>
      </c>
      <c r="NJA43">
        <f t="shared" si="191"/>
        <v>0</v>
      </c>
      <c r="NJB43">
        <f t="shared" si="192"/>
        <v>0</v>
      </c>
      <c r="NJC43">
        <f t="shared" si="192"/>
        <v>0</v>
      </c>
      <c r="NJD43">
        <f t="shared" si="192"/>
        <v>0</v>
      </c>
      <c r="NJE43">
        <f t="shared" si="192"/>
        <v>0</v>
      </c>
      <c r="NJF43">
        <f t="shared" si="192"/>
        <v>0</v>
      </c>
      <c r="NJG43">
        <f t="shared" si="192"/>
        <v>0</v>
      </c>
      <c r="NJH43">
        <f t="shared" si="192"/>
        <v>0</v>
      </c>
      <c r="NJI43">
        <f t="shared" si="192"/>
        <v>0</v>
      </c>
      <c r="NJJ43">
        <f t="shared" si="192"/>
        <v>0</v>
      </c>
      <c r="NJK43">
        <f t="shared" si="192"/>
        <v>0</v>
      </c>
      <c r="NJL43">
        <f t="shared" si="192"/>
        <v>0</v>
      </c>
      <c r="NJM43">
        <f t="shared" si="192"/>
        <v>0</v>
      </c>
      <c r="NJN43">
        <f t="shared" si="192"/>
        <v>0</v>
      </c>
      <c r="NJO43">
        <f t="shared" si="192"/>
        <v>0</v>
      </c>
      <c r="NJP43">
        <f t="shared" si="192"/>
        <v>0</v>
      </c>
      <c r="NJQ43">
        <f t="shared" si="192"/>
        <v>0</v>
      </c>
      <c r="NJR43">
        <f t="shared" si="192"/>
        <v>0</v>
      </c>
      <c r="NJS43">
        <f t="shared" si="192"/>
        <v>0</v>
      </c>
      <c r="NJT43">
        <f t="shared" si="192"/>
        <v>0</v>
      </c>
      <c r="NJU43">
        <f t="shared" si="192"/>
        <v>0</v>
      </c>
      <c r="NJV43">
        <f t="shared" si="192"/>
        <v>0</v>
      </c>
      <c r="NJW43">
        <f t="shared" si="192"/>
        <v>0</v>
      </c>
      <c r="NJX43">
        <f t="shared" si="192"/>
        <v>0</v>
      </c>
      <c r="NJY43">
        <f t="shared" si="192"/>
        <v>0</v>
      </c>
      <c r="NJZ43">
        <f t="shared" si="192"/>
        <v>0</v>
      </c>
      <c r="NKA43">
        <f t="shared" si="192"/>
        <v>0</v>
      </c>
      <c r="NKB43">
        <f t="shared" si="192"/>
        <v>0</v>
      </c>
      <c r="NKC43">
        <f t="shared" si="192"/>
        <v>0</v>
      </c>
      <c r="NKD43">
        <f t="shared" si="192"/>
        <v>0</v>
      </c>
      <c r="NKE43">
        <f t="shared" si="192"/>
        <v>0</v>
      </c>
      <c r="NKF43">
        <f t="shared" si="192"/>
        <v>0</v>
      </c>
      <c r="NKG43">
        <f t="shared" si="192"/>
        <v>0</v>
      </c>
      <c r="NKH43">
        <f t="shared" si="192"/>
        <v>0</v>
      </c>
      <c r="NKI43">
        <f t="shared" si="192"/>
        <v>0</v>
      </c>
      <c r="NKJ43">
        <f t="shared" si="192"/>
        <v>0</v>
      </c>
      <c r="NKK43">
        <f t="shared" si="192"/>
        <v>0</v>
      </c>
      <c r="NKL43">
        <f t="shared" si="192"/>
        <v>0</v>
      </c>
      <c r="NKM43">
        <f t="shared" si="192"/>
        <v>0</v>
      </c>
      <c r="NKN43">
        <f t="shared" si="192"/>
        <v>0</v>
      </c>
      <c r="NKO43">
        <f t="shared" si="192"/>
        <v>0</v>
      </c>
      <c r="NKP43">
        <f t="shared" si="192"/>
        <v>0</v>
      </c>
      <c r="NKQ43">
        <f t="shared" si="192"/>
        <v>0</v>
      </c>
      <c r="NKR43">
        <f t="shared" si="192"/>
        <v>0</v>
      </c>
      <c r="NKS43">
        <f t="shared" si="192"/>
        <v>0</v>
      </c>
      <c r="NKT43">
        <f t="shared" si="192"/>
        <v>0</v>
      </c>
      <c r="NKU43">
        <f t="shared" si="192"/>
        <v>0</v>
      </c>
      <c r="NKV43">
        <f t="shared" si="192"/>
        <v>0</v>
      </c>
      <c r="NKW43">
        <f t="shared" si="192"/>
        <v>0</v>
      </c>
      <c r="NKX43">
        <f t="shared" si="192"/>
        <v>0</v>
      </c>
      <c r="NKY43">
        <f t="shared" si="192"/>
        <v>0</v>
      </c>
      <c r="NKZ43">
        <f t="shared" si="192"/>
        <v>0</v>
      </c>
      <c r="NLA43">
        <f t="shared" si="192"/>
        <v>0</v>
      </c>
      <c r="NLB43">
        <f t="shared" si="192"/>
        <v>0</v>
      </c>
      <c r="NLC43">
        <f t="shared" si="192"/>
        <v>0</v>
      </c>
      <c r="NLD43">
        <f t="shared" si="192"/>
        <v>0</v>
      </c>
      <c r="NLE43">
        <f t="shared" si="192"/>
        <v>0</v>
      </c>
      <c r="NLF43">
        <f t="shared" si="192"/>
        <v>0</v>
      </c>
      <c r="NLG43">
        <f t="shared" si="192"/>
        <v>0</v>
      </c>
      <c r="NLH43">
        <f t="shared" si="192"/>
        <v>0</v>
      </c>
      <c r="NLI43">
        <f t="shared" si="192"/>
        <v>0</v>
      </c>
      <c r="NLJ43">
        <f t="shared" si="192"/>
        <v>0</v>
      </c>
      <c r="NLK43">
        <f t="shared" si="192"/>
        <v>0</v>
      </c>
      <c r="NLL43">
        <f t="shared" si="192"/>
        <v>0</v>
      </c>
      <c r="NLM43">
        <f t="shared" si="192"/>
        <v>0</v>
      </c>
      <c r="NLN43">
        <f t="shared" si="193"/>
        <v>0</v>
      </c>
      <c r="NLO43">
        <f t="shared" si="193"/>
        <v>0</v>
      </c>
      <c r="NLP43">
        <f t="shared" si="193"/>
        <v>0</v>
      </c>
      <c r="NLQ43">
        <f t="shared" si="193"/>
        <v>0</v>
      </c>
      <c r="NLR43">
        <f t="shared" si="193"/>
        <v>0</v>
      </c>
      <c r="NLS43">
        <f t="shared" si="193"/>
        <v>0</v>
      </c>
      <c r="NLT43">
        <f t="shared" si="193"/>
        <v>0</v>
      </c>
      <c r="NLU43">
        <f t="shared" si="193"/>
        <v>0</v>
      </c>
      <c r="NLV43">
        <f t="shared" si="193"/>
        <v>0</v>
      </c>
      <c r="NLW43">
        <f t="shared" si="193"/>
        <v>0</v>
      </c>
      <c r="NLX43">
        <f t="shared" si="193"/>
        <v>0</v>
      </c>
      <c r="NLY43">
        <f t="shared" si="193"/>
        <v>0</v>
      </c>
      <c r="NLZ43">
        <f t="shared" si="193"/>
        <v>0</v>
      </c>
      <c r="NMA43">
        <f t="shared" si="193"/>
        <v>0</v>
      </c>
      <c r="NMB43">
        <f t="shared" si="193"/>
        <v>0</v>
      </c>
      <c r="NMC43">
        <f t="shared" si="193"/>
        <v>0</v>
      </c>
      <c r="NMD43">
        <f t="shared" si="193"/>
        <v>0</v>
      </c>
      <c r="NME43">
        <f t="shared" si="193"/>
        <v>0</v>
      </c>
      <c r="NMF43">
        <f t="shared" si="193"/>
        <v>0</v>
      </c>
      <c r="NMG43">
        <f t="shared" si="193"/>
        <v>0</v>
      </c>
      <c r="NMH43">
        <f t="shared" si="193"/>
        <v>0</v>
      </c>
      <c r="NMI43">
        <f t="shared" si="193"/>
        <v>0</v>
      </c>
      <c r="NMJ43">
        <f t="shared" si="193"/>
        <v>0</v>
      </c>
      <c r="NMK43">
        <f t="shared" si="193"/>
        <v>0</v>
      </c>
      <c r="NML43">
        <f t="shared" si="193"/>
        <v>0</v>
      </c>
      <c r="NMM43">
        <f t="shared" si="193"/>
        <v>0</v>
      </c>
      <c r="NMN43">
        <f t="shared" si="193"/>
        <v>0</v>
      </c>
      <c r="NMO43">
        <f t="shared" si="193"/>
        <v>0</v>
      </c>
      <c r="NMP43">
        <f t="shared" si="193"/>
        <v>0</v>
      </c>
      <c r="NMQ43">
        <f t="shared" si="193"/>
        <v>0</v>
      </c>
      <c r="NMR43">
        <f t="shared" si="193"/>
        <v>0</v>
      </c>
      <c r="NMS43">
        <f t="shared" si="193"/>
        <v>0</v>
      </c>
      <c r="NMT43">
        <f t="shared" si="193"/>
        <v>0</v>
      </c>
      <c r="NMU43">
        <f t="shared" si="193"/>
        <v>0</v>
      </c>
      <c r="NMV43">
        <f t="shared" si="193"/>
        <v>0</v>
      </c>
      <c r="NMW43">
        <f t="shared" si="193"/>
        <v>0</v>
      </c>
      <c r="NMX43">
        <f t="shared" si="193"/>
        <v>0</v>
      </c>
      <c r="NMY43">
        <f t="shared" si="193"/>
        <v>0</v>
      </c>
      <c r="NMZ43">
        <f t="shared" si="193"/>
        <v>0</v>
      </c>
      <c r="NNA43">
        <f t="shared" si="193"/>
        <v>0</v>
      </c>
      <c r="NNB43">
        <f t="shared" si="193"/>
        <v>0</v>
      </c>
      <c r="NNC43">
        <f t="shared" si="193"/>
        <v>0</v>
      </c>
      <c r="NND43">
        <f t="shared" si="193"/>
        <v>0</v>
      </c>
      <c r="NNE43">
        <f t="shared" si="193"/>
        <v>0</v>
      </c>
      <c r="NNF43">
        <f t="shared" si="193"/>
        <v>0</v>
      </c>
      <c r="NNG43">
        <f t="shared" si="193"/>
        <v>0</v>
      </c>
      <c r="NNH43">
        <f t="shared" si="193"/>
        <v>0</v>
      </c>
      <c r="NNI43">
        <f t="shared" si="193"/>
        <v>0</v>
      </c>
      <c r="NNJ43">
        <f t="shared" si="193"/>
        <v>0</v>
      </c>
      <c r="NNK43">
        <f t="shared" si="193"/>
        <v>0</v>
      </c>
      <c r="NNL43">
        <f t="shared" si="193"/>
        <v>0</v>
      </c>
      <c r="NNM43">
        <f t="shared" si="193"/>
        <v>0</v>
      </c>
      <c r="NNN43">
        <f t="shared" si="193"/>
        <v>0</v>
      </c>
      <c r="NNO43">
        <f t="shared" si="193"/>
        <v>0</v>
      </c>
      <c r="NNP43">
        <f t="shared" si="193"/>
        <v>0</v>
      </c>
      <c r="NNQ43">
        <f t="shared" si="193"/>
        <v>0</v>
      </c>
      <c r="NNR43">
        <f t="shared" si="193"/>
        <v>0</v>
      </c>
      <c r="NNS43">
        <f t="shared" si="193"/>
        <v>0</v>
      </c>
      <c r="NNT43">
        <f t="shared" si="193"/>
        <v>0</v>
      </c>
      <c r="NNU43">
        <f t="shared" si="193"/>
        <v>0</v>
      </c>
      <c r="NNV43">
        <f t="shared" si="193"/>
        <v>0</v>
      </c>
      <c r="NNW43">
        <f t="shared" si="193"/>
        <v>0</v>
      </c>
      <c r="NNX43">
        <f t="shared" si="193"/>
        <v>0</v>
      </c>
      <c r="NNY43">
        <f t="shared" si="193"/>
        <v>0</v>
      </c>
      <c r="NNZ43">
        <f t="shared" si="194"/>
        <v>0</v>
      </c>
      <c r="NOA43">
        <f t="shared" si="194"/>
        <v>0</v>
      </c>
      <c r="NOB43">
        <f t="shared" si="194"/>
        <v>0</v>
      </c>
      <c r="NOC43">
        <f t="shared" si="194"/>
        <v>0</v>
      </c>
      <c r="NOD43">
        <f t="shared" si="194"/>
        <v>0</v>
      </c>
      <c r="NOE43">
        <f t="shared" si="194"/>
        <v>0</v>
      </c>
      <c r="NOF43">
        <f t="shared" si="194"/>
        <v>0</v>
      </c>
      <c r="NOG43">
        <f t="shared" si="194"/>
        <v>0</v>
      </c>
      <c r="NOH43">
        <f t="shared" si="194"/>
        <v>0</v>
      </c>
      <c r="NOI43">
        <f t="shared" si="194"/>
        <v>0</v>
      </c>
      <c r="NOJ43">
        <f t="shared" si="194"/>
        <v>0</v>
      </c>
      <c r="NOK43">
        <f t="shared" si="194"/>
        <v>0</v>
      </c>
      <c r="NOL43">
        <f t="shared" si="194"/>
        <v>0</v>
      </c>
      <c r="NOM43">
        <f t="shared" si="194"/>
        <v>0</v>
      </c>
      <c r="NON43">
        <f t="shared" si="194"/>
        <v>0</v>
      </c>
      <c r="NOO43">
        <f t="shared" si="194"/>
        <v>0</v>
      </c>
      <c r="NOP43">
        <f t="shared" si="194"/>
        <v>0</v>
      </c>
      <c r="NOQ43">
        <f t="shared" si="194"/>
        <v>0</v>
      </c>
      <c r="NOR43">
        <f t="shared" si="194"/>
        <v>0</v>
      </c>
      <c r="NOS43">
        <f t="shared" si="194"/>
        <v>0</v>
      </c>
      <c r="NOT43">
        <f t="shared" si="194"/>
        <v>0</v>
      </c>
      <c r="NOU43">
        <f t="shared" si="194"/>
        <v>0</v>
      </c>
      <c r="NOV43">
        <f t="shared" si="194"/>
        <v>0</v>
      </c>
      <c r="NOW43">
        <f t="shared" si="194"/>
        <v>0</v>
      </c>
      <c r="NOX43">
        <f t="shared" si="194"/>
        <v>0</v>
      </c>
      <c r="NOY43">
        <f t="shared" si="194"/>
        <v>0</v>
      </c>
      <c r="NOZ43">
        <f t="shared" si="194"/>
        <v>0</v>
      </c>
      <c r="NPA43">
        <f t="shared" si="194"/>
        <v>0</v>
      </c>
      <c r="NPB43">
        <f t="shared" si="194"/>
        <v>0</v>
      </c>
      <c r="NPC43">
        <f t="shared" si="194"/>
        <v>0</v>
      </c>
      <c r="NPD43">
        <f t="shared" si="194"/>
        <v>0</v>
      </c>
      <c r="NPE43">
        <f t="shared" si="194"/>
        <v>0</v>
      </c>
      <c r="NPF43">
        <f t="shared" si="194"/>
        <v>0</v>
      </c>
      <c r="NPG43">
        <f t="shared" si="194"/>
        <v>0</v>
      </c>
      <c r="NPH43">
        <f t="shared" si="194"/>
        <v>0</v>
      </c>
      <c r="NPI43">
        <f t="shared" si="194"/>
        <v>0</v>
      </c>
      <c r="NPJ43">
        <f t="shared" si="194"/>
        <v>0</v>
      </c>
      <c r="NPK43">
        <f t="shared" si="194"/>
        <v>0</v>
      </c>
      <c r="NPL43">
        <f t="shared" si="194"/>
        <v>0</v>
      </c>
      <c r="NPM43">
        <f t="shared" si="194"/>
        <v>0</v>
      </c>
      <c r="NPN43">
        <f t="shared" si="194"/>
        <v>0</v>
      </c>
      <c r="NPO43">
        <f t="shared" si="194"/>
        <v>0</v>
      </c>
      <c r="NPP43">
        <f t="shared" si="194"/>
        <v>0</v>
      </c>
      <c r="NPQ43">
        <f t="shared" si="194"/>
        <v>0</v>
      </c>
      <c r="NPR43">
        <f t="shared" si="194"/>
        <v>0</v>
      </c>
      <c r="NPS43">
        <f t="shared" si="194"/>
        <v>0</v>
      </c>
      <c r="NPT43">
        <f t="shared" si="194"/>
        <v>0</v>
      </c>
      <c r="NPU43">
        <f t="shared" si="194"/>
        <v>0</v>
      </c>
      <c r="NPV43">
        <f t="shared" si="194"/>
        <v>0</v>
      </c>
      <c r="NPW43">
        <f t="shared" si="194"/>
        <v>0</v>
      </c>
      <c r="NPX43">
        <f t="shared" si="194"/>
        <v>0</v>
      </c>
      <c r="NPY43">
        <f t="shared" si="194"/>
        <v>0</v>
      </c>
      <c r="NPZ43">
        <f t="shared" si="194"/>
        <v>0</v>
      </c>
      <c r="NQA43">
        <f t="shared" si="194"/>
        <v>0</v>
      </c>
      <c r="NQB43">
        <f t="shared" si="194"/>
        <v>0</v>
      </c>
      <c r="NQC43">
        <f t="shared" si="194"/>
        <v>0</v>
      </c>
      <c r="NQD43">
        <f t="shared" si="194"/>
        <v>0</v>
      </c>
      <c r="NQE43">
        <f t="shared" si="194"/>
        <v>0</v>
      </c>
      <c r="NQF43">
        <f t="shared" si="194"/>
        <v>0</v>
      </c>
      <c r="NQG43">
        <f t="shared" si="194"/>
        <v>0</v>
      </c>
      <c r="NQH43">
        <f t="shared" si="194"/>
        <v>0</v>
      </c>
      <c r="NQI43">
        <f t="shared" si="194"/>
        <v>0</v>
      </c>
      <c r="NQJ43">
        <f t="shared" si="194"/>
        <v>0</v>
      </c>
      <c r="NQK43">
        <f t="shared" si="194"/>
        <v>0</v>
      </c>
      <c r="NQL43">
        <f t="shared" si="195"/>
        <v>0</v>
      </c>
      <c r="NQM43">
        <f t="shared" si="195"/>
        <v>0</v>
      </c>
      <c r="NQN43">
        <f t="shared" si="195"/>
        <v>0</v>
      </c>
      <c r="NQO43">
        <f t="shared" si="195"/>
        <v>0</v>
      </c>
      <c r="NQP43">
        <f t="shared" si="195"/>
        <v>0</v>
      </c>
      <c r="NQQ43">
        <f t="shared" si="195"/>
        <v>0</v>
      </c>
      <c r="NQR43">
        <f t="shared" si="195"/>
        <v>0</v>
      </c>
      <c r="NQS43">
        <f t="shared" si="195"/>
        <v>0</v>
      </c>
      <c r="NQT43">
        <f t="shared" si="195"/>
        <v>0</v>
      </c>
      <c r="NQU43">
        <f t="shared" si="195"/>
        <v>0</v>
      </c>
      <c r="NQV43">
        <f t="shared" si="195"/>
        <v>0</v>
      </c>
      <c r="NQW43">
        <f t="shared" si="195"/>
        <v>0</v>
      </c>
      <c r="NQX43">
        <f t="shared" si="195"/>
        <v>0</v>
      </c>
      <c r="NQY43">
        <f t="shared" si="195"/>
        <v>0</v>
      </c>
      <c r="NQZ43">
        <f t="shared" si="195"/>
        <v>0</v>
      </c>
      <c r="NRA43">
        <f t="shared" si="195"/>
        <v>0</v>
      </c>
      <c r="NRB43">
        <f t="shared" si="195"/>
        <v>0</v>
      </c>
      <c r="NRC43">
        <f t="shared" si="195"/>
        <v>0</v>
      </c>
      <c r="NRD43">
        <f t="shared" si="195"/>
        <v>0</v>
      </c>
      <c r="NRE43">
        <f t="shared" si="195"/>
        <v>0</v>
      </c>
      <c r="NRF43">
        <f t="shared" si="195"/>
        <v>0</v>
      </c>
      <c r="NRG43">
        <f t="shared" si="195"/>
        <v>0</v>
      </c>
      <c r="NRH43">
        <f t="shared" si="195"/>
        <v>0</v>
      </c>
      <c r="NRI43">
        <f t="shared" si="195"/>
        <v>0</v>
      </c>
      <c r="NRJ43">
        <f t="shared" si="195"/>
        <v>0</v>
      </c>
      <c r="NRK43">
        <f t="shared" si="195"/>
        <v>0</v>
      </c>
      <c r="NRL43">
        <f t="shared" si="195"/>
        <v>0</v>
      </c>
      <c r="NRM43">
        <f t="shared" si="195"/>
        <v>0</v>
      </c>
      <c r="NRN43">
        <f t="shared" si="195"/>
        <v>0</v>
      </c>
      <c r="NRO43">
        <f t="shared" si="195"/>
        <v>0</v>
      </c>
      <c r="NRP43">
        <f t="shared" si="195"/>
        <v>0</v>
      </c>
      <c r="NRQ43">
        <f t="shared" si="195"/>
        <v>0</v>
      </c>
      <c r="NRR43">
        <f t="shared" si="195"/>
        <v>0</v>
      </c>
      <c r="NRS43">
        <f t="shared" si="195"/>
        <v>0</v>
      </c>
      <c r="NRT43">
        <f t="shared" si="195"/>
        <v>0</v>
      </c>
      <c r="NRU43">
        <f t="shared" si="195"/>
        <v>0</v>
      </c>
      <c r="NRV43">
        <f t="shared" si="195"/>
        <v>0</v>
      </c>
      <c r="NRW43">
        <f t="shared" si="195"/>
        <v>0</v>
      </c>
      <c r="NRX43">
        <f t="shared" si="195"/>
        <v>0</v>
      </c>
      <c r="NRY43">
        <f t="shared" si="195"/>
        <v>0</v>
      </c>
      <c r="NRZ43">
        <f t="shared" si="195"/>
        <v>0</v>
      </c>
      <c r="NSA43">
        <f t="shared" si="195"/>
        <v>0</v>
      </c>
      <c r="NSB43">
        <f t="shared" si="195"/>
        <v>0</v>
      </c>
      <c r="NSC43">
        <f t="shared" si="195"/>
        <v>0</v>
      </c>
      <c r="NSD43">
        <f t="shared" si="195"/>
        <v>0</v>
      </c>
      <c r="NSE43">
        <f t="shared" si="195"/>
        <v>0</v>
      </c>
      <c r="NSF43">
        <f t="shared" si="195"/>
        <v>0</v>
      </c>
      <c r="NSG43">
        <f t="shared" si="195"/>
        <v>0</v>
      </c>
      <c r="NSH43">
        <f t="shared" si="195"/>
        <v>0</v>
      </c>
      <c r="NSI43">
        <f t="shared" si="195"/>
        <v>0</v>
      </c>
      <c r="NSJ43">
        <f t="shared" si="195"/>
        <v>0</v>
      </c>
      <c r="NSK43">
        <f t="shared" si="195"/>
        <v>0</v>
      </c>
      <c r="NSL43">
        <f t="shared" si="195"/>
        <v>0</v>
      </c>
      <c r="NSM43">
        <f t="shared" si="195"/>
        <v>0</v>
      </c>
      <c r="NSN43">
        <f t="shared" si="195"/>
        <v>0</v>
      </c>
      <c r="NSO43">
        <f t="shared" si="195"/>
        <v>0</v>
      </c>
      <c r="NSP43">
        <f t="shared" si="195"/>
        <v>0</v>
      </c>
      <c r="NSQ43">
        <f t="shared" si="195"/>
        <v>0</v>
      </c>
      <c r="NSR43">
        <f t="shared" si="195"/>
        <v>0</v>
      </c>
      <c r="NSS43">
        <f t="shared" si="195"/>
        <v>0</v>
      </c>
      <c r="NST43">
        <f t="shared" si="195"/>
        <v>0</v>
      </c>
      <c r="NSU43">
        <f t="shared" si="195"/>
        <v>0</v>
      </c>
      <c r="NSV43">
        <f t="shared" si="195"/>
        <v>0</v>
      </c>
      <c r="NSW43">
        <f t="shared" si="195"/>
        <v>0</v>
      </c>
      <c r="NSX43">
        <f t="shared" si="196"/>
        <v>0</v>
      </c>
      <c r="NSY43">
        <f t="shared" si="196"/>
        <v>0</v>
      </c>
      <c r="NSZ43">
        <f t="shared" si="196"/>
        <v>0</v>
      </c>
      <c r="NTA43">
        <f t="shared" si="196"/>
        <v>0</v>
      </c>
      <c r="NTB43">
        <f t="shared" si="196"/>
        <v>0</v>
      </c>
      <c r="NTC43">
        <f t="shared" si="196"/>
        <v>0</v>
      </c>
      <c r="NTD43">
        <f t="shared" si="196"/>
        <v>0</v>
      </c>
      <c r="NTE43">
        <f t="shared" si="196"/>
        <v>0</v>
      </c>
      <c r="NTF43">
        <f t="shared" si="196"/>
        <v>0</v>
      </c>
      <c r="NTG43">
        <f t="shared" si="196"/>
        <v>0</v>
      </c>
      <c r="NTH43">
        <f t="shared" si="196"/>
        <v>0</v>
      </c>
      <c r="NTI43">
        <f t="shared" si="196"/>
        <v>0</v>
      </c>
      <c r="NTJ43">
        <f t="shared" si="196"/>
        <v>0</v>
      </c>
      <c r="NTK43">
        <f t="shared" si="196"/>
        <v>0</v>
      </c>
      <c r="NTL43">
        <f t="shared" si="196"/>
        <v>0</v>
      </c>
      <c r="NTM43">
        <f t="shared" si="196"/>
        <v>0</v>
      </c>
      <c r="NTN43">
        <f t="shared" si="196"/>
        <v>0</v>
      </c>
      <c r="NTO43">
        <f t="shared" si="196"/>
        <v>0</v>
      </c>
      <c r="NTP43">
        <f t="shared" si="196"/>
        <v>0</v>
      </c>
      <c r="NTQ43">
        <f t="shared" si="196"/>
        <v>0</v>
      </c>
      <c r="NTR43">
        <f t="shared" si="196"/>
        <v>0</v>
      </c>
      <c r="NTS43">
        <f t="shared" si="196"/>
        <v>0</v>
      </c>
      <c r="NTT43">
        <f t="shared" si="196"/>
        <v>0</v>
      </c>
      <c r="NTU43">
        <f t="shared" si="196"/>
        <v>0</v>
      </c>
      <c r="NTV43">
        <f t="shared" si="196"/>
        <v>0</v>
      </c>
      <c r="NTW43">
        <f t="shared" si="196"/>
        <v>0</v>
      </c>
      <c r="NTX43">
        <f t="shared" si="196"/>
        <v>0</v>
      </c>
      <c r="NTY43">
        <f t="shared" si="196"/>
        <v>0</v>
      </c>
      <c r="NTZ43">
        <f t="shared" si="196"/>
        <v>0</v>
      </c>
      <c r="NUA43">
        <f t="shared" si="196"/>
        <v>0</v>
      </c>
      <c r="NUB43">
        <f t="shared" si="196"/>
        <v>0</v>
      </c>
      <c r="NUC43">
        <f t="shared" si="196"/>
        <v>0</v>
      </c>
      <c r="NUD43">
        <f t="shared" si="196"/>
        <v>0</v>
      </c>
      <c r="NUE43">
        <f t="shared" si="196"/>
        <v>0</v>
      </c>
      <c r="NUF43">
        <f t="shared" si="196"/>
        <v>0</v>
      </c>
      <c r="NUG43">
        <f t="shared" si="196"/>
        <v>0</v>
      </c>
      <c r="NUH43">
        <f t="shared" si="196"/>
        <v>0</v>
      </c>
      <c r="NUI43">
        <f t="shared" si="196"/>
        <v>0</v>
      </c>
      <c r="NUJ43">
        <f t="shared" si="196"/>
        <v>0</v>
      </c>
      <c r="NUK43">
        <f t="shared" si="196"/>
        <v>0</v>
      </c>
      <c r="NUL43">
        <f t="shared" si="196"/>
        <v>0</v>
      </c>
      <c r="NUM43">
        <f t="shared" si="196"/>
        <v>0</v>
      </c>
      <c r="NUN43">
        <f t="shared" si="196"/>
        <v>0</v>
      </c>
      <c r="NUO43">
        <f t="shared" si="196"/>
        <v>0</v>
      </c>
      <c r="NUP43">
        <f t="shared" si="196"/>
        <v>0</v>
      </c>
      <c r="NUQ43">
        <f t="shared" si="196"/>
        <v>0</v>
      </c>
      <c r="NUR43">
        <f t="shared" si="196"/>
        <v>0</v>
      </c>
      <c r="NUS43">
        <f t="shared" si="196"/>
        <v>0</v>
      </c>
      <c r="NUT43">
        <f t="shared" si="196"/>
        <v>0</v>
      </c>
      <c r="NUU43">
        <f t="shared" si="196"/>
        <v>0</v>
      </c>
      <c r="NUV43">
        <f t="shared" si="196"/>
        <v>0</v>
      </c>
      <c r="NUW43">
        <f t="shared" si="196"/>
        <v>0</v>
      </c>
      <c r="NUX43">
        <f t="shared" si="196"/>
        <v>0</v>
      </c>
      <c r="NUY43">
        <f t="shared" si="196"/>
        <v>0</v>
      </c>
      <c r="NUZ43">
        <f t="shared" si="196"/>
        <v>0</v>
      </c>
      <c r="NVA43">
        <f t="shared" si="196"/>
        <v>0</v>
      </c>
      <c r="NVB43">
        <f t="shared" si="196"/>
        <v>0</v>
      </c>
      <c r="NVC43">
        <f t="shared" si="196"/>
        <v>0</v>
      </c>
      <c r="NVD43">
        <f t="shared" si="196"/>
        <v>0</v>
      </c>
      <c r="NVE43">
        <f t="shared" si="196"/>
        <v>0</v>
      </c>
      <c r="NVF43">
        <f t="shared" si="196"/>
        <v>0</v>
      </c>
      <c r="NVG43">
        <f t="shared" si="196"/>
        <v>0</v>
      </c>
      <c r="NVH43">
        <f t="shared" si="196"/>
        <v>0</v>
      </c>
      <c r="NVI43">
        <f t="shared" si="196"/>
        <v>0</v>
      </c>
      <c r="NVJ43">
        <f t="shared" si="197"/>
        <v>0</v>
      </c>
      <c r="NVK43">
        <f t="shared" si="197"/>
        <v>0</v>
      </c>
      <c r="NVL43">
        <f t="shared" si="197"/>
        <v>0</v>
      </c>
      <c r="NVM43">
        <f t="shared" si="197"/>
        <v>0</v>
      </c>
      <c r="NVN43">
        <f t="shared" si="197"/>
        <v>0</v>
      </c>
      <c r="NVO43">
        <f t="shared" si="197"/>
        <v>0</v>
      </c>
      <c r="NVP43">
        <f t="shared" si="197"/>
        <v>0</v>
      </c>
      <c r="NVQ43">
        <f t="shared" si="197"/>
        <v>0</v>
      </c>
      <c r="NVR43">
        <f t="shared" si="197"/>
        <v>0</v>
      </c>
      <c r="NVS43">
        <f t="shared" si="197"/>
        <v>0</v>
      </c>
      <c r="NVT43">
        <f t="shared" si="197"/>
        <v>0</v>
      </c>
      <c r="NVU43">
        <f t="shared" si="197"/>
        <v>0</v>
      </c>
      <c r="NVV43">
        <f t="shared" si="197"/>
        <v>0</v>
      </c>
      <c r="NVW43">
        <f t="shared" si="197"/>
        <v>0</v>
      </c>
      <c r="NVX43">
        <f t="shared" si="197"/>
        <v>0</v>
      </c>
      <c r="NVY43">
        <f t="shared" si="197"/>
        <v>0</v>
      </c>
      <c r="NVZ43">
        <f t="shared" si="197"/>
        <v>0</v>
      </c>
      <c r="NWA43">
        <f t="shared" si="197"/>
        <v>0</v>
      </c>
      <c r="NWB43">
        <f t="shared" si="197"/>
        <v>0</v>
      </c>
      <c r="NWC43">
        <f t="shared" si="197"/>
        <v>0</v>
      </c>
      <c r="NWD43">
        <f t="shared" si="197"/>
        <v>0</v>
      </c>
      <c r="NWE43">
        <f t="shared" si="197"/>
        <v>0</v>
      </c>
      <c r="NWF43">
        <f t="shared" si="197"/>
        <v>0</v>
      </c>
      <c r="NWG43">
        <f t="shared" si="197"/>
        <v>0</v>
      </c>
      <c r="NWH43">
        <f t="shared" si="197"/>
        <v>0</v>
      </c>
      <c r="NWI43">
        <f t="shared" si="197"/>
        <v>0</v>
      </c>
      <c r="NWJ43">
        <f t="shared" si="197"/>
        <v>0</v>
      </c>
      <c r="NWK43">
        <f t="shared" si="197"/>
        <v>0</v>
      </c>
      <c r="NWL43">
        <f t="shared" si="197"/>
        <v>0</v>
      </c>
      <c r="NWM43">
        <f t="shared" si="197"/>
        <v>0</v>
      </c>
      <c r="NWN43">
        <f t="shared" si="197"/>
        <v>0</v>
      </c>
      <c r="NWO43">
        <f t="shared" si="197"/>
        <v>0</v>
      </c>
      <c r="NWP43">
        <f t="shared" si="197"/>
        <v>0</v>
      </c>
      <c r="NWQ43">
        <f t="shared" si="197"/>
        <v>0</v>
      </c>
      <c r="NWR43">
        <f t="shared" si="197"/>
        <v>0</v>
      </c>
      <c r="NWS43">
        <f t="shared" si="197"/>
        <v>0</v>
      </c>
      <c r="NWT43">
        <f t="shared" si="197"/>
        <v>0</v>
      </c>
      <c r="NWU43">
        <f t="shared" si="197"/>
        <v>0</v>
      </c>
      <c r="NWV43">
        <f t="shared" si="197"/>
        <v>0</v>
      </c>
      <c r="NWW43">
        <f t="shared" si="197"/>
        <v>0</v>
      </c>
      <c r="NWX43">
        <f t="shared" si="197"/>
        <v>0</v>
      </c>
      <c r="NWY43">
        <f t="shared" si="197"/>
        <v>0</v>
      </c>
      <c r="NWZ43">
        <f t="shared" si="197"/>
        <v>0</v>
      </c>
      <c r="NXA43">
        <f t="shared" si="197"/>
        <v>0</v>
      </c>
      <c r="NXB43">
        <f t="shared" si="197"/>
        <v>0</v>
      </c>
      <c r="NXC43">
        <f t="shared" si="197"/>
        <v>0</v>
      </c>
      <c r="NXD43">
        <f t="shared" si="197"/>
        <v>0</v>
      </c>
      <c r="NXE43">
        <f t="shared" si="197"/>
        <v>0</v>
      </c>
      <c r="NXF43">
        <f t="shared" si="197"/>
        <v>0</v>
      </c>
      <c r="NXG43">
        <f t="shared" si="197"/>
        <v>0</v>
      </c>
      <c r="NXH43">
        <f t="shared" si="197"/>
        <v>0</v>
      </c>
      <c r="NXI43">
        <f t="shared" si="197"/>
        <v>0</v>
      </c>
      <c r="NXJ43">
        <f t="shared" si="197"/>
        <v>0</v>
      </c>
      <c r="NXK43">
        <f t="shared" si="197"/>
        <v>0</v>
      </c>
      <c r="NXL43">
        <f t="shared" si="197"/>
        <v>0</v>
      </c>
      <c r="NXM43">
        <f t="shared" si="197"/>
        <v>0</v>
      </c>
      <c r="NXN43">
        <f t="shared" si="197"/>
        <v>0</v>
      </c>
      <c r="NXO43">
        <f t="shared" si="197"/>
        <v>0</v>
      </c>
      <c r="NXP43">
        <f t="shared" si="197"/>
        <v>0</v>
      </c>
      <c r="NXQ43">
        <f t="shared" si="197"/>
        <v>0</v>
      </c>
      <c r="NXR43">
        <f t="shared" si="197"/>
        <v>0</v>
      </c>
      <c r="NXS43">
        <f t="shared" si="197"/>
        <v>0</v>
      </c>
      <c r="NXT43">
        <f t="shared" si="197"/>
        <v>0</v>
      </c>
      <c r="NXU43">
        <f t="shared" si="197"/>
        <v>0</v>
      </c>
      <c r="NXV43">
        <f t="shared" si="198"/>
        <v>0</v>
      </c>
      <c r="NXW43">
        <f t="shared" si="198"/>
        <v>0</v>
      </c>
      <c r="NXX43">
        <f t="shared" si="198"/>
        <v>0</v>
      </c>
      <c r="NXY43">
        <f t="shared" si="198"/>
        <v>0</v>
      </c>
      <c r="NXZ43">
        <f t="shared" si="198"/>
        <v>0</v>
      </c>
      <c r="NYA43">
        <f t="shared" si="198"/>
        <v>0</v>
      </c>
      <c r="NYB43">
        <f t="shared" si="198"/>
        <v>0</v>
      </c>
      <c r="NYC43">
        <f t="shared" si="198"/>
        <v>0</v>
      </c>
      <c r="NYD43">
        <f t="shared" si="198"/>
        <v>0</v>
      </c>
      <c r="NYE43">
        <f t="shared" si="198"/>
        <v>0</v>
      </c>
      <c r="NYF43">
        <f t="shared" si="198"/>
        <v>0</v>
      </c>
      <c r="NYG43">
        <f t="shared" si="198"/>
        <v>0</v>
      </c>
      <c r="NYH43">
        <f t="shared" si="198"/>
        <v>0</v>
      </c>
      <c r="NYI43">
        <f t="shared" si="198"/>
        <v>0</v>
      </c>
      <c r="NYJ43">
        <f t="shared" si="198"/>
        <v>0</v>
      </c>
      <c r="NYK43">
        <f t="shared" si="198"/>
        <v>0</v>
      </c>
      <c r="NYL43">
        <f t="shared" si="198"/>
        <v>0</v>
      </c>
      <c r="NYM43">
        <f t="shared" si="198"/>
        <v>0</v>
      </c>
      <c r="NYN43">
        <f t="shared" si="198"/>
        <v>0</v>
      </c>
      <c r="NYO43">
        <f t="shared" si="198"/>
        <v>0</v>
      </c>
      <c r="NYP43">
        <f t="shared" si="198"/>
        <v>0</v>
      </c>
      <c r="NYQ43">
        <f t="shared" si="198"/>
        <v>0</v>
      </c>
      <c r="NYR43">
        <f t="shared" si="198"/>
        <v>0</v>
      </c>
      <c r="NYS43">
        <f t="shared" si="198"/>
        <v>0</v>
      </c>
      <c r="NYT43">
        <f t="shared" si="198"/>
        <v>0</v>
      </c>
      <c r="NYU43">
        <f t="shared" si="198"/>
        <v>0</v>
      </c>
      <c r="NYV43">
        <f t="shared" si="198"/>
        <v>0</v>
      </c>
      <c r="NYW43">
        <f t="shared" si="198"/>
        <v>0</v>
      </c>
      <c r="NYX43">
        <f t="shared" si="198"/>
        <v>0</v>
      </c>
      <c r="NYY43">
        <f t="shared" si="198"/>
        <v>0</v>
      </c>
      <c r="NYZ43">
        <f t="shared" si="198"/>
        <v>0</v>
      </c>
      <c r="NZA43">
        <f t="shared" si="198"/>
        <v>0</v>
      </c>
      <c r="NZB43">
        <f t="shared" si="198"/>
        <v>0</v>
      </c>
      <c r="NZC43">
        <f t="shared" si="198"/>
        <v>0</v>
      </c>
      <c r="NZD43">
        <f t="shared" si="198"/>
        <v>0</v>
      </c>
      <c r="NZE43">
        <f t="shared" si="198"/>
        <v>0</v>
      </c>
      <c r="NZF43">
        <f t="shared" si="198"/>
        <v>0</v>
      </c>
      <c r="NZG43">
        <f t="shared" si="198"/>
        <v>0</v>
      </c>
      <c r="NZH43">
        <f t="shared" si="198"/>
        <v>0</v>
      </c>
      <c r="NZI43">
        <f t="shared" si="198"/>
        <v>0</v>
      </c>
      <c r="NZJ43">
        <f t="shared" si="198"/>
        <v>0</v>
      </c>
      <c r="NZK43">
        <f t="shared" si="198"/>
        <v>0</v>
      </c>
      <c r="NZL43">
        <f t="shared" si="198"/>
        <v>0</v>
      </c>
      <c r="NZM43">
        <f t="shared" si="198"/>
        <v>0</v>
      </c>
      <c r="NZN43">
        <f t="shared" si="198"/>
        <v>0</v>
      </c>
      <c r="NZO43">
        <f t="shared" si="198"/>
        <v>0</v>
      </c>
      <c r="NZP43">
        <f t="shared" si="198"/>
        <v>0</v>
      </c>
      <c r="NZQ43">
        <f t="shared" si="198"/>
        <v>0</v>
      </c>
      <c r="NZR43">
        <f t="shared" si="198"/>
        <v>0</v>
      </c>
      <c r="NZS43">
        <f t="shared" si="198"/>
        <v>0</v>
      </c>
      <c r="NZT43">
        <f t="shared" si="198"/>
        <v>0</v>
      </c>
      <c r="NZU43">
        <f t="shared" si="198"/>
        <v>0</v>
      </c>
      <c r="NZV43">
        <f t="shared" si="198"/>
        <v>0</v>
      </c>
      <c r="NZW43">
        <f t="shared" si="198"/>
        <v>0</v>
      </c>
      <c r="NZX43">
        <f t="shared" si="198"/>
        <v>0</v>
      </c>
      <c r="NZY43">
        <f t="shared" si="198"/>
        <v>0</v>
      </c>
      <c r="NZZ43">
        <f t="shared" si="198"/>
        <v>0</v>
      </c>
      <c r="OAA43">
        <f t="shared" si="198"/>
        <v>0</v>
      </c>
      <c r="OAB43">
        <f t="shared" si="198"/>
        <v>0</v>
      </c>
      <c r="OAC43">
        <f t="shared" si="198"/>
        <v>0</v>
      </c>
      <c r="OAD43">
        <f t="shared" si="198"/>
        <v>0</v>
      </c>
      <c r="OAE43">
        <f t="shared" si="198"/>
        <v>0</v>
      </c>
      <c r="OAF43">
        <f t="shared" si="198"/>
        <v>0</v>
      </c>
      <c r="OAG43">
        <f t="shared" si="198"/>
        <v>0</v>
      </c>
      <c r="OAH43">
        <f t="shared" si="199"/>
        <v>0</v>
      </c>
      <c r="OAI43">
        <f t="shared" si="199"/>
        <v>0</v>
      </c>
      <c r="OAJ43">
        <f t="shared" si="199"/>
        <v>0</v>
      </c>
      <c r="OAK43">
        <f t="shared" si="199"/>
        <v>0</v>
      </c>
      <c r="OAL43">
        <f t="shared" si="199"/>
        <v>0</v>
      </c>
      <c r="OAM43">
        <f t="shared" si="199"/>
        <v>0</v>
      </c>
      <c r="OAN43">
        <f t="shared" si="199"/>
        <v>0</v>
      </c>
      <c r="OAO43">
        <f t="shared" si="199"/>
        <v>0</v>
      </c>
      <c r="OAP43">
        <f t="shared" si="199"/>
        <v>0</v>
      </c>
      <c r="OAQ43">
        <f t="shared" si="199"/>
        <v>0</v>
      </c>
      <c r="OAR43">
        <f t="shared" si="199"/>
        <v>0</v>
      </c>
      <c r="OAS43">
        <f t="shared" si="199"/>
        <v>0</v>
      </c>
      <c r="OAT43">
        <f t="shared" si="199"/>
        <v>0</v>
      </c>
      <c r="OAU43">
        <f t="shared" si="199"/>
        <v>0</v>
      </c>
      <c r="OAV43">
        <f t="shared" si="199"/>
        <v>0</v>
      </c>
      <c r="OAW43">
        <f t="shared" si="199"/>
        <v>0</v>
      </c>
      <c r="OAX43">
        <f t="shared" si="199"/>
        <v>0</v>
      </c>
      <c r="OAY43">
        <f t="shared" si="199"/>
        <v>0</v>
      </c>
      <c r="OAZ43">
        <f t="shared" si="199"/>
        <v>0</v>
      </c>
      <c r="OBA43">
        <f t="shared" si="199"/>
        <v>0</v>
      </c>
      <c r="OBB43">
        <f t="shared" si="199"/>
        <v>0</v>
      </c>
      <c r="OBC43">
        <f t="shared" si="199"/>
        <v>0</v>
      </c>
      <c r="OBD43">
        <f t="shared" si="199"/>
        <v>0</v>
      </c>
      <c r="OBE43">
        <f t="shared" si="199"/>
        <v>0</v>
      </c>
      <c r="OBF43">
        <f t="shared" si="199"/>
        <v>0</v>
      </c>
      <c r="OBG43">
        <f t="shared" si="199"/>
        <v>0</v>
      </c>
      <c r="OBH43">
        <f t="shared" si="199"/>
        <v>0</v>
      </c>
      <c r="OBI43">
        <f t="shared" si="199"/>
        <v>0</v>
      </c>
      <c r="OBJ43">
        <f t="shared" si="199"/>
        <v>0</v>
      </c>
      <c r="OBK43">
        <f t="shared" si="199"/>
        <v>0</v>
      </c>
      <c r="OBL43">
        <f t="shared" si="199"/>
        <v>0</v>
      </c>
      <c r="OBM43">
        <f t="shared" si="199"/>
        <v>0</v>
      </c>
      <c r="OBN43">
        <f t="shared" si="199"/>
        <v>0</v>
      </c>
      <c r="OBO43">
        <f t="shared" si="199"/>
        <v>0</v>
      </c>
      <c r="OBP43">
        <f t="shared" si="199"/>
        <v>0</v>
      </c>
      <c r="OBQ43">
        <f t="shared" si="199"/>
        <v>0</v>
      </c>
      <c r="OBR43">
        <f t="shared" si="199"/>
        <v>0</v>
      </c>
      <c r="OBS43">
        <f t="shared" si="199"/>
        <v>0</v>
      </c>
      <c r="OBT43">
        <f t="shared" si="199"/>
        <v>0</v>
      </c>
      <c r="OBU43">
        <f t="shared" si="199"/>
        <v>0</v>
      </c>
      <c r="OBV43">
        <f t="shared" si="199"/>
        <v>0</v>
      </c>
      <c r="OBW43">
        <f t="shared" si="199"/>
        <v>0</v>
      </c>
      <c r="OBX43">
        <f t="shared" si="199"/>
        <v>0</v>
      </c>
      <c r="OBY43">
        <f t="shared" si="199"/>
        <v>0</v>
      </c>
      <c r="OBZ43">
        <f t="shared" si="199"/>
        <v>0</v>
      </c>
      <c r="OCA43">
        <f t="shared" si="199"/>
        <v>0</v>
      </c>
      <c r="OCB43">
        <f t="shared" si="199"/>
        <v>0</v>
      </c>
      <c r="OCC43">
        <f t="shared" si="199"/>
        <v>0</v>
      </c>
      <c r="OCD43">
        <f t="shared" si="199"/>
        <v>0</v>
      </c>
      <c r="OCE43">
        <f t="shared" si="199"/>
        <v>0</v>
      </c>
      <c r="OCF43">
        <f t="shared" si="199"/>
        <v>0</v>
      </c>
      <c r="OCG43">
        <f t="shared" si="199"/>
        <v>0</v>
      </c>
      <c r="OCH43">
        <f t="shared" si="199"/>
        <v>0</v>
      </c>
      <c r="OCI43">
        <f t="shared" si="199"/>
        <v>0</v>
      </c>
      <c r="OCJ43">
        <f t="shared" si="199"/>
        <v>0</v>
      </c>
      <c r="OCK43">
        <f t="shared" si="199"/>
        <v>0</v>
      </c>
      <c r="OCL43">
        <f t="shared" si="199"/>
        <v>0</v>
      </c>
      <c r="OCM43">
        <f t="shared" si="199"/>
        <v>0</v>
      </c>
      <c r="OCN43">
        <f t="shared" si="199"/>
        <v>0</v>
      </c>
      <c r="OCO43">
        <f t="shared" si="199"/>
        <v>0</v>
      </c>
      <c r="OCP43">
        <f t="shared" si="199"/>
        <v>0</v>
      </c>
      <c r="OCQ43">
        <f t="shared" si="199"/>
        <v>0</v>
      </c>
      <c r="OCR43">
        <f t="shared" si="199"/>
        <v>0</v>
      </c>
      <c r="OCS43">
        <f t="shared" si="199"/>
        <v>0</v>
      </c>
      <c r="OCT43">
        <f t="shared" si="200"/>
        <v>0</v>
      </c>
      <c r="OCU43">
        <f t="shared" si="200"/>
        <v>0</v>
      </c>
      <c r="OCV43">
        <f t="shared" si="200"/>
        <v>0</v>
      </c>
      <c r="OCW43">
        <f t="shared" si="200"/>
        <v>0</v>
      </c>
      <c r="OCX43">
        <f t="shared" si="200"/>
        <v>0</v>
      </c>
      <c r="OCY43">
        <f t="shared" si="200"/>
        <v>0</v>
      </c>
      <c r="OCZ43">
        <f t="shared" si="200"/>
        <v>0</v>
      </c>
      <c r="ODA43">
        <f t="shared" si="200"/>
        <v>0</v>
      </c>
      <c r="ODB43">
        <f t="shared" si="200"/>
        <v>0</v>
      </c>
      <c r="ODC43">
        <f t="shared" si="200"/>
        <v>0</v>
      </c>
      <c r="ODD43">
        <f t="shared" si="200"/>
        <v>0</v>
      </c>
      <c r="ODE43">
        <f t="shared" si="200"/>
        <v>0</v>
      </c>
      <c r="ODF43">
        <f t="shared" si="200"/>
        <v>0</v>
      </c>
      <c r="ODG43">
        <f t="shared" si="200"/>
        <v>0</v>
      </c>
      <c r="ODH43">
        <f t="shared" si="200"/>
        <v>0</v>
      </c>
      <c r="ODI43">
        <f t="shared" si="200"/>
        <v>0</v>
      </c>
      <c r="ODJ43">
        <f t="shared" si="200"/>
        <v>0</v>
      </c>
      <c r="ODK43">
        <f t="shared" si="200"/>
        <v>0</v>
      </c>
      <c r="ODL43">
        <f t="shared" si="200"/>
        <v>0</v>
      </c>
      <c r="ODM43">
        <f t="shared" si="200"/>
        <v>0</v>
      </c>
      <c r="ODN43">
        <f t="shared" si="200"/>
        <v>0</v>
      </c>
      <c r="ODO43">
        <f t="shared" si="200"/>
        <v>0</v>
      </c>
      <c r="ODP43">
        <f t="shared" si="200"/>
        <v>0</v>
      </c>
      <c r="ODQ43">
        <f t="shared" si="200"/>
        <v>0</v>
      </c>
      <c r="ODR43">
        <f t="shared" si="200"/>
        <v>0</v>
      </c>
      <c r="ODS43">
        <f t="shared" si="200"/>
        <v>0</v>
      </c>
      <c r="ODT43">
        <f t="shared" si="200"/>
        <v>0</v>
      </c>
      <c r="ODU43">
        <f t="shared" si="200"/>
        <v>0</v>
      </c>
      <c r="ODV43">
        <f t="shared" si="200"/>
        <v>0</v>
      </c>
      <c r="ODW43">
        <f t="shared" si="200"/>
        <v>0</v>
      </c>
      <c r="ODX43">
        <f t="shared" si="200"/>
        <v>0</v>
      </c>
      <c r="ODY43">
        <f t="shared" si="200"/>
        <v>0</v>
      </c>
      <c r="ODZ43">
        <f t="shared" si="200"/>
        <v>0</v>
      </c>
      <c r="OEA43">
        <f t="shared" si="200"/>
        <v>0</v>
      </c>
      <c r="OEB43">
        <f t="shared" si="200"/>
        <v>0</v>
      </c>
      <c r="OEC43">
        <f t="shared" si="200"/>
        <v>0</v>
      </c>
      <c r="OED43">
        <f t="shared" si="200"/>
        <v>0</v>
      </c>
      <c r="OEE43">
        <f t="shared" si="200"/>
        <v>0</v>
      </c>
      <c r="OEF43">
        <f t="shared" si="200"/>
        <v>0</v>
      </c>
      <c r="OEG43">
        <f t="shared" si="200"/>
        <v>0</v>
      </c>
      <c r="OEH43">
        <f t="shared" si="200"/>
        <v>0</v>
      </c>
      <c r="OEI43">
        <f t="shared" si="200"/>
        <v>0</v>
      </c>
      <c r="OEJ43">
        <f t="shared" si="200"/>
        <v>0</v>
      </c>
      <c r="OEK43">
        <f t="shared" si="200"/>
        <v>0</v>
      </c>
      <c r="OEL43">
        <f t="shared" si="200"/>
        <v>0</v>
      </c>
      <c r="OEM43">
        <f t="shared" si="200"/>
        <v>0</v>
      </c>
      <c r="OEN43">
        <f t="shared" si="200"/>
        <v>0</v>
      </c>
      <c r="OEO43">
        <f t="shared" si="200"/>
        <v>0</v>
      </c>
      <c r="OEP43">
        <f t="shared" si="200"/>
        <v>0</v>
      </c>
      <c r="OEQ43">
        <f t="shared" si="200"/>
        <v>0</v>
      </c>
      <c r="OER43">
        <f t="shared" si="200"/>
        <v>0</v>
      </c>
      <c r="OES43">
        <f t="shared" si="200"/>
        <v>0</v>
      </c>
      <c r="OET43">
        <f t="shared" si="200"/>
        <v>0</v>
      </c>
      <c r="OEU43">
        <f t="shared" si="200"/>
        <v>0</v>
      </c>
      <c r="OEV43">
        <f t="shared" si="200"/>
        <v>0</v>
      </c>
      <c r="OEW43">
        <f t="shared" si="200"/>
        <v>0</v>
      </c>
      <c r="OEX43">
        <f t="shared" si="200"/>
        <v>0</v>
      </c>
      <c r="OEY43">
        <f t="shared" si="200"/>
        <v>0</v>
      </c>
      <c r="OEZ43">
        <f t="shared" si="200"/>
        <v>0</v>
      </c>
      <c r="OFA43">
        <f t="shared" si="200"/>
        <v>0</v>
      </c>
      <c r="OFB43">
        <f t="shared" si="200"/>
        <v>0</v>
      </c>
      <c r="OFC43">
        <f t="shared" si="200"/>
        <v>0</v>
      </c>
      <c r="OFD43">
        <f t="shared" si="200"/>
        <v>0</v>
      </c>
      <c r="OFE43">
        <f t="shared" si="200"/>
        <v>0</v>
      </c>
      <c r="OFF43">
        <f t="shared" si="201"/>
        <v>0</v>
      </c>
      <c r="OFG43">
        <f t="shared" si="201"/>
        <v>0</v>
      </c>
      <c r="OFH43">
        <f t="shared" si="201"/>
        <v>0</v>
      </c>
      <c r="OFI43">
        <f t="shared" si="201"/>
        <v>0</v>
      </c>
      <c r="OFJ43">
        <f t="shared" si="201"/>
        <v>0</v>
      </c>
      <c r="OFK43">
        <f t="shared" si="201"/>
        <v>0</v>
      </c>
      <c r="OFL43">
        <f t="shared" si="201"/>
        <v>0</v>
      </c>
      <c r="OFM43">
        <f t="shared" si="201"/>
        <v>0</v>
      </c>
      <c r="OFN43">
        <f t="shared" si="201"/>
        <v>0</v>
      </c>
      <c r="OFO43">
        <f t="shared" si="201"/>
        <v>0</v>
      </c>
      <c r="OFP43">
        <f t="shared" si="201"/>
        <v>0</v>
      </c>
      <c r="OFQ43">
        <f t="shared" si="201"/>
        <v>0</v>
      </c>
      <c r="OFR43">
        <f t="shared" si="201"/>
        <v>0</v>
      </c>
      <c r="OFS43">
        <f t="shared" si="201"/>
        <v>0</v>
      </c>
      <c r="OFT43">
        <f t="shared" si="201"/>
        <v>0</v>
      </c>
      <c r="OFU43">
        <f t="shared" si="201"/>
        <v>0</v>
      </c>
      <c r="OFV43">
        <f t="shared" si="201"/>
        <v>0</v>
      </c>
      <c r="OFW43">
        <f t="shared" si="201"/>
        <v>0</v>
      </c>
      <c r="OFX43">
        <f t="shared" si="201"/>
        <v>0</v>
      </c>
      <c r="OFY43">
        <f t="shared" si="201"/>
        <v>0</v>
      </c>
      <c r="OFZ43">
        <f t="shared" si="201"/>
        <v>0</v>
      </c>
      <c r="OGA43">
        <f t="shared" si="201"/>
        <v>0</v>
      </c>
      <c r="OGB43">
        <f t="shared" si="201"/>
        <v>0</v>
      </c>
      <c r="OGC43">
        <f t="shared" si="201"/>
        <v>0</v>
      </c>
      <c r="OGD43">
        <f t="shared" si="201"/>
        <v>0</v>
      </c>
      <c r="OGE43">
        <f t="shared" si="201"/>
        <v>0</v>
      </c>
      <c r="OGF43">
        <f t="shared" si="201"/>
        <v>0</v>
      </c>
      <c r="OGG43">
        <f t="shared" si="201"/>
        <v>0</v>
      </c>
      <c r="OGH43">
        <f t="shared" si="201"/>
        <v>0</v>
      </c>
      <c r="OGI43">
        <f t="shared" si="201"/>
        <v>0</v>
      </c>
      <c r="OGJ43">
        <f t="shared" si="201"/>
        <v>0</v>
      </c>
      <c r="OGK43">
        <f t="shared" si="201"/>
        <v>0</v>
      </c>
      <c r="OGL43">
        <f t="shared" si="201"/>
        <v>0</v>
      </c>
      <c r="OGM43">
        <f t="shared" si="201"/>
        <v>0</v>
      </c>
      <c r="OGN43">
        <f t="shared" si="201"/>
        <v>0</v>
      </c>
      <c r="OGO43">
        <f t="shared" si="201"/>
        <v>0</v>
      </c>
      <c r="OGP43">
        <f t="shared" si="201"/>
        <v>0</v>
      </c>
      <c r="OGQ43">
        <f t="shared" si="201"/>
        <v>0</v>
      </c>
      <c r="OGR43">
        <f t="shared" si="201"/>
        <v>0</v>
      </c>
      <c r="OGS43">
        <f t="shared" si="201"/>
        <v>0</v>
      </c>
      <c r="OGT43">
        <f t="shared" si="201"/>
        <v>0</v>
      </c>
      <c r="OGU43">
        <f t="shared" si="201"/>
        <v>0</v>
      </c>
      <c r="OGV43">
        <f t="shared" si="201"/>
        <v>0</v>
      </c>
      <c r="OGW43">
        <f t="shared" si="201"/>
        <v>0</v>
      </c>
      <c r="OGX43">
        <f t="shared" si="201"/>
        <v>0</v>
      </c>
      <c r="OGY43">
        <f t="shared" si="201"/>
        <v>0</v>
      </c>
      <c r="OGZ43">
        <f t="shared" si="201"/>
        <v>0</v>
      </c>
      <c r="OHA43">
        <f t="shared" si="201"/>
        <v>0</v>
      </c>
      <c r="OHB43">
        <f t="shared" si="201"/>
        <v>0</v>
      </c>
      <c r="OHC43">
        <f t="shared" si="201"/>
        <v>0</v>
      </c>
      <c r="OHD43">
        <f t="shared" si="201"/>
        <v>0</v>
      </c>
      <c r="OHE43">
        <f t="shared" si="201"/>
        <v>0</v>
      </c>
      <c r="OHF43">
        <f t="shared" si="201"/>
        <v>0</v>
      </c>
      <c r="OHG43">
        <f t="shared" si="201"/>
        <v>0</v>
      </c>
      <c r="OHH43">
        <f t="shared" si="201"/>
        <v>0</v>
      </c>
      <c r="OHI43">
        <f t="shared" si="201"/>
        <v>0</v>
      </c>
      <c r="OHJ43">
        <f t="shared" si="201"/>
        <v>0</v>
      </c>
      <c r="OHK43">
        <f t="shared" si="201"/>
        <v>0</v>
      </c>
      <c r="OHL43">
        <f t="shared" si="201"/>
        <v>0</v>
      </c>
      <c r="OHM43">
        <f t="shared" si="201"/>
        <v>0</v>
      </c>
      <c r="OHN43">
        <f t="shared" si="201"/>
        <v>0</v>
      </c>
      <c r="OHO43">
        <f t="shared" si="201"/>
        <v>0</v>
      </c>
      <c r="OHP43">
        <f t="shared" si="201"/>
        <v>0</v>
      </c>
      <c r="OHQ43">
        <f t="shared" si="201"/>
        <v>0</v>
      </c>
      <c r="OHR43">
        <f t="shared" si="202"/>
        <v>0</v>
      </c>
      <c r="OHS43">
        <f t="shared" si="202"/>
        <v>0</v>
      </c>
      <c r="OHT43">
        <f t="shared" si="202"/>
        <v>0</v>
      </c>
      <c r="OHU43">
        <f t="shared" si="202"/>
        <v>0</v>
      </c>
      <c r="OHV43">
        <f t="shared" si="202"/>
        <v>0</v>
      </c>
      <c r="OHW43">
        <f t="shared" si="202"/>
        <v>0</v>
      </c>
      <c r="OHX43">
        <f t="shared" si="202"/>
        <v>0</v>
      </c>
      <c r="OHY43">
        <f t="shared" si="202"/>
        <v>0</v>
      </c>
      <c r="OHZ43">
        <f t="shared" si="202"/>
        <v>0</v>
      </c>
      <c r="OIA43">
        <f t="shared" si="202"/>
        <v>0</v>
      </c>
      <c r="OIB43">
        <f t="shared" si="202"/>
        <v>0</v>
      </c>
      <c r="OIC43">
        <f t="shared" si="202"/>
        <v>0</v>
      </c>
      <c r="OID43">
        <f t="shared" si="202"/>
        <v>0</v>
      </c>
      <c r="OIE43">
        <f t="shared" si="202"/>
        <v>0</v>
      </c>
      <c r="OIF43">
        <f t="shared" si="202"/>
        <v>0</v>
      </c>
      <c r="OIG43">
        <f t="shared" si="202"/>
        <v>0</v>
      </c>
      <c r="OIH43">
        <f t="shared" si="202"/>
        <v>0</v>
      </c>
      <c r="OII43">
        <f t="shared" si="202"/>
        <v>0</v>
      </c>
      <c r="OIJ43">
        <f t="shared" si="202"/>
        <v>0</v>
      </c>
      <c r="OIK43">
        <f t="shared" si="202"/>
        <v>0</v>
      </c>
      <c r="OIL43">
        <f t="shared" si="202"/>
        <v>0</v>
      </c>
      <c r="OIM43">
        <f t="shared" si="202"/>
        <v>0</v>
      </c>
      <c r="OIN43">
        <f t="shared" si="202"/>
        <v>0</v>
      </c>
      <c r="OIO43">
        <f t="shared" si="202"/>
        <v>0</v>
      </c>
      <c r="OIP43">
        <f t="shared" si="202"/>
        <v>0</v>
      </c>
      <c r="OIQ43">
        <f t="shared" si="202"/>
        <v>0</v>
      </c>
      <c r="OIR43">
        <f t="shared" si="202"/>
        <v>0</v>
      </c>
      <c r="OIS43">
        <f t="shared" si="202"/>
        <v>0</v>
      </c>
      <c r="OIT43">
        <f t="shared" si="202"/>
        <v>0</v>
      </c>
      <c r="OIU43">
        <f t="shared" si="202"/>
        <v>0</v>
      </c>
      <c r="OIV43">
        <f t="shared" si="202"/>
        <v>0</v>
      </c>
      <c r="OIW43">
        <f t="shared" si="202"/>
        <v>0</v>
      </c>
      <c r="OIX43">
        <f t="shared" si="202"/>
        <v>0</v>
      </c>
      <c r="OIY43">
        <f t="shared" si="202"/>
        <v>0</v>
      </c>
      <c r="OIZ43">
        <f t="shared" si="202"/>
        <v>0</v>
      </c>
      <c r="OJA43">
        <f t="shared" si="202"/>
        <v>0</v>
      </c>
      <c r="OJB43">
        <f t="shared" si="202"/>
        <v>0</v>
      </c>
      <c r="OJC43">
        <f t="shared" si="202"/>
        <v>0</v>
      </c>
      <c r="OJD43">
        <f t="shared" si="202"/>
        <v>0</v>
      </c>
      <c r="OJE43">
        <f t="shared" si="202"/>
        <v>0</v>
      </c>
      <c r="OJF43">
        <f t="shared" si="202"/>
        <v>0</v>
      </c>
      <c r="OJG43">
        <f t="shared" si="202"/>
        <v>0</v>
      </c>
      <c r="OJH43">
        <f t="shared" si="202"/>
        <v>0</v>
      </c>
      <c r="OJI43">
        <f t="shared" si="202"/>
        <v>0</v>
      </c>
      <c r="OJJ43">
        <f t="shared" si="202"/>
        <v>0</v>
      </c>
      <c r="OJK43">
        <f t="shared" si="202"/>
        <v>0</v>
      </c>
      <c r="OJL43">
        <f t="shared" si="202"/>
        <v>0</v>
      </c>
      <c r="OJM43">
        <f t="shared" si="202"/>
        <v>0</v>
      </c>
      <c r="OJN43">
        <f t="shared" si="202"/>
        <v>0</v>
      </c>
      <c r="OJO43">
        <f t="shared" si="202"/>
        <v>0</v>
      </c>
      <c r="OJP43">
        <f t="shared" si="202"/>
        <v>0</v>
      </c>
      <c r="OJQ43">
        <f t="shared" si="202"/>
        <v>0</v>
      </c>
      <c r="OJR43">
        <f t="shared" si="202"/>
        <v>0</v>
      </c>
      <c r="OJS43">
        <f t="shared" si="202"/>
        <v>0</v>
      </c>
      <c r="OJT43">
        <f t="shared" si="202"/>
        <v>0</v>
      </c>
      <c r="OJU43">
        <f t="shared" si="202"/>
        <v>0</v>
      </c>
      <c r="OJV43">
        <f t="shared" si="202"/>
        <v>0</v>
      </c>
      <c r="OJW43">
        <f t="shared" si="202"/>
        <v>0</v>
      </c>
      <c r="OJX43">
        <f t="shared" si="202"/>
        <v>0</v>
      </c>
      <c r="OJY43">
        <f t="shared" si="202"/>
        <v>0</v>
      </c>
      <c r="OJZ43">
        <f t="shared" si="202"/>
        <v>0</v>
      </c>
      <c r="OKA43">
        <f t="shared" si="202"/>
        <v>0</v>
      </c>
      <c r="OKB43">
        <f t="shared" si="202"/>
        <v>0</v>
      </c>
      <c r="OKC43">
        <f t="shared" si="202"/>
        <v>0</v>
      </c>
      <c r="OKD43">
        <f t="shared" si="203"/>
        <v>0</v>
      </c>
      <c r="OKE43">
        <f t="shared" si="203"/>
        <v>0</v>
      </c>
      <c r="OKF43">
        <f t="shared" si="203"/>
        <v>0</v>
      </c>
      <c r="OKG43">
        <f t="shared" si="203"/>
        <v>0</v>
      </c>
      <c r="OKH43">
        <f t="shared" si="203"/>
        <v>0</v>
      </c>
      <c r="OKI43">
        <f t="shared" si="203"/>
        <v>0</v>
      </c>
      <c r="OKJ43">
        <f t="shared" si="203"/>
        <v>0</v>
      </c>
      <c r="OKK43">
        <f t="shared" si="203"/>
        <v>0</v>
      </c>
      <c r="OKL43">
        <f t="shared" si="203"/>
        <v>0</v>
      </c>
      <c r="OKM43">
        <f t="shared" si="203"/>
        <v>0</v>
      </c>
      <c r="OKN43">
        <f t="shared" si="203"/>
        <v>0</v>
      </c>
      <c r="OKO43">
        <f t="shared" si="203"/>
        <v>0</v>
      </c>
      <c r="OKP43">
        <f t="shared" si="203"/>
        <v>0</v>
      </c>
      <c r="OKQ43">
        <f t="shared" si="203"/>
        <v>0</v>
      </c>
      <c r="OKR43">
        <f t="shared" si="203"/>
        <v>0</v>
      </c>
      <c r="OKS43">
        <f t="shared" si="203"/>
        <v>0</v>
      </c>
      <c r="OKT43">
        <f t="shared" si="203"/>
        <v>0</v>
      </c>
      <c r="OKU43">
        <f t="shared" si="203"/>
        <v>0</v>
      </c>
      <c r="OKV43">
        <f t="shared" si="203"/>
        <v>0</v>
      </c>
      <c r="OKW43">
        <f t="shared" si="203"/>
        <v>0</v>
      </c>
      <c r="OKX43">
        <f t="shared" si="203"/>
        <v>0</v>
      </c>
      <c r="OKY43">
        <f t="shared" si="203"/>
        <v>0</v>
      </c>
      <c r="OKZ43">
        <f t="shared" si="203"/>
        <v>0</v>
      </c>
      <c r="OLA43">
        <f t="shared" si="203"/>
        <v>0</v>
      </c>
      <c r="OLB43">
        <f t="shared" si="203"/>
        <v>0</v>
      </c>
      <c r="OLC43">
        <f t="shared" si="203"/>
        <v>0</v>
      </c>
      <c r="OLD43">
        <f t="shared" si="203"/>
        <v>0</v>
      </c>
      <c r="OLE43">
        <f t="shared" si="203"/>
        <v>0</v>
      </c>
      <c r="OLF43">
        <f t="shared" si="203"/>
        <v>0</v>
      </c>
      <c r="OLG43">
        <f t="shared" si="203"/>
        <v>0</v>
      </c>
      <c r="OLH43">
        <f t="shared" si="203"/>
        <v>0</v>
      </c>
      <c r="OLI43">
        <f t="shared" si="203"/>
        <v>0</v>
      </c>
      <c r="OLJ43">
        <f t="shared" si="203"/>
        <v>0</v>
      </c>
      <c r="OLK43">
        <f t="shared" si="203"/>
        <v>0</v>
      </c>
      <c r="OLL43">
        <f t="shared" si="203"/>
        <v>0</v>
      </c>
      <c r="OLM43">
        <f t="shared" si="203"/>
        <v>0</v>
      </c>
      <c r="OLN43">
        <f t="shared" si="203"/>
        <v>0</v>
      </c>
      <c r="OLO43">
        <f t="shared" si="203"/>
        <v>0</v>
      </c>
      <c r="OLP43">
        <f t="shared" si="203"/>
        <v>0</v>
      </c>
      <c r="OLQ43">
        <f t="shared" si="203"/>
        <v>0</v>
      </c>
      <c r="OLR43">
        <f t="shared" si="203"/>
        <v>0</v>
      </c>
      <c r="OLS43">
        <f t="shared" si="203"/>
        <v>0</v>
      </c>
      <c r="OLT43">
        <f t="shared" si="203"/>
        <v>0</v>
      </c>
      <c r="OLU43">
        <f t="shared" si="203"/>
        <v>0</v>
      </c>
      <c r="OLV43">
        <f t="shared" si="203"/>
        <v>0</v>
      </c>
      <c r="OLW43">
        <f t="shared" si="203"/>
        <v>0</v>
      </c>
      <c r="OLX43">
        <f t="shared" si="203"/>
        <v>0</v>
      </c>
      <c r="OLY43">
        <f t="shared" si="203"/>
        <v>0</v>
      </c>
      <c r="OLZ43">
        <f t="shared" si="203"/>
        <v>0</v>
      </c>
      <c r="OMA43">
        <f t="shared" si="203"/>
        <v>0</v>
      </c>
      <c r="OMB43">
        <f t="shared" si="203"/>
        <v>0</v>
      </c>
      <c r="OMC43">
        <f t="shared" si="203"/>
        <v>0</v>
      </c>
      <c r="OMD43">
        <f t="shared" si="203"/>
        <v>0</v>
      </c>
      <c r="OME43">
        <f t="shared" si="203"/>
        <v>0</v>
      </c>
      <c r="OMF43">
        <f t="shared" si="203"/>
        <v>0</v>
      </c>
      <c r="OMG43">
        <f t="shared" si="203"/>
        <v>0</v>
      </c>
      <c r="OMH43">
        <f t="shared" si="203"/>
        <v>0</v>
      </c>
      <c r="OMI43">
        <f t="shared" si="203"/>
        <v>0</v>
      </c>
      <c r="OMJ43">
        <f t="shared" si="203"/>
        <v>0</v>
      </c>
      <c r="OMK43">
        <f t="shared" si="203"/>
        <v>0</v>
      </c>
      <c r="OML43">
        <f t="shared" si="203"/>
        <v>0</v>
      </c>
      <c r="OMM43">
        <f t="shared" si="203"/>
        <v>0</v>
      </c>
      <c r="OMN43">
        <f t="shared" si="203"/>
        <v>0</v>
      </c>
      <c r="OMO43">
        <f t="shared" si="203"/>
        <v>0</v>
      </c>
      <c r="OMP43">
        <f t="shared" si="204"/>
        <v>0</v>
      </c>
      <c r="OMQ43">
        <f t="shared" si="204"/>
        <v>0</v>
      </c>
      <c r="OMR43">
        <f t="shared" si="204"/>
        <v>0</v>
      </c>
      <c r="OMS43">
        <f t="shared" si="204"/>
        <v>0</v>
      </c>
      <c r="OMT43">
        <f t="shared" si="204"/>
        <v>0</v>
      </c>
      <c r="OMU43">
        <f t="shared" si="204"/>
        <v>0</v>
      </c>
      <c r="OMV43">
        <f t="shared" si="204"/>
        <v>0</v>
      </c>
      <c r="OMW43">
        <f t="shared" si="204"/>
        <v>0</v>
      </c>
      <c r="OMX43">
        <f t="shared" si="204"/>
        <v>0</v>
      </c>
      <c r="OMY43">
        <f t="shared" si="204"/>
        <v>0</v>
      </c>
      <c r="OMZ43">
        <f t="shared" si="204"/>
        <v>0</v>
      </c>
      <c r="ONA43">
        <f t="shared" si="204"/>
        <v>0</v>
      </c>
      <c r="ONB43">
        <f t="shared" si="204"/>
        <v>0</v>
      </c>
      <c r="ONC43">
        <f t="shared" si="204"/>
        <v>0</v>
      </c>
      <c r="OND43">
        <f t="shared" si="204"/>
        <v>0</v>
      </c>
      <c r="ONE43">
        <f t="shared" si="204"/>
        <v>0</v>
      </c>
      <c r="ONF43">
        <f t="shared" si="204"/>
        <v>0</v>
      </c>
      <c r="ONG43">
        <f t="shared" si="204"/>
        <v>0</v>
      </c>
      <c r="ONH43">
        <f t="shared" si="204"/>
        <v>0</v>
      </c>
      <c r="ONI43">
        <f t="shared" si="204"/>
        <v>0</v>
      </c>
      <c r="ONJ43">
        <f t="shared" si="204"/>
        <v>0</v>
      </c>
      <c r="ONK43">
        <f t="shared" si="204"/>
        <v>0</v>
      </c>
      <c r="ONL43">
        <f t="shared" si="204"/>
        <v>0</v>
      </c>
      <c r="ONM43">
        <f t="shared" si="204"/>
        <v>0</v>
      </c>
      <c r="ONN43">
        <f t="shared" si="204"/>
        <v>0</v>
      </c>
      <c r="ONO43">
        <f t="shared" si="204"/>
        <v>0</v>
      </c>
      <c r="ONP43">
        <f t="shared" si="204"/>
        <v>0</v>
      </c>
      <c r="ONQ43">
        <f t="shared" si="204"/>
        <v>0</v>
      </c>
      <c r="ONR43">
        <f t="shared" si="204"/>
        <v>0</v>
      </c>
      <c r="ONS43">
        <f t="shared" si="204"/>
        <v>0</v>
      </c>
      <c r="ONT43">
        <f t="shared" si="204"/>
        <v>0</v>
      </c>
      <c r="ONU43">
        <f t="shared" si="204"/>
        <v>0</v>
      </c>
      <c r="ONV43">
        <f t="shared" si="204"/>
        <v>0</v>
      </c>
      <c r="ONW43">
        <f t="shared" si="204"/>
        <v>0</v>
      </c>
      <c r="ONX43">
        <f t="shared" si="204"/>
        <v>0</v>
      </c>
      <c r="ONY43">
        <f t="shared" si="204"/>
        <v>0</v>
      </c>
      <c r="ONZ43">
        <f t="shared" si="204"/>
        <v>0</v>
      </c>
      <c r="OOA43">
        <f t="shared" si="204"/>
        <v>0</v>
      </c>
      <c r="OOB43">
        <f t="shared" si="204"/>
        <v>0</v>
      </c>
      <c r="OOC43">
        <f t="shared" si="204"/>
        <v>0</v>
      </c>
      <c r="OOD43">
        <f t="shared" si="204"/>
        <v>0</v>
      </c>
      <c r="OOE43">
        <f t="shared" si="204"/>
        <v>0</v>
      </c>
      <c r="OOF43">
        <f t="shared" si="204"/>
        <v>0</v>
      </c>
      <c r="OOG43">
        <f t="shared" si="204"/>
        <v>0</v>
      </c>
      <c r="OOH43">
        <f t="shared" si="204"/>
        <v>0</v>
      </c>
      <c r="OOI43">
        <f t="shared" si="204"/>
        <v>0</v>
      </c>
      <c r="OOJ43">
        <f t="shared" si="204"/>
        <v>0</v>
      </c>
      <c r="OOK43">
        <f t="shared" si="204"/>
        <v>0</v>
      </c>
      <c r="OOL43">
        <f t="shared" si="204"/>
        <v>0</v>
      </c>
      <c r="OOM43">
        <f t="shared" si="204"/>
        <v>0</v>
      </c>
      <c r="OON43">
        <f t="shared" si="204"/>
        <v>0</v>
      </c>
      <c r="OOO43">
        <f t="shared" si="204"/>
        <v>0</v>
      </c>
      <c r="OOP43">
        <f t="shared" si="204"/>
        <v>0</v>
      </c>
      <c r="OOQ43">
        <f t="shared" si="204"/>
        <v>0</v>
      </c>
      <c r="OOR43">
        <f t="shared" si="204"/>
        <v>0</v>
      </c>
      <c r="OOS43">
        <f t="shared" si="204"/>
        <v>0</v>
      </c>
      <c r="OOT43">
        <f t="shared" si="204"/>
        <v>0</v>
      </c>
      <c r="OOU43">
        <f t="shared" si="204"/>
        <v>0</v>
      </c>
      <c r="OOV43">
        <f t="shared" si="204"/>
        <v>0</v>
      </c>
      <c r="OOW43">
        <f t="shared" si="204"/>
        <v>0</v>
      </c>
      <c r="OOX43">
        <f t="shared" si="204"/>
        <v>0</v>
      </c>
      <c r="OOY43">
        <f t="shared" si="204"/>
        <v>0</v>
      </c>
      <c r="OOZ43">
        <f t="shared" si="204"/>
        <v>0</v>
      </c>
      <c r="OPA43">
        <f t="shared" si="204"/>
        <v>0</v>
      </c>
      <c r="OPB43">
        <f t="shared" si="205"/>
        <v>0</v>
      </c>
      <c r="OPC43">
        <f t="shared" si="205"/>
        <v>0</v>
      </c>
      <c r="OPD43">
        <f t="shared" si="205"/>
        <v>0</v>
      </c>
      <c r="OPE43">
        <f t="shared" si="205"/>
        <v>0</v>
      </c>
      <c r="OPF43">
        <f t="shared" si="205"/>
        <v>0</v>
      </c>
      <c r="OPG43">
        <f t="shared" si="205"/>
        <v>0</v>
      </c>
      <c r="OPH43">
        <f t="shared" si="205"/>
        <v>0</v>
      </c>
      <c r="OPI43">
        <f t="shared" si="205"/>
        <v>0</v>
      </c>
      <c r="OPJ43">
        <f t="shared" si="205"/>
        <v>0</v>
      </c>
      <c r="OPK43">
        <f t="shared" si="205"/>
        <v>0</v>
      </c>
      <c r="OPL43">
        <f t="shared" si="205"/>
        <v>0</v>
      </c>
      <c r="OPM43">
        <f t="shared" si="205"/>
        <v>0</v>
      </c>
      <c r="OPN43">
        <f t="shared" si="205"/>
        <v>0</v>
      </c>
      <c r="OPO43">
        <f t="shared" si="205"/>
        <v>0</v>
      </c>
      <c r="OPP43">
        <f t="shared" si="205"/>
        <v>0</v>
      </c>
      <c r="OPQ43">
        <f t="shared" si="205"/>
        <v>0</v>
      </c>
      <c r="OPR43">
        <f t="shared" si="205"/>
        <v>0</v>
      </c>
      <c r="OPS43">
        <f t="shared" si="205"/>
        <v>0</v>
      </c>
      <c r="OPT43">
        <f t="shared" si="205"/>
        <v>0</v>
      </c>
      <c r="OPU43">
        <f t="shared" si="205"/>
        <v>0</v>
      </c>
      <c r="OPV43">
        <f t="shared" si="205"/>
        <v>0</v>
      </c>
      <c r="OPW43">
        <f t="shared" si="205"/>
        <v>0</v>
      </c>
      <c r="OPX43">
        <f t="shared" si="205"/>
        <v>0</v>
      </c>
      <c r="OPY43">
        <f t="shared" si="205"/>
        <v>0</v>
      </c>
      <c r="OPZ43">
        <f t="shared" si="205"/>
        <v>0</v>
      </c>
      <c r="OQA43">
        <f t="shared" si="205"/>
        <v>0</v>
      </c>
      <c r="OQB43">
        <f t="shared" si="205"/>
        <v>0</v>
      </c>
      <c r="OQC43">
        <f t="shared" si="205"/>
        <v>0</v>
      </c>
      <c r="OQD43">
        <f t="shared" si="205"/>
        <v>0</v>
      </c>
      <c r="OQE43">
        <f t="shared" si="205"/>
        <v>0</v>
      </c>
      <c r="OQF43">
        <f t="shared" si="205"/>
        <v>0</v>
      </c>
      <c r="OQG43">
        <f t="shared" si="205"/>
        <v>0</v>
      </c>
      <c r="OQH43">
        <f t="shared" si="205"/>
        <v>0</v>
      </c>
      <c r="OQI43">
        <f t="shared" si="205"/>
        <v>0</v>
      </c>
      <c r="OQJ43">
        <f t="shared" si="205"/>
        <v>0</v>
      </c>
      <c r="OQK43">
        <f t="shared" si="205"/>
        <v>0</v>
      </c>
      <c r="OQL43">
        <f t="shared" si="205"/>
        <v>0</v>
      </c>
      <c r="OQM43">
        <f t="shared" si="205"/>
        <v>0</v>
      </c>
      <c r="OQN43">
        <f t="shared" si="205"/>
        <v>0</v>
      </c>
      <c r="OQO43">
        <f t="shared" si="205"/>
        <v>0</v>
      </c>
      <c r="OQP43">
        <f t="shared" si="205"/>
        <v>0</v>
      </c>
      <c r="OQQ43">
        <f t="shared" si="205"/>
        <v>0</v>
      </c>
      <c r="OQR43">
        <f t="shared" si="205"/>
        <v>0</v>
      </c>
      <c r="OQS43">
        <f t="shared" si="205"/>
        <v>0</v>
      </c>
      <c r="OQT43">
        <f t="shared" si="205"/>
        <v>0</v>
      </c>
      <c r="OQU43">
        <f t="shared" si="205"/>
        <v>0</v>
      </c>
      <c r="OQV43">
        <f t="shared" si="205"/>
        <v>0</v>
      </c>
      <c r="OQW43">
        <f t="shared" si="205"/>
        <v>0</v>
      </c>
      <c r="OQX43">
        <f t="shared" si="205"/>
        <v>0</v>
      </c>
      <c r="OQY43">
        <f t="shared" si="205"/>
        <v>0</v>
      </c>
      <c r="OQZ43">
        <f t="shared" si="205"/>
        <v>0</v>
      </c>
      <c r="ORA43">
        <f t="shared" si="205"/>
        <v>0</v>
      </c>
      <c r="ORB43">
        <f t="shared" si="205"/>
        <v>0</v>
      </c>
      <c r="ORC43">
        <f t="shared" si="205"/>
        <v>0</v>
      </c>
      <c r="ORD43">
        <f t="shared" si="205"/>
        <v>0</v>
      </c>
      <c r="ORE43">
        <f t="shared" si="205"/>
        <v>0</v>
      </c>
      <c r="ORF43">
        <f t="shared" si="205"/>
        <v>0</v>
      </c>
      <c r="ORG43">
        <f t="shared" si="205"/>
        <v>0</v>
      </c>
      <c r="ORH43">
        <f t="shared" si="205"/>
        <v>0</v>
      </c>
      <c r="ORI43">
        <f t="shared" si="205"/>
        <v>0</v>
      </c>
      <c r="ORJ43">
        <f t="shared" si="205"/>
        <v>0</v>
      </c>
      <c r="ORK43">
        <f t="shared" si="205"/>
        <v>0</v>
      </c>
      <c r="ORL43">
        <f t="shared" si="205"/>
        <v>0</v>
      </c>
      <c r="ORM43">
        <f t="shared" si="205"/>
        <v>0</v>
      </c>
      <c r="ORN43">
        <f t="shared" si="206"/>
        <v>0</v>
      </c>
      <c r="ORO43">
        <f t="shared" si="206"/>
        <v>0</v>
      </c>
      <c r="ORP43">
        <f t="shared" si="206"/>
        <v>0</v>
      </c>
      <c r="ORQ43">
        <f t="shared" si="206"/>
        <v>0</v>
      </c>
      <c r="ORR43">
        <f t="shared" si="206"/>
        <v>0</v>
      </c>
      <c r="ORS43">
        <f t="shared" si="206"/>
        <v>0</v>
      </c>
      <c r="ORT43">
        <f t="shared" si="206"/>
        <v>0</v>
      </c>
      <c r="ORU43">
        <f t="shared" si="206"/>
        <v>0</v>
      </c>
      <c r="ORV43">
        <f t="shared" si="206"/>
        <v>0</v>
      </c>
      <c r="ORW43">
        <f t="shared" si="206"/>
        <v>0</v>
      </c>
      <c r="ORX43">
        <f t="shared" si="206"/>
        <v>0</v>
      </c>
      <c r="ORY43">
        <f t="shared" si="206"/>
        <v>0</v>
      </c>
      <c r="ORZ43">
        <f t="shared" si="206"/>
        <v>0</v>
      </c>
      <c r="OSA43">
        <f t="shared" si="206"/>
        <v>0</v>
      </c>
      <c r="OSB43">
        <f t="shared" si="206"/>
        <v>0</v>
      </c>
      <c r="OSC43">
        <f t="shared" si="206"/>
        <v>0</v>
      </c>
      <c r="OSD43">
        <f t="shared" si="206"/>
        <v>0</v>
      </c>
      <c r="OSE43">
        <f t="shared" si="206"/>
        <v>0</v>
      </c>
      <c r="OSF43">
        <f t="shared" si="206"/>
        <v>0</v>
      </c>
      <c r="OSG43">
        <f t="shared" si="206"/>
        <v>0</v>
      </c>
      <c r="OSH43">
        <f t="shared" si="206"/>
        <v>0</v>
      </c>
      <c r="OSI43">
        <f t="shared" si="206"/>
        <v>0</v>
      </c>
      <c r="OSJ43">
        <f t="shared" si="206"/>
        <v>0</v>
      </c>
      <c r="OSK43">
        <f t="shared" si="206"/>
        <v>0</v>
      </c>
      <c r="OSL43">
        <f t="shared" si="206"/>
        <v>0</v>
      </c>
      <c r="OSM43">
        <f t="shared" si="206"/>
        <v>0</v>
      </c>
      <c r="OSN43">
        <f t="shared" si="206"/>
        <v>0</v>
      </c>
      <c r="OSO43">
        <f t="shared" si="206"/>
        <v>0</v>
      </c>
      <c r="OSP43">
        <f t="shared" si="206"/>
        <v>0</v>
      </c>
      <c r="OSQ43">
        <f t="shared" si="206"/>
        <v>0</v>
      </c>
      <c r="OSR43">
        <f t="shared" si="206"/>
        <v>0</v>
      </c>
      <c r="OSS43">
        <f t="shared" si="206"/>
        <v>0</v>
      </c>
      <c r="OST43">
        <f t="shared" si="206"/>
        <v>0</v>
      </c>
      <c r="OSU43">
        <f t="shared" si="206"/>
        <v>0</v>
      </c>
      <c r="OSV43">
        <f t="shared" si="206"/>
        <v>0</v>
      </c>
      <c r="OSW43">
        <f t="shared" si="206"/>
        <v>0</v>
      </c>
      <c r="OSX43">
        <f t="shared" si="206"/>
        <v>0</v>
      </c>
      <c r="OSY43">
        <f t="shared" si="206"/>
        <v>0</v>
      </c>
      <c r="OSZ43">
        <f t="shared" si="206"/>
        <v>0</v>
      </c>
      <c r="OTA43">
        <f t="shared" si="206"/>
        <v>0</v>
      </c>
      <c r="OTB43">
        <f t="shared" si="206"/>
        <v>0</v>
      </c>
      <c r="OTC43">
        <f t="shared" si="206"/>
        <v>0</v>
      </c>
      <c r="OTD43">
        <f t="shared" si="206"/>
        <v>0</v>
      </c>
      <c r="OTE43">
        <f t="shared" si="206"/>
        <v>0</v>
      </c>
      <c r="OTF43">
        <f t="shared" si="206"/>
        <v>0</v>
      </c>
      <c r="OTG43">
        <f t="shared" si="206"/>
        <v>0</v>
      </c>
      <c r="OTH43">
        <f t="shared" si="206"/>
        <v>0</v>
      </c>
      <c r="OTI43">
        <f t="shared" si="206"/>
        <v>0</v>
      </c>
      <c r="OTJ43">
        <f t="shared" si="206"/>
        <v>0</v>
      </c>
      <c r="OTK43">
        <f t="shared" si="206"/>
        <v>0</v>
      </c>
      <c r="OTL43">
        <f t="shared" si="206"/>
        <v>0</v>
      </c>
      <c r="OTM43">
        <f t="shared" si="206"/>
        <v>0</v>
      </c>
      <c r="OTN43">
        <f t="shared" si="206"/>
        <v>0</v>
      </c>
      <c r="OTO43">
        <f t="shared" si="206"/>
        <v>0</v>
      </c>
      <c r="OTP43">
        <f t="shared" si="206"/>
        <v>0</v>
      </c>
      <c r="OTQ43">
        <f t="shared" si="206"/>
        <v>0</v>
      </c>
      <c r="OTR43">
        <f t="shared" si="206"/>
        <v>0</v>
      </c>
      <c r="OTS43">
        <f t="shared" si="206"/>
        <v>0</v>
      </c>
      <c r="OTT43">
        <f t="shared" si="206"/>
        <v>0</v>
      </c>
      <c r="OTU43">
        <f t="shared" si="206"/>
        <v>0</v>
      </c>
      <c r="OTV43">
        <f t="shared" si="206"/>
        <v>0</v>
      </c>
      <c r="OTW43">
        <f t="shared" si="206"/>
        <v>0</v>
      </c>
      <c r="OTX43">
        <f t="shared" si="206"/>
        <v>0</v>
      </c>
      <c r="OTY43">
        <f t="shared" si="206"/>
        <v>0</v>
      </c>
      <c r="OTZ43">
        <f t="shared" si="207"/>
        <v>0</v>
      </c>
      <c r="OUA43">
        <f t="shared" si="207"/>
        <v>0</v>
      </c>
      <c r="OUB43">
        <f t="shared" si="207"/>
        <v>0</v>
      </c>
      <c r="OUC43">
        <f t="shared" si="207"/>
        <v>0</v>
      </c>
      <c r="OUD43">
        <f t="shared" si="207"/>
        <v>0</v>
      </c>
      <c r="OUE43">
        <f t="shared" si="207"/>
        <v>0</v>
      </c>
      <c r="OUF43">
        <f t="shared" si="207"/>
        <v>0</v>
      </c>
      <c r="OUG43">
        <f t="shared" si="207"/>
        <v>0</v>
      </c>
      <c r="OUH43">
        <f t="shared" si="207"/>
        <v>0</v>
      </c>
      <c r="OUI43">
        <f t="shared" si="207"/>
        <v>0</v>
      </c>
      <c r="OUJ43">
        <f t="shared" si="207"/>
        <v>0</v>
      </c>
      <c r="OUK43">
        <f t="shared" si="207"/>
        <v>0</v>
      </c>
      <c r="OUL43">
        <f t="shared" si="207"/>
        <v>0</v>
      </c>
      <c r="OUM43">
        <f t="shared" si="207"/>
        <v>0</v>
      </c>
      <c r="OUN43">
        <f t="shared" si="207"/>
        <v>0</v>
      </c>
      <c r="OUO43">
        <f t="shared" si="207"/>
        <v>0</v>
      </c>
      <c r="OUP43">
        <f t="shared" si="207"/>
        <v>0</v>
      </c>
      <c r="OUQ43">
        <f t="shared" si="207"/>
        <v>0</v>
      </c>
      <c r="OUR43">
        <f t="shared" si="207"/>
        <v>0</v>
      </c>
      <c r="OUS43">
        <f t="shared" si="207"/>
        <v>0</v>
      </c>
      <c r="OUT43">
        <f t="shared" si="207"/>
        <v>0</v>
      </c>
      <c r="OUU43">
        <f t="shared" si="207"/>
        <v>0</v>
      </c>
      <c r="OUV43">
        <f t="shared" si="207"/>
        <v>0</v>
      </c>
      <c r="OUW43">
        <f t="shared" si="207"/>
        <v>0</v>
      </c>
      <c r="OUX43">
        <f t="shared" si="207"/>
        <v>0</v>
      </c>
      <c r="OUY43">
        <f t="shared" si="207"/>
        <v>0</v>
      </c>
      <c r="OUZ43">
        <f t="shared" si="207"/>
        <v>0</v>
      </c>
      <c r="OVA43">
        <f t="shared" si="207"/>
        <v>0</v>
      </c>
      <c r="OVB43">
        <f t="shared" si="207"/>
        <v>0</v>
      </c>
      <c r="OVC43">
        <f t="shared" si="207"/>
        <v>0</v>
      </c>
      <c r="OVD43">
        <f t="shared" si="207"/>
        <v>0</v>
      </c>
      <c r="OVE43">
        <f t="shared" si="207"/>
        <v>0</v>
      </c>
      <c r="OVF43">
        <f t="shared" si="207"/>
        <v>0</v>
      </c>
      <c r="OVG43">
        <f t="shared" si="207"/>
        <v>0</v>
      </c>
      <c r="OVH43">
        <f t="shared" si="207"/>
        <v>0</v>
      </c>
      <c r="OVI43">
        <f t="shared" si="207"/>
        <v>0</v>
      </c>
      <c r="OVJ43">
        <f t="shared" si="207"/>
        <v>0</v>
      </c>
      <c r="OVK43">
        <f t="shared" si="207"/>
        <v>0</v>
      </c>
      <c r="OVL43">
        <f t="shared" si="207"/>
        <v>0</v>
      </c>
      <c r="OVM43">
        <f t="shared" si="207"/>
        <v>0</v>
      </c>
      <c r="OVN43">
        <f t="shared" si="207"/>
        <v>0</v>
      </c>
      <c r="OVO43">
        <f t="shared" si="207"/>
        <v>0</v>
      </c>
      <c r="OVP43">
        <f t="shared" si="207"/>
        <v>0</v>
      </c>
      <c r="OVQ43">
        <f t="shared" si="207"/>
        <v>0</v>
      </c>
      <c r="OVR43">
        <f t="shared" si="207"/>
        <v>0</v>
      </c>
      <c r="OVS43">
        <f t="shared" si="207"/>
        <v>0</v>
      </c>
      <c r="OVT43">
        <f t="shared" si="207"/>
        <v>0</v>
      </c>
      <c r="OVU43">
        <f t="shared" si="207"/>
        <v>0</v>
      </c>
      <c r="OVV43">
        <f t="shared" si="207"/>
        <v>0</v>
      </c>
      <c r="OVW43">
        <f t="shared" si="207"/>
        <v>0</v>
      </c>
      <c r="OVX43">
        <f t="shared" si="207"/>
        <v>0</v>
      </c>
      <c r="OVY43">
        <f t="shared" si="207"/>
        <v>0</v>
      </c>
      <c r="OVZ43">
        <f t="shared" si="207"/>
        <v>0</v>
      </c>
      <c r="OWA43">
        <f t="shared" si="207"/>
        <v>0</v>
      </c>
      <c r="OWB43">
        <f t="shared" si="207"/>
        <v>0</v>
      </c>
      <c r="OWC43">
        <f t="shared" si="207"/>
        <v>0</v>
      </c>
      <c r="OWD43">
        <f t="shared" si="207"/>
        <v>0</v>
      </c>
      <c r="OWE43">
        <f t="shared" si="207"/>
        <v>0</v>
      </c>
      <c r="OWF43">
        <f t="shared" si="207"/>
        <v>0</v>
      </c>
      <c r="OWG43">
        <f t="shared" si="207"/>
        <v>0</v>
      </c>
      <c r="OWH43">
        <f t="shared" si="207"/>
        <v>0</v>
      </c>
      <c r="OWI43">
        <f t="shared" si="207"/>
        <v>0</v>
      </c>
      <c r="OWJ43">
        <f t="shared" si="207"/>
        <v>0</v>
      </c>
      <c r="OWK43">
        <f t="shared" si="207"/>
        <v>0</v>
      </c>
      <c r="OWL43">
        <f t="shared" si="208"/>
        <v>0</v>
      </c>
      <c r="OWM43">
        <f t="shared" si="208"/>
        <v>0</v>
      </c>
      <c r="OWN43">
        <f t="shared" si="208"/>
        <v>0</v>
      </c>
      <c r="OWO43">
        <f t="shared" si="208"/>
        <v>0</v>
      </c>
      <c r="OWP43">
        <f t="shared" si="208"/>
        <v>0</v>
      </c>
      <c r="OWQ43">
        <f t="shared" si="208"/>
        <v>0</v>
      </c>
      <c r="OWR43">
        <f t="shared" si="208"/>
        <v>0</v>
      </c>
      <c r="OWS43">
        <f t="shared" si="208"/>
        <v>0</v>
      </c>
      <c r="OWT43">
        <f t="shared" si="208"/>
        <v>0</v>
      </c>
      <c r="OWU43">
        <f t="shared" si="208"/>
        <v>0</v>
      </c>
      <c r="OWV43">
        <f t="shared" si="208"/>
        <v>0</v>
      </c>
      <c r="OWW43">
        <f t="shared" si="208"/>
        <v>0</v>
      </c>
      <c r="OWX43">
        <f t="shared" si="208"/>
        <v>0</v>
      </c>
      <c r="OWY43">
        <f t="shared" si="208"/>
        <v>0</v>
      </c>
      <c r="OWZ43">
        <f t="shared" si="208"/>
        <v>0</v>
      </c>
      <c r="OXA43">
        <f t="shared" si="208"/>
        <v>0</v>
      </c>
      <c r="OXB43">
        <f t="shared" si="208"/>
        <v>0</v>
      </c>
      <c r="OXC43">
        <f t="shared" si="208"/>
        <v>0</v>
      </c>
      <c r="OXD43">
        <f t="shared" si="208"/>
        <v>0</v>
      </c>
      <c r="OXE43">
        <f t="shared" si="208"/>
        <v>0</v>
      </c>
      <c r="OXF43">
        <f t="shared" si="208"/>
        <v>0</v>
      </c>
      <c r="OXG43">
        <f t="shared" si="208"/>
        <v>0</v>
      </c>
      <c r="OXH43">
        <f t="shared" si="208"/>
        <v>0</v>
      </c>
      <c r="OXI43">
        <f t="shared" si="208"/>
        <v>0</v>
      </c>
      <c r="OXJ43">
        <f t="shared" si="208"/>
        <v>0</v>
      </c>
      <c r="OXK43">
        <f t="shared" si="208"/>
        <v>0</v>
      </c>
      <c r="OXL43">
        <f t="shared" si="208"/>
        <v>0</v>
      </c>
      <c r="OXM43">
        <f t="shared" si="208"/>
        <v>0</v>
      </c>
      <c r="OXN43">
        <f t="shared" si="208"/>
        <v>0</v>
      </c>
      <c r="OXO43">
        <f t="shared" si="208"/>
        <v>0</v>
      </c>
      <c r="OXP43">
        <f t="shared" si="208"/>
        <v>0</v>
      </c>
      <c r="OXQ43">
        <f t="shared" si="208"/>
        <v>0</v>
      </c>
      <c r="OXR43">
        <f t="shared" si="208"/>
        <v>0</v>
      </c>
      <c r="OXS43">
        <f t="shared" si="208"/>
        <v>0</v>
      </c>
      <c r="OXT43">
        <f t="shared" si="208"/>
        <v>0</v>
      </c>
      <c r="OXU43">
        <f t="shared" si="208"/>
        <v>0</v>
      </c>
      <c r="OXV43">
        <f t="shared" si="208"/>
        <v>0</v>
      </c>
      <c r="OXW43">
        <f t="shared" si="208"/>
        <v>0</v>
      </c>
      <c r="OXX43">
        <f t="shared" si="208"/>
        <v>0</v>
      </c>
      <c r="OXY43">
        <f t="shared" si="208"/>
        <v>0</v>
      </c>
      <c r="OXZ43">
        <f t="shared" si="208"/>
        <v>0</v>
      </c>
      <c r="OYA43">
        <f t="shared" si="208"/>
        <v>0</v>
      </c>
      <c r="OYB43">
        <f t="shared" si="208"/>
        <v>0</v>
      </c>
      <c r="OYC43">
        <f t="shared" si="208"/>
        <v>0</v>
      </c>
      <c r="OYD43">
        <f t="shared" si="208"/>
        <v>0</v>
      </c>
      <c r="OYE43">
        <f t="shared" si="208"/>
        <v>0</v>
      </c>
      <c r="OYF43">
        <f t="shared" si="208"/>
        <v>0</v>
      </c>
      <c r="OYG43">
        <f t="shared" si="208"/>
        <v>0</v>
      </c>
      <c r="OYH43">
        <f t="shared" si="208"/>
        <v>0</v>
      </c>
      <c r="OYI43">
        <f t="shared" si="208"/>
        <v>0</v>
      </c>
      <c r="OYJ43">
        <f t="shared" si="208"/>
        <v>0</v>
      </c>
      <c r="OYK43">
        <f t="shared" si="208"/>
        <v>0</v>
      </c>
      <c r="OYL43">
        <f t="shared" si="208"/>
        <v>0</v>
      </c>
      <c r="OYM43">
        <f t="shared" si="208"/>
        <v>0</v>
      </c>
      <c r="OYN43">
        <f t="shared" si="208"/>
        <v>0</v>
      </c>
      <c r="OYO43">
        <f t="shared" si="208"/>
        <v>0</v>
      </c>
      <c r="OYP43">
        <f t="shared" si="208"/>
        <v>0</v>
      </c>
      <c r="OYQ43">
        <f t="shared" si="208"/>
        <v>0</v>
      </c>
      <c r="OYR43">
        <f t="shared" si="208"/>
        <v>0</v>
      </c>
      <c r="OYS43">
        <f t="shared" si="208"/>
        <v>0</v>
      </c>
      <c r="OYT43">
        <f t="shared" si="208"/>
        <v>0</v>
      </c>
      <c r="OYU43">
        <f t="shared" si="208"/>
        <v>0</v>
      </c>
      <c r="OYV43">
        <f t="shared" si="208"/>
        <v>0</v>
      </c>
      <c r="OYW43">
        <f t="shared" si="208"/>
        <v>0</v>
      </c>
      <c r="OYX43">
        <f t="shared" si="209"/>
        <v>0</v>
      </c>
      <c r="OYY43">
        <f t="shared" si="209"/>
        <v>0</v>
      </c>
      <c r="OYZ43">
        <f t="shared" si="209"/>
        <v>0</v>
      </c>
      <c r="OZA43">
        <f t="shared" si="209"/>
        <v>0</v>
      </c>
      <c r="OZB43">
        <f t="shared" si="209"/>
        <v>0</v>
      </c>
      <c r="OZC43">
        <f t="shared" si="209"/>
        <v>0</v>
      </c>
      <c r="OZD43">
        <f t="shared" si="209"/>
        <v>0</v>
      </c>
      <c r="OZE43">
        <f t="shared" si="209"/>
        <v>0</v>
      </c>
      <c r="OZF43">
        <f t="shared" si="209"/>
        <v>0</v>
      </c>
      <c r="OZG43">
        <f t="shared" si="209"/>
        <v>0</v>
      </c>
      <c r="OZH43">
        <f t="shared" si="209"/>
        <v>0</v>
      </c>
      <c r="OZI43">
        <f t="shared" si="209"/>
        <v>0</v>
      </c>
      <c r="OZJ43">
        <f t="shared" si="209"/>
        <v>0</v>
      </c>
      <c r="OZK43">
        <f t="shared" si="209"/>
        <v>0</v>
      </c>
      <c r="OZL43">
        <f t="shared" si="209"/>
        <v>0</v>
      </c>
      <c r="OZM43">
        <f t="shared" si="209"/>
        <v>0</v>
      </c>
      <c r="OZN43">
        <f t="shared" si="209"/>
        <v>0</v>
      </c>
      <c r="OZO43">
        <f t="shared" si="209"/>
        <v>0</v>
      </c>
      <c r="OZP43">
        <f t="shared" si="209"/>
        <v>0</v>
      </c>
      <c r="OZQ43">
        <f t="shared" si="209"/>
        <v>0</v>
      </c>
      <c r="OZR43">
        <f t="shared" si="209"/>
        <v>0</v>
      </c>
      <c r="OZS43">
        <f t="shared" si="209"/>
        <v>0</v>
      </c>
      <c r="OZT43">
        <f t="shared" si="209"/>
        <v>0</v>
      </c>
      <c r="OZU43">
        <f t="shared" si="209"/>
        <v>0</v>
      </c>
      <c r="OZV43">
        <f t="shared" si="209"/>
        <v>0</v>
      </c>
      <c r="OZW43">
        <f t="shared" si="209"/>
        <v>0</v>
      </c>
      <c r="OZX43">
        <f t="shared" si="209"/>
        <v>0</v>
      </c>
      <c r="OZY43">
        <f t="shared" si="209"/>
        <v>0</v>
      </c>
      <c r="OZZ43">
        <f t="shared" si="209"/>
        <v>0</v>
      </c>
      <c r="PAA43">
        <f t="shared" si="209"/>
        <v>0</v>
      </c>
      <c r="PAB43">
        <f t="shared" si="209"/>
        <v>0</v>
      </c>
      <c r="PAC43">
        <f t="shared" si="209"/>
        <v>0</v>
      </c>
      <c r="PAD43">
        <f t="shared" si="209"/>
        <v>0</v>
      </c>
      <c r="PAE43">
        <f t="shared" si="209"/>
        <v>0</v>
      </c>
      <c r="PAF43">
        <f t="shared" si="209"/>
        <v>0</v>
      </c>
      <c r="PAG43">
        <f t="shared" si="209"/>
        <v>0</v>
      </c>
      <c r="PAH43">
        <f t="shared" si="209"/>
        <v>0</v>
      </c>
      <c r="PAI43">
        <f t="shared" si="209"/>
        <v>0</v>
      </c>
      <c r="PAJ43">
        <f t="shared" si="209"/>
        <v>0</v>
      </c>
      <c r="PAK43">
        <f t="shared" si="209"/>
        <v>0</v>
      </c>
      <c r="PAL43">
        <f t="shared" si="209"/>
        <v>0</v>
      </c>
      <c r="PAM43">
        <f t="shared" si="209"/>
        <v>0</v>
      </c>
      <c r="PAN43">
        <f t="shared" si="209"/>
        <v>0</v>
      </c>
      <c r="PAO43">
        <f t="shared" si="209"/>
        <v>0</v>
      </c>
      <c r="PAP43">
        <f t="shared" si="209"/>
        <v>0</v>
      </c>
      <c r="PAQ43">
        <f t="shared" si="209"/>
        <v>0</v>
      </c>
      <c r="PAR43">
        <f t="shared" si="209"/>
        <v>0</v>
      </c>
      <c r="PAS43">
        <f t="shared" si="209"/>
        <v>0</v>
      </c>
      <c r="PAT43">
        <f t="shared" si="209"/>
        <v>0</v>
      </c>
      <c r="PAU43">
        <f t="shared" si="209"/>
        <v>0</v>
      </c>
      <c r="PAV43">
        <f t="shared" si="209"/>
        <v>0</v>
      </c>
      <c r="PAW43">
        <f t="shared" si="209"/>
        <v>0</v>
      </c>
      <c r="PAX43">
        <f t="shared" si="209"/>
        <v>0</v>
      </c>
      <c r="PAY43">
        <f t="shared" si="209"/>
        <v>0</v>
      </c>
      <c r="PAZ43">
        <f t="shared" si="209"/>
        <v>0</v>
      </c>
      <c r="PBA43">
        <f t="shared" si="209"/>
        <v>0</v>
      </c>
      <c r="PBB43">
        <f t="shared" si="209"/>
        <v>0</v>
      </c>
      <c r="PBC43">
        <f t="shared" si="209"/>
        <v>0</v>
      </c>
      <c r="PBD43">
        <f t="shared" si="209"/>
        <v>0</v>
      </c>
      <c r="PBE43">
        <f t="shared" si="209"/>
        <v>0</v>
      </c>
      <c r="PBF43">
        <f t="shared" si="209"/>
        <v>0</v>
      </c>
      <c r="PBG43">
        <f t="shared" si="209"/>
        <v>0</v>
      </c>
      <c r="PBH43">
        <f t="shared" si="209"/>
        <v>0</v>
      </c>
      <c r="PBI43">
        <f t="shared" si="209"/>
        <v>0</v>
      </c>
      <c r="PBJ43">
        <f t="shared" si="210"/>
        <v>0</v>
      </c>
      <c r="PBK43">
        <f t="shared" si="210"/>
        <v>0</v>
      </c>
      <c r="PBL43">
        <f t="shared" si="210"/>
        <v>0</v>
      </c>
      <c r="PBM43">
        <f t="shared" si="210"/>
        <v>0</v>
      </c>
      <c r="PBN43">
        <f t="shared" si="210"/>
        <v>0</v>
      </c>
      <c r="PBO43">
        <f t="shared" si="210"/>
        <v>0</v>
      </c>
      <c r="PBP43">
        <f t="shared" si="210"/>
        <v>0</v>
      </c>
      <c r="PBQ43">
        <f t="shared" si="210"/>
        <v>0</v>
      </c>
      <c r="PBR43">
        <f t="shared" si="210"/>
        <v>0</v>
      </c>
      <c r="PBS43">
        <f t="shared" si="210"/>
        <v>0</v>
      </c>
      <c r="PBT43">
        <f t="shared" si="210"/>
        <v>0</v>
      </c>
      <c r="PBU43">
        <f t="shared" si="210"/>
        <v>0</v>
      </c>
      <c r="PBV43">
        <f t="shared" si="210"/>
        <v>0</v>
      </c>
      <c r="PBW43">
        <f t="shared" si="210"/>
        <v>0</v>
      </c>
      <c r="PBX43">
        <f t="shared" si="210"/>
        <v>0</v>
      </c>
      <c r="PBY43">
        <f t="shared" si="210"/>
        <v>0</v>
      </c>
      <c r="PBZ43">
        <f t="shared" si="210"/>
        <v>0</v>
      </c>
      <c r="PCA43">
        <f t="shared" si="210"/>
        <v>0</v>
      </c>
      <c r="PCB43">
        <f t="shared" si="210"/>
        <v>0</v>
      </c>
      <c r="PCC43">
        <f t="shared" si="210"/>
        <v>0</v>
      </c>
      <c r="PCD43">
        <f t="shared" si="210"/>
        <v>0</v>
      </c>
      <c r="PCE43">
        <f t="shared" si="210"/>
        <v>0</v>
      </c>
      <c r="PCF43">
        <f t="shared" si="210"/>
        <v>0</v>
      </c>
      <c r="PCG43">
        <f t="shared" si="210"/>
        <v>0</v>
      </c>
      <c r="PCH43">
        <f t="shared" si="210"/>
        <v>0</v>
      </c>
      <c r="PCI43">
        <f t="shared" si="210"/>
        <v>0</v>
      </c>
      <c r="PCJ43">
        <f t="shared" si="210"/>
        <v>0</v>
      </c>
      <c r="PCK43">
        <f t="shared" si="210"/>
        <v>0</v>
      </c>
      <c r="PCL43">
        <f t="shared" si="210"/>
        <v>0</v>
      </c>
      <c r="PCM43">
        <f t="shared" si="210"/>
        <v>0</v>
      </c>
      <c r="PCN43">
        <f t="shared" si="210"/>
        <v>0</v>
      </c>
      <c r="PCO43">
        <f t="shared" si="210"/>
        <v>0</v>
      </c>
      <c r="PCP43">
        <f t="shared" si="210"/>
        <v>0</v>
      </c>
      <c r="PCQ43">
        <f t="shared" si="210"/>
        <v>0</v>
      </c>
      <c r="PCR43">
        <f t="shared" si="210"/>
        <v>0</v>
      </c>
      <c r="PCS43">
        <f t="shared" si="210"/>
        <v>0</v>
      </c>
      <c r="PCT43">
        <f t="shared" si="210"/>
        <v>0</v>
      </c>
      <c r="PCU43">
        <f t="shared" si="210"/>
        <v>0</v>
      </c>
      <c r="PCV43">
        <f t="shared" si="210"/>
        <v>0</v>
      </c>
      <c r="PCW43">
        <f t="shared" si="210"/>
        <v>0</v>
      </c>
      <c r="PCX43">
        <f t="shared" si="210"/>
        <v>0</v>
      </c>
      <c r="PCY43">
        <f t="shared" si="210"/>
        <v>0</v>
      </c>
      <c r="PCZ43">
        <f t="shared" si="210"/>
        <v>0</v>
      </c>
      <c r="PDA43">
        <f t="shared" si="210"/>
        <v>0</v>
      </c>
      <c r="PDB43">
        <f t="shared" si="210"/>
        <v>0</v>
      </c>
      <c r="PDC43">
        <f t="shared" si="210"/>
        <v>0</v>
      </c>
      <c r="PDD43">
        <f t="shared" si="210"/>
        <v>0</v>
      </c>
      <c r="PDE43">
        <f t="shared" si="210"/>
        <v>0</v>
      </c>
      <c r="PDF43">
        <f t="shared" si="210"/>
        <v>0</v>
      </c>
      <c r="PDG43">
        <f t="shared" si="210"/>
        <v>0</v>
      </c>
      <c r="PDH43">
        <f t="shared" si="210"/>
        <v>0</v>
      </c>
      <c r="PDI43">
        <f t="shared" si="210"/>
        <v>0</v>
      </c>
      <c r="PDJ43">
        <f t="shared" si="210"/>
        <v>0</v>
      </c>
      <c r="PDK43">
        <f t="shared" si="210"/>
        <v>0</v>
      </c>
      <c r="PDL43">
        <f t="shared" si="210"/>
        <v>0</v>
      </c>
      <c r="PDM43">
        <f t="shared" si="210"/>
        <v>0</v>
      </c>
      <c r="PDN43">
        <f t="shared" si="210"/>
        <v>0</v>
      </c>
      <c r="PDO43">
        <f t="shared" si="210"/>
        <v>0</v>
      </c>
      <c r="PDP43">
        <f t="shared" si="210"/>
        <v>0</v>
      </c>
      <c r="PDQ43">
        <f t="shared" si="210"/>
        <v>0</v>
      </c>
      <c r="PDR43">
        <f t="shared" si="210"/>
        <v>0</v>
      </c>
      <c r="PDS43">
        <f t="shared" si="210"/>
        <v>0</v>
      </c>
      <c r="PDT43">
        <f t="shared" si="210"/>
        <v>0</v>
      </c>
      <c r="PDU43">
        <f t="shared" si="210"/>
        <v>0</v>
      </c>
      <c r="PDV43">
        <f t="shared" si="211"/>
        <v>0</v>
      </c>
      <c r="PDW43">
        <f t="shared" si="211"/>
        <v>0</v>
      </c>
      <c r="PDX43">
        <f t="shared" si="211"/>
        <v>0</v>
      </c>
      <c r="PDY43">
        <f t="shared" si="211"/>
        <v>0</v>
      </c>
      <c r="PDZ43">
        <f t="shared" si="211"/>
        <v>0</v>
      </c>
      <c r="PEA43">
        <f t="shared" si="211"/>
        <v>0</v>
      </c>
      <c r="PEB43">
        <f t="shared" si="211"/>
        <v>0</v>
      </c>
      <c r="PEC43">
        <f t="shared" si="211"/>
        <v>0</v>
      </c>
      <c r="PED43">
        <f t="shared" si="211"/>
        <v>0</v>
      </c>
      <c r="PEE43">
        <f t="shared" si="211"/>
        <v>0</v>
      </c>
      <c r="PEF43">
        <f t="shared" si="211"/>
        <v>0</v>
      </c>
      <c r="PEG43">
        <f t="shared" si="211"/>
        <v>0</v>
      </c>
      <c r="PEH43">
        <f t="shared" si="211"/>
        <v>0</v>
      </c>
      <c r="PEI43">
        <f t="shared" si="211"/>
        <v>0</v>
      </c>
      <c r="PEJ43">
        <f t="shared" si="211"/>
        <v>0</v>
      </c>
      <c r="PEK43">
        <f t="shared" si="211"/>
        <v>0</v>
      </c>
      <c r="PEL43">
        <f t="shared" si="211"/>
        <v>0</v>
      </c>
      <c r="PEM43">
        <f t="shared" si="211"/>
        <v>0</v>
      </c>
      <c r="PEN43">
        <f t="shared" si="211"/>
        <v>0</v>
      </c>
      <c r="PEO43">
        <f t="shared" si="211"/>
        <v>0</v>
      </c>
      <c r="PEP43">
        <f t="shared" si="211"/>
        <v>0</v>
      </c>
      <c r="PEQ43">
        <f t="shared" si="211"/>
        <v>0</v>
      </c>
      <c r="PER43">
        <f t="shared" si="211"/>
        <v>0</v>
      </c>
      <c r="PES43">
        <f t="shared" si="211"/>
        <v>0</v>
      </c>
      <c r="PET43">
        <f t="shared" si="211"/>
        <v>0</v>
      </c>
      <c r="PEU43">
        <f t="shared" si="211"/>
        <v>0</v>
      </c>
      <c r="PEV43">
        <f t="shared" si="211"/>
        <v>0</v>
      </c>
      <c r="PEW43">
        <f t="shared" si="211"/>
        <v>0</v>
      </c>
      <c r="PEX43">
        <f t="shared" si="211"/>
        <v>0</v>
      </c>
      <c r="PEY43">
        <f t="shared" si="211"/>
        <v>0</v>
      </c>
      <c r="PEZ43">
        <f t="shared" si="211"/>
        <v>0</v>
      </c>
      <c r="PFA43">
        <f t="shared" si="211"/>
        <v>0</v>
      </c>
      <c r="PFB43">
        <f t="shared" si="211"/>
        <v>0</v>
      </c>
      <c r="PFC43">
        <f t="shared" si="211"/>
        <v>0</v>
      </c>
      <c r="PFD43">
        <f t="shared" si="211"/>
        <v>0</v>
      </c>
      <c r="PFE43">
        <f t="shared" si="211"/>
        <v>0</v>
      </c>
      <c r="PFF43">
        <f t="shared" si="211"/>
        <v>0</v>
      </c>
      <c r="PFG43">
        <f t="shared" si="211"/>
        <v>0</v>
      </c>
      <c r="PFH43">
        <f t="shared" si="211"/>
        <v>0</v>
      </c>
      <c r="PFI43">
        <f t="shared" si="211"/>
        <v>0</v>
      </c>
      <c r="PFJ43">
        <f t="shared" si="211"/>
        <v>0</v>
      </c>
      <c r="PFK43">
        <f t="shared" si="211"/>
        <v>0</v>
      </c>
      <c r="PFL43">
        <f t="shared" si="211"/>
        <v>0</v>
      </c>
      <c r="PFM43">
        <f t="shared" si="211"/>
        <v>0</v>
      </c>
      <c r="PFN43">
        <f t="shared" si="211"/>
        <v>0</v>
      </c>
      <c r="PFO43">
        <f t="shared" si="211"/>
        <v>0</v>
      </c>
      <c r="PFP43">
        <f t="shared" si="211"/>
        <v>0</v>
      </c>
      <c r="PFQ43">
        <f t="shared" si="211"/>
        <v>0</v>
      </c>
      <c r="PFR43">
        <f t="shared" si="211"/>
        <v>0</v>
      </c>
      <c r="PFS43">
        <f t="shared" si="211"/>
        <v>0</v>
      </c>
      <c r="PFT43">
        <f t="shared" si="211"/>
        <v>0</v>
      </c>
      <c r="PFU43">
        <f t="shared" si="211"/>
        <v>0</v>
      </c>
      <c r="PFV43">
        <f t="shared" si="211"/>
        <v>0</v>
      </c>
      <c r="PFW43">
        <f t="shared" si="211"/>
        <v>0</v>
      </c>
      <c r="PFX43">
        <f t="shared" si="211"/>
        <v>0</v>
      </c>
      <c r="PFY43">
        <f t="shared" si="211"/>
        <v>0</v>
      </c>
      <c r="PFZ43">
        <f t="shared" si="211"/>
        <v>0</v>
      </c>
      <c r="PGA43">
        <f t="shared" si="211"/>
        <v>0</v>
      </c>
      <c r="PGB43">
        <f t="shared" si="211"/>
        <v>0</v>
      </c>
      <c r="PGC43">
        <f t="shared" si="211"/>
        <v>0</v>
      </c>
      <c r="PGD43">
        <f t="shared" si="211"/>
        <v>0</v>
      </c>
      <c r="PGE43">
        <f t="shared" si="211"/>
        <v>0</v>
      </c>
      <c r="PGF43">
        <f t="shared" si="211"/>
        <v>0</v>
      </c>
      <c r="PGG43">
        <f t="shared" si="211"/>
        <v>0</v>
      </c>
      <c r="PGH43">
        <f t="shared" si="212"/>
        <v>0</v>
      </c>
      <c r="PGI43">
        <f t="shared" si="212"/>
        <v>0</v>
      </c>
      <c r="PGJ43">
        <f t="shared" si="212"/>
        <v>0</v>
      </c>
      <c r="PGK43">
        <f t="shared" si="212"/>
        <v>0</v>
      </c>
      <c r="PGL43">
        <f t="shared" si="212"/>
        <v>0</v>
      </c>
      <c r="PGM43">
        <f t="shared" si="212"/>
        <v>0</v>
      </c>
      <c r="PGN43">
        <f t="shared" si="212"/>
        <v>0</v>
      </c>
      <c r="PGO43">
        <f t="shared" si="212"/>
        <v>0</v>
      </c>
      <c r="PGP43">
        <f t="shared" si="212"/>
        <v>0</v>
      </c>
      <c r="PGQ43">
        <f t="shared" si="212"/>
        <v>0</v>
      </c>
      <c r="PGR43">
        <f t="shared" si="212"/>
        <v>0</v>
      </c>
      <c r="PGS43">
        <f t="shared" si="212"/>
        <v>0</v>
      </c>
      <c r="PGT43">
        <f t="shared" si="212"/>
        <v>0</v>
      </c>
      <c r="PGU43">
        <f t="shared" si="212"/>
        <v>0</v>
      </c>
      <c r="PGV43">
        <f t="shared" si="212"/>
        <v>0</v>
      </c>
      <c r="PGW43">
        <f t="shared" si="212"/>
        <v>0</v>
      </c>
      <c r="PGX43">
        <f t="shared" si="212"/>
        <v>0</v>
      </c>
      <c r="PGY43">
        <f t="shared" si="212"/>
        <v>0</v>
      </c>
      <c r="PGZ43">
        <f t="shared" si="212"/>
        <v>0</v>
      </c>
      <c r="PHA43">
        <f t="shared" si="212"/>
        <v>0</v>
      </c>
      <c r="PHB43">
        <f t="shared" si="212"/>
        <v>0</v>
      </c>
      <c r="PHC43">
        <f t="shared" si="212"/>
        <v>0</v>
      </c>
      <c r="PHD43">
        <f t="shared" si="212"/>
        <v>0</v>
      </c>
      <c r="PHE43">
        <f t="shared" si="212"/>
        <v>0</v>
      </c>
      <c r="PHF43">
        <f t="shared" si="212"/>
        <v>0</v>
      </c>
      <c r="PHG43">
        <f t="shared" si="212"/>
        <v>0</v>
      </c>
      <c r="PHH43">
        <f t="shared" si="212"/>
        <v>0</v>
      </c>
      <c r="PHI43">
        <f t="shared" si="212"/>
        <v>0</v>
      </c>
      <c r="PHJ43">
        <f t="shared" si="212"/>
        <v>0</v>
      </c>
      <c r="PHK43">
        <f t="shared" si="212"/>
        <v>0</v>
      </c>
      <c r="PHL43">
        <f t="shared" si="212"/>
        <v>0</v>
      </c>
      <c r="PHM43">
        <f t="shared" si="212"/>
        <v>0</v>
      </c>
      <c r="PHN43">
        <f t="shared" si="212"/>
        <v>0</v>
      </c>
      <c r="PHO43">
        <f t="shared" si="212"/>
        <v>0</v>
      </c>
      <c r="PHP43">
        <f t="shared" si="212"/>
        <v>0</v>
      </c>
      <c r="PHQ43">
        <f t="shared" si="212"/>
        <v>0</v>
      </c>
      <c r="PHR43">
        <f t="shared" si="212"/>
        <v>0</v>
      </c>
      <c r="PHS43">
        <f t="shared" si="212"/>
        <v>0</v>
      </c>
      <c r="PHT43">
        <f t="shared" si="212"/>
        <v>0</v>
      </c>
      <c r="PHU43">
        <f t="shared" si="212"/>
        <v>0</v>
      </c>
      <c r="PHV43">
        <f t="shared" si="212"/>
        <v>0</v>
      </c>
      <c r="PHW43">
        <f t="shared" si="212"/>
        <v>0</v>
      </c>
      <c r="PHX43">
        <f t="shared" si="212"/>
        <v>0</v>
      </c>
      <c r="PHY43">
        <f t="shared" si="212"/>
        <v>0</v>
      </c>
      <c r="PHZ43">
        <f t="shared" si="212"/>
        <v>0</v>
      </c>
      <c r="PIA43">
        <f t="shared" si="212"/>
        <v>0</v>
      </c>
      <c r="PIB43">
        <f t="shared" si="212"/>
        <v>0</v>
      </c>
      <c r="PIC43">
        <f t="shared" si="212"/>
        <v>0</v>
      </c>
      <c r="PID43">
        <f t="shared" si="212"/>
        <v>0</v>
      </c>
      <c r="PIE43">
        <f t="shared" si="212"/>
        <v>0</v>
      </c>
      <c r="PIF43">
        <f t="shared" si="212"/>
        <v>0</v>
      </c>
      <c r="PIG43">
        <f t="shared" si="212"/>
        <v>0</v>
      </c>
      <c r="PIH43">
        <f t="shared" si="212"/>
        <v>0</v>
      </c>
      <c r="PII43">
        <f t="shared" si="212"/>
        <v>0</v>
      </c>
      <c r="PIJ43">
        <f t="shared" si="212"/>
        <v>0</v>
      </c>
      <c r="PIK43">
        <f t="shared" si="212"/>
        <v>0</v>
      </c>
      <c r="PIL43">
        <f t="shared" si="212"/>
        <v>0</v>
      </c>
      <c r="PIM43">
        <f t="shared" si="212"/>
        <v>0</v>
      </c>
      <c r="PIN43">
        <f t="shared" si="212"/>
        <v>0</v>
      </c>
      <c r="PIO43">
        <f t="shared" si="212"/>
        <v>0</v>
      </c>
      <c r="PIP43">
        <f t="shared" si="212"/>
        <v>0</v>
      </c>
      <c r="PIQ43">
        <f t="shared" si="212"/>
        <v>0</v>
      </c>
      <c r="PIR43">
        <f t="shared" si="212"/>
        <v>0</v>
      </c>
      <c r="PIS43">
        <f t="shared" si="212"/>
        <v>0</v>
      </c>
      <c r="PIT43">
        <f t="shared" si="213"/>
        <v>0</v>
      </c>
      <c r="PIU43">
        <f t="shared" si="213"/>
        <v>0</v>
      </c>
      <c r="PIV43">
        <f t="shared" si="213"/>
        <v>0</v>
      </c>
      <c r="PIW43">
        <f t="shared" si="213"/>
        <v>0</v>
      </c>
      <c r="PIX43">
        <f t="shared" si="213"/>
        <v>0</v>
      </c>
      <c r="PIY43">
        <f t="shared" si="213"/>
        <v>0</v>
      </c>
      <c r="PIZ43">
        <f t="shared" si="213"/>
        <v>0</v>
      </c>
      <c r="PJA43">
        <f t="shared" si="213"/>
        <v>0</v>
      </c>
      <c r="PJB43">
        <f t="shared" si="213"/>
        <v>0</v>
      </c>
      <c r="PJC43">
        <f t="shared" si="213"/>
        <v>0</v>
      </c>
      <c r="PJD43">
        <f t="shared" si="213"/>
        <v>0</v>
      </c>
      <c r="PJE43">
        <f t="shared" si="213"/>
        <v>0</v>
      </c>
      <c r="PJF43">
        <f t="shared" si="213"/>
        <v>0</v>
      </c>
      <c r="PJG43">
        <f t="shared" si="213"/>
        <v>0</v>
      </c>
      <c r="PJH43">
        <f t="shared" si="213"/>
        <v>0</v>
      </c>
      <c r="PJI43">
        <f t="shared" si="213"/>
        <v>0</v>
      </c>
      <c r="PJJ43">
        <f t="shared" si="213"/>
        <v>0</v>
      </c>
      <c r="PJK43">
        <f t="shared" si="213"/>
        <v>0</v>
      </c>
      <c r="PJL43">
        <f t="shared" si="213"/>
        <v>0</v>
      </c>
      <c r="PJM43">
        <f t="shared" si="213"/>
        <v>0</v>
      </c>
      <c r="PJN43">
        <f t="shared" si="213"/>
        <v>0</v>
      </c>
      <c r="PJO43">
        <f t="shared" si="213"/>
        <v>0</v>
      </c>
      <c r="PJP43">
        <f t="shared" si="213"/>
        <v>0</v>
      </c>
      <c r="PJQ43">
        <f t="shared" si="213"/>
        <v>0</v>
      </c>
      <c r="PJR43">
        <f t="shared" si="213"/>
        <v>0</v>
      </c>
      <c r="PJS43">
        <f t="shared" si="213"/>
        <v>0</v>
      </c>
      <c r="PJT43">
        <f t="shared" si="213"/>
        <v>0</v>
      </c>
      <c r="PJU43">
        <f t="shared" si="213"/>
        <v>0</v>
      </c>
      <c r="PJV43">
        <f t="shared" si="213"/>
        <v>0</v>
      </c>
      <c r="PJW43">
        <f t="shared" si="213"/>
        <v>0</v>
      </c>
      <c r="PJX43">
        <f t="shared" si="213"/>
        <v>0</v>
      </c>
      <c r="PJY43">
        <f t="shared" si="213"/>
        <v>0</v>
      </c>
      <c r="PJZ43">
        <f t="shared" si="213"/>
        <v>0</v>
      </c>
      <c r="PKA43">
        <f t="shared" si="213"/>
        <v>0</v>
      </c>
      <c r="PKB43">
        <f t="shared" si="213"/>
        <v>0</v>
      </c>
      <c r="PKC43">
        <f t="shared" si="213"/>
        <v>0</v>
      </c>
      <c r="PKD43">
        <f t="shared" si="213"/>
        <v>0</v>
      </c>
      <c r="PKE43">
        <f t="shared" si="213"/>
        <v>0</v>
      </c>
      <c r="PKF43">
        <f t="shared" si="213"/>
        <v>0</v>
      </c>
      <c r="PKG43">
        <f t="shared" si="213"/>
        <v>0</v>
      </c>
      <c r="PKH43">
        <f t="shared" si="213"/>
        <v>0</v>
      </c>
      <c r="PKI43">
        <f t="shared" si="213"/>
        <v>0</v>
      </c>
      <c r="PKJ43">
        <f t="shared" si="213"/>
        <v>0</v>
      </c>
      <c r="PKK43">
        <f t="shared" si="213"/>
        <v>0</v>
      </c>
      <c r="PKL43">
        <f t="shared" si="213"/>
        <v>0</v>
      </c>
      <c r="PKM43">
        <f t="shared" si="213"/>
        <v>0</v>
      </c>
      <c r="PKN43">
        <f t="shared" si="213"/>
        <v>0</v>
      </c>
      <c r="PKO43">
        <f t="shared" si="213"/>
        <v>0</v>
      </c>
      <c r="PKP43">
        <f t="shared" si="213"/>
        <v>0</v>
      </c>
      <c r="PKQ43">
        <f t="shared" si="213"/>
        <v>0</v>
      </c>
      <c r="PKR43">
        <f t="shared" si="213"/>
        <v>0</v>
      </c>
      <c r="PKS43">
        <f t="shared" si="213"/>
        <v>0</v>
      </c>
      <c r="PKT43">
        <f t="shared" si="213"/>
        <v>0</v>
      </c>
      <c r="PKU43">
        <f t="shared" si="213"/>
        <v>0</v>
      </c>
      <c r="PKV43">
        <f t="shared" si="213"/>
        <v>0</v>
      </c>
      <c r="PKW43">
        <f t="shared" si="213"/>
        <v>0</v>
      </c>
      <c r="PKX43">
        <f t="shared" si="213"/>
        <v>0</v>
      </c>
      <c r="PKY43">
        <f t="shared" si="213"/>
        <v>0</v>
      </c>
      <c r="PKZ43">
        <f t="shared" si="213"/>
        <v>0</v>
      </c>
      <c r="PLA43">
        <f t="shared" si="213"/>
        <v>0</v>
      </c>
      <c r="PLB43">
        <f t="shared" si="213"/>
        <v>0</v>
      </c>
      <c r="PLC43">
        <f t="shared" si="213"/>
        <v>0</v>
      </c>
      <c r="PLD43">
        <f t="shared" si="213"/>
        <v>0</v>
      </c>
      <c r="PLE43">
        <f t="shared" si="213"/>
        <v>0</v>
      </c>
      <c r="PLF43">
        <f t="shared" si="214"/>
        <v>0</v>
      </c>
      <c r="PLG43">
        <f t="shared" si="214"/>
        <v>0</v>
      </c>
      <c r="PLH43">
        <f t="shared" si="214"/>
        <v>0</v>
      </c>
      <c r="PLI43">
        <f t="shared" si="214"/>
        <v>0</v>
      </c>
      <c r="PLJ43">
        <f t="shared" si="214"/>
        <v>0</v>
      </c>
      <c r="PLK43">
        <f t="shared" si="214"/>
        <v>0</v>
      </c>
      <c r="PLL43">
        <f t="shared" si="214"/>
        <v>0</v>
      </c>
      <c r="PLM43">
        <f t="shared" si="214"/>
        <v>0</v>
      </c>
      <c r="PLN43">
        <f t="shared" si="214"/>
        <v>0</v>
      </c>
      <c r="PLO43">
        <f t="shared" si="214"/>
        <v>0</v>
      </c>
      <c r="PLP43">
        <f t="shared" si="214"/>
        <v>0</v>
      </c>
      <c r="PLQ43">
        <f t="shared" si="214"/>
        <v>0</v>
      </c>
      <c r="PLR43">
        <f t="shared" si="214"/>
        <v>0</v>
      </c>
      <c r="PLS43">
        <f t="shared" si="214"/>
        <v>0</v>
      </c>
      <c r="PLT43">
        <f t="shared" si="214"/>
        <v>0</v>
      </c>
      <c r="PLU43">
        <f t="shared" si="214"/>
        <v>0</v>
      </c>
      <c r="PLV43">
        <f t="shared" si="214"/>
        <v>0</v>
      </c>
      <c r="PLW43">
        <f t="shared" si="214"/>
        <v>0</v>
      </c>
      <c r="PLX43">
        <f t="shared" si="214"/>
        <v>0</v>
      </c>
      <c r="PLY43">
        <f t="shared" si="214"/>
        <v>0</v>
      </c>
      <c r="PLZ43">
        <f t="shared" si="214"/>
        <v>0</v>
      </c>
      <c r="PMA43">
        <f t="shared" si="214"/>
        <v>0</v>
      </c>
      <c r="PMB43">
        <f t="shared" si="214"/>
        <v>0</v>
      </c>
      <c r="PMC43">
        <f t="shared" si="214"/>
        <v>0</v>
      </c>
      <c r="PMD43">
        <f t="shared" si="214"/>
        <v>0</v>
      </c>
      <c r="PME43">
        <f t="shared" si="214"/>
        <v>0</v>
      </c>
      <c r="PMF43">
        <f t="shared" si="214"/>
        <v>0</v>
      </c>
      <c r="PMG43">
        <f t="shared" si="214"/>
        <v>0</v>
      </c>
      <c r="PMH43">
        <f t="shared" si="214"/>
        <v>0</v>
      </c>
      <c r="PMI43">
        <f t="shared" si="214"/>
        <v>0</v>
      </c>
      <c r="PMJ43">
        <f t="shared" si="214"/>
        <v>0</v>
      </c>
      <c r="PMK43">
        <f t="shared" si="214"/>
        <v>0</v>
      </c>
      <c r="PML43">
        <f t="shared" si="214"/>
        <v>0</v>
      </c>
      <c r="PMM43">
        <f t="shared" si="214"/>
        <v>0</v>
      </c>
      <c r="PMN43">
        <f t="shared" si="214"/>
        <v>0</v>
      </c>
      <c r="PMO43">
        <f t="shared" si="214"/>
        <v>0</v>
      </c>
      <c r="PMP43">
        <f t="shared" si="214"/>
        <v>0</v>
      </c>
      <c r="PMQ43">
        <f t="shared" si="214"/>
        <v>0</v>
      </c>
      <c r="PMR43">
        <f t="shared" si="214"/>
        <v>0</v>
      </c>
      <c r="PMS43">
        <f t="shared" si="214"/>
        <v>0</v>
      </c>
      <c r="PMT43">
        <f t="shared" si="214"/>
        <v>0</v>
      </c>
      <c r="PMU43">
        <f t="shared" si="214"/>
        <v>0</v>
      </c>
      <c r="PMV43">
        <f t="shared" si="214"/>
        <v>0</v>
      </c>
      <c r="PMW43">
        <f t="shared" si="214"/>
        <v>0</v>
      </c>
      <c r="PMX43">
        <f t="shared" si="214"/>
        <v>0</v>
      </c>
      <c r="PMY43">
        <f t="shared" si="214"/>
        <v>0</v>
      </c>
      <c r="PMZ43">
        <f t="shared" si="214"/>
        <v>0</v>
      </c>
      <c r="PNA43">
        <f t="shared" si="214"/>
        <v>0</v>
      </c>
      <c r="PNB43">
        <f t="shared" si="214"/>
        <v>0</v>
      </c>
      <c r="PNC43">
        <f t="shared" si="214"/>
        <v>0</v>
      </c>
      <c r="PND43">
        <f t="shared" si="214"/>
        <v>0</v>
      </c>
      <c r="PNE43">
        <f t="shared" si="214"/>
        <v>0</v>
      </c>
      <c r="PNF43">
        <f t="shared" si="214"/>
        <v>0</v>
      </c>
      <c r="PNG43">
        <f t="shared" si="214"/>
        <v>0</v>
      </c>
      <c r="PNH43">
        <f t="shared" si="214"/>
        <v>0</v>
      </c>
      <c r="PNI43">
        <f t="shared" si="214"/>
        <v>0</v>
      </c>
      <c r="PNJ43">
        <f t="shared" si="214"/>
        <v>0</v>
      </c>
      <c r="PNK43">
        <f t="shared" si="214"/>
        <v>0</v>
      </c>
      <c r="PNL43">
        <f t="shared" si="214"/>
        <v>0</v>
      </c>
      <c r="PNM43">
        <f t="shared" si="214"/>
        <v>0</v>
      </c>
      <c r="PNN43">
        <f t="shared" si="214"/>
        <v>0</v>
      </c>
      <c r="PNO43">
        <f t="shared" si="214"/>
        <v>0</v>
      </c>
      <c r="PNP43">
        <f t="shared" si="214"/>
        <v>0</v>
      </c>
      <c r="PNQ43">
        <f t="shared" si="214"/>
        <v>0</v>
      </c>
      <c r="PNR43">
        <f t="shared" si="215"/>
        <v>0</v>
      </c>
      <c r="PNS43">
        <f t="shared" si="215"/>
        <v>0</v>
      </c>
      <c r="PNT43">
        <f t="shared" si="215"/>
        <v>0</v>
      </c>
      <c r="PNU43">
        <f t="shared" si="215"/>
        <v>0</v>
      </c>
      <c r="PNV43">
        <f t="shared" si="215"/>
        <v>0</v>
      </c>
      <c r="PNW43">
        <f t="shared" si="215"/>
        <v>0</v>
      </c>
      <c r="PNX43">
        <f t="shared" si="215"/>
        <v>0</v>
      </c>
      <c r="PNY43">
        <f t="shared" si="215"/>
        <v>0</v>
      </c>
      <c r="PNZ43">
        <f t="shared" si="215"/>
        <v>0</v>
      </c>
      <c r="POA43">
        <f t="shared" si="215"/>
        <v>0</v>
      </c>
      <c r="POB43">
        <f t="shared" si="215"/>
        <v>0</v>
      </c>
      <c r="POC43">
        <f t="shared" si="215"/>
        <v>0</v>
      </c>
      <c r="POD43">
        <f t="shared" si="215"/>
        <v>0</v>
      </c>
      <c r="POE43">
        <f t="shared" si="215"/>
        <v>0</v>
      </c>
      <c r="POF43">
        <f t="shared" si="215"/>
        <v>0</v>
      </c>
      <c r="POG43">
        <f t="shared" si="215"/>
        <v>0</v>
      </c>
      <c r="POH43">
        <f t="shared" si="215"/>
        <v>0</v>
      </c>
      <c r="POI43">
        <f t="shared" si="215"/>
        <v>0</v>
      </c>
      <c r="POJ43">
        <f t="shared" si="215"/>
        <v>0</v>
      </c>
      <c r="POK43">
        <f t="shared" si="215"/>
        <v>0</v>
      </c>
      <c r="POL43">
        <f t="shared" si="215"/>
        <v>0</v>
      </c>
      <c r="POM43">
        <f t="shared" si="215"/>
        <v>0</v>
      </c>
      <c r="PON43">
        <f t="shared" si="215"/>
        <v>0</v>
      </c>
      <c r="POO43">
        <f t="shared" si="215"/>
        <v>0</v>
      </c>
      <c r="POP43">
        <f t="shared" si="215"/>
        <v>0</v>
      </c>
      <c r="POQ43">
        <f t="shared" si="215"/>
        <v>0</v>
      </c>
      <c r="POR43">
        <f t="shared" si="215"/>
        <v>0</v>
      </c>
      <c r="POS43">
        <f t="shared" si="215"/>
        <v>0</v>
      </c>
      <c r="POT43">
        <f t="shared" si="215"/>
        <v>0</v>
      </c>
      <c r="POU43">
        <f t="shared" si="215"/>
        <v>0</v>
      </c>
      <c r="POV43">
        <f t="shared" si="215"/>
        <v>0</v>
      </c>
      <c r="POW43">
        <f t="shared" si="215"/>
        <v>0</v>
      </c>
      <c r="POX43">
        <f t="shared" si="215"/>
        <v>0</v>
      </c>
      <c r="POY43">
        <f t="shared" si="215"/>
        <v>0</v>
      </c>
      <c r="POZ43">
        <f t="shared" si="215"/>
        <v>0</v>
      </c>
      <c r="PPA43">
        <f t="shared" si="215"/>
        <v>0</v>
      </c>
      <c r="PPB43">
        <f t="shared" si="215"/>
        <v>0</v>
      </c>
      <c r="PPC43">
        <f t="shared" si="215"/>
        <v>0</v>
      </c>
      <c r="PPD43">
        <f t="shared" si="215"/>
        <v>0</v>
      </c>
      <c r="PPE43">
        <f t="shared" si="215"/>
        <v>0</v>
      </c>
      <c r="PPF43">
        <f t="shared" si="215"/>
        <v>0</v>
      </c>
      <c r="PPG43">
        <f t="shared" si="215"/>
        <v>0</v>
      </c>
      <c r="PPH43">
        <f t="shared" si="215"/>
        <v>0</v>
      </c>
      <c r="PPI43">
        <f t="shared" si="215"/>
        <v>0</v>
      </c>
      <c r="PPJ43">
        <f t="shared" si="215"/>
        <v>0</v>
      </c>
      <c r="PPK43">
        <f t="shared" si="215"/>
        <v>0</v>
      </c>
      <c r="PPL43">
        <f t="shared" si="215"/>
        <v>0</v>
      </c>
      <c r="PPM43">
        <f t="shared" si="215"/>
        <v>0</v>
      </c>
      <c r="PPN43">
        <f t="shared" si="215"/>
        <v>0</v>
      </c>
      <c r="PPO43">
        <f t="shared" si="215"/>
        <v>0</v>
      </c>
      <c r="PPP43">
        <f t="shared" si="215"/>
        <v>0</v>
      </c>
      <c r="PPQ43">
        <f t="shared" si="215"/>
        <v>0</v>
      </c>
      <c r="PPR43">
        <f t="shared" si="215"/>
        <v>0</v>
      </c>
      <c r="PPS43">
        <f t="shared" si="215"/>
        <v>0</v>
      </c>
      <c r="PPT43">
        <f t="shared" si="215"/>
        <v>0</v>
      </c>
      <c r="PPU43">
        <f t="shared" si="215"/>
        <v>0</v>
      </c>
      <c r="PPV43">
        <f t="shared" si="215"/>
        <v>0</v>
      </c>
      <c r="PPW43">
        <f t="shared" si="215"/>
        <v>0</v>
      </c>
      <c r="PPX43">
        <f t="shared" si="215"/>
        <v>0</v>
      </c>
      <c r="PPY43">
        <f t="shared" si="215"/>
        <v>0</v>
      </c>
      <c r="PPZ43">
        <f t="shared" si="215"/>
        <v>0</v>
      </c>
      <c r="PQA43">
        <f t="shared" si="215"/>
        <v>0</v>
      </c>
      <c r="PQB43">
        <f t="shared" si="215"/>
        <v>0</v>
      </c>
      <c r="PQC43">
        <f t="shared" si="215"/>
        <v>0</v>
      </c>
      <c r="PQD43">
        <f t="shared" si="216"/>
        <v>0</v>
      </c>
      <c r="PQE43">
        <f t="shared" si="216"/>
        <v>0</v>
      </c>
      <c r="PQF43">
        <f t="shared" si="216"/>
        <v>0</v>
      </c>
      <c r="PQG43">
        <f t="shared" si="216"/>
        <v>0</v>
      </c>
      <c r="PQH43">
        <f t="shared" si="216"/>
        <v>0</v>
      </c>
      <c r="PQI43">
        <f t="shared" si="216"/>
        <v>0</v>
      </c>
      <c r="PQJ43">
        <f t="shared" si="216"/>
        <v>0</v>
      </c>
      <c r="PQK43">
        <f t="shared" si="216"/>
        <v>0</v>
      </c>
      <c r="PQL43">
        <f t="shared" si="216"/>
        <v>0</v>
      </c>
      <c r="PQM43">
        <f t="shared" si="216"/>
        <v>0</v>
      </c>
      <c r="PQN43">
        <f t="shared" si="216"/>
        <v>0</v>
      </c>
      <c r="PQO43">
        <f t="shared" si="216"/>
        <v>0</v>
      </c>
      <c r="PQP43">
        <f t="shared" si="216"/>
        <v>0</v>
      </c>
      <c r="PQQ43">
        <f t="shared" si="216"/>
        <v>0</v>
      </c>
      <c r="PQR43">
        <f t="shared" si="216"/>
        <v>0</v>
      </c>
      <c r="PQS43">
        <f t="shared" si="216"/>
        <v>0</v>
      </c>
      <c r="PQT43">
        <f t="shared" si="216"/>
        <v>0</v>
      </c>
      <c r="PQU43">
        <f t="shared" si="216"/>
        <v>0</v>
      </c>
      <c r="PQV43">
        <f t="shared" si="216"/>
        <v>0</v>
      </c>
      <c r="PQW43">
        <f t="shared" si="216"/>
        <v>0</v>
      </c>
      <c r="PQX43">
        <f t="shared" si="216"/>
        <v>0</v>
      </c>
      <c r="PQY43">
        <f t="shared" si="216"/>
        <v>0</v>
      </c>
      <c r="PQZ43">
        <f t="shared" si="216"/>
        <v>0</v>
      </c>
      <c r="PRA43">
        <f t="shared" si="216"/>
        <v>0</v>
      </c>
      <c r="PRB43">
        <f t="shared" si="216"/>
        <v>0</v>
      </c>
      <c r="PRC43">
        <f t="shared" si="216"/>
        <v>0</v>
      </c>
      <c r="PRD43">
        <f t="shared" si="216"/>
        <v>0</v>
      </c>
      <c r="PRE43">
        <f t="shared" si="216"/>
        <v>0</v>
      </c>
      <c r="PRF43">
        <f t="shared" si="216"/>
        <v>0</v>
      </c>
      <c r="PRG43">
        <f t="shared" si="216"/>
        <v>0</v>
      </c>
      <c r="PRH43">
        <f t="shared" si="216"/>
        <v>0</v>
      </c>
      <c r="PRI43">
        <f t="shared" si="216"/>
        <v>0</v>
      </c>
      <c r="PRJ43">
        <f t="shared" si="216"/>
        <v>0</v>
      </c>
      <c r="PRK43">
        <f t="shared" si="216"/>
        <v>0</v>
      </c>
      <c r="PRL43">
        <f t="shared" si="216"/>
        <v>0</v>
      </c>
      <c r="PRM43">
        <f t="shared" si="216"/>
        <v>0</v>
      </c>
      <c r="PRN43">
        <f t="shared" si="216"/>
        <v>0</v>
      </c>
      <c r="PRO43">
        <f t="shared" si="216"/>
        <v>0</v>
      </c>
      <c r="PRP43">
        <f t="shared" si="216"/>
        <v>0</v>
      </c>
      <c r="PRQ43">
        <f t="shared" si="216"/>
        <v>0</v>
      </c>
      <c r="PRR43">
        <f t="shared" si="216"/>
        <v>0</v>
      </c>
      <c r="PRS43">
        <f t="shared" si="216"/>
        <v>0</v>
      </c>
      <c r="PRT43">
        <f t="shared" si="216"/>
        <v>0</v>
      </c>
      <c r="PRU43">
        <f t="shared" si="216"/>
        <v>0</v>
      </c>
      <c r="PRV43">
        <f t="shared" si="216"/>
        <v>0</v>
      </c>
      <c r="PRW43">
        <f t="shared" si="216"/>
        <v>0</v>
      </c>
      <c r="PRX43">
        <f t="shared" si="216"/>
        <v>0</v>
      </c>
      <c r="PRY43">
        <f t="shared" si="216"/>
        <v>0</v>
      </c>
      <c r="PRZ43">
        <f t="shared" si="216"/>
        <v>0</v>
      </c>
      <c r="PSA43">
        <f t="shared" si="216"/>
        <v>0</v>
      </c>
      <c r="PSB43">
        <f t="shared" si="216"/>
        <v>0</v>
      </c>
      <c r="PSC43">
        <f t="shared" si="216"/>
        <v>0</v>
      </c>
      <c r="PSD43">
        <f t="shared" si="216"/>
        <v>0</v>
      </c>
      <c r="PSE43">
        <f t="shared" si="216"/>
        <v>0</v>
      </c>
      <c r="PSF43">
        <f t="shared" si="216"/>
        <v>0</v>
      </c>
      <c r="PSG43">
        <f t="shared" si="216"/>
        <v>0</v>
      </c>
      <c r="PSH43">
        <f t="shared" si="216"/>
        <v>0</v>
      </c>
      <c r="PSI43">
        <f t="shared" si="216"/>
        <v>0</v>
      </c>
      <c r="PSJ43">
        <f t="shared" si="216"/>
        <v>0</v>
      </c>
      <c r="PSK43">
        <f t="shared" si="216"/>
        <v>0</v>
      </c>
      <c r="PSL43">
        <f t="shared" si="216"/>
        <v>0</v>
      </c>
      <c r="PSM43">
        <f t="shared" si="216"/>
        <v>0</v>
      </c>
      <c r="PSN43">
        <f t="shared" si="216"/>
        <v>0</v>
      </c>
      <c r="PSO43">
        <f t="shared" si="216"/>
        <v>0</v>
      </c>
      <c r="PSP43">
        <f t="shared" si="217"/>
        <v>0</v>
      </c>
      <c r="PSQ43">
        <f t="shared" si="217"/>
        <v>0</v>
      </c>
      <c r="PSR43">
        <f t="shared" si="217"/>
        <v>0</v>
      </c>
      <c r="PSS43">
        <f t="shared" si="217"/>
        <v>0</v>
      </c>
      <c r="PST43">
        <f t="shared" si="217"/>
        <v>0</v>
      </c>
      <c r="PSU43">
        <f t="shared" si="217"/>
        <v>0</v>
      </c>
      <c r="PSV43">
        <f t="shared" si="217"/>
        <v>0</v>
      </c>
      <c r="PSW43">
        <f t="shared" si="217"/>
        <v>0</v>
      </c>
      <c r="PSX43">
        <f t="shared" si="217"/>
        <v>0</v>
      </c>
      <c r="PSY43">
        <f t="shared" si="217"/>
        <v>0</v>
      </c>
      <c r="PSZ43">
        <f t="shared" si="217"/>
        <v>0</v>
      </c>
      <c r="PTA43">
        <f t="shared" si="217"/>
        <v>0</v>
      </c>
      <c r="PTB43">
        <f t="shared" si="217"/>
        <v>0</v>
      </c>
      <c r="PTC43">
        <f t="shared" si="217"/>
        <v>0</v>
      </c>
      <c r="PTD43">
        <f t="shared" si="217"/>
        <v>0</v>
      </c>
      <c r="PTE43">
        <f t="shared" si="217"/>
        <v>0</v>
      </c>
      <c r="PTF43">
        <f t="shared" si="217"/>
        <v>0</v>
      </c>
      <c r="PTG43">
        <f t="shared" si="217"/>
        <v>0</v>
      </c>
      <c r="PTH43">
        <f t="shared" si="217"/>
        <v>0</v>
      </c>
      <c r="PTI43">
        <f t="shared" si="217"/>
        <v>0</v>
      </c>
      <c r="PTJ43">
        <f t="shared" si="217"/>
        <v>0</v>
      </c>
      <c r="PTK43">
        <f t="shared" si="217"/>
        <v>0</v>
      </c>
      <c r="PTL43">
        <f t="shared" si="217"/>
        <v>0</v>
      </c>
      <c r="PTM43">
        <f t="shared" si="217"/>
        <v>0</v>
      </c>
      <c r="PTN43">
        <f t="shared" si="217"/>
        <v>0</v>
      </c>
      <c r="PTO43">
        <f t="shared" si="217"/>
        <v>0</v>
      </c>
      <c r="PTP43">
        <f t="shared" si="217"/>
        <v>0</v>
      </c>
      <c r="PTQ43">
        <f t="shared" si="217"/>
        <v>0</v>
      </c>
      <c r="PTR43">
        <f t="shared" si="217"/>
        <v>0</v>
      </c>
      <c r="PTS43">
        <f t="shared" si="217"/>
        <v>0</v>
      </c>
      <c r="PTT43">
        <f t="shared" si="217"/>
        <v>0</v>
      </c>
      <c r="PTU43">
        <f t="shared" si="217"/>
        <v>0</v>
      </c>
      <c r="PTV43">
        <f t="shared" si="217"/>
        <v>0</v>
      </c>
      <c r="PTW43">
        <f t="shared" si="217"/>
        <v>0</v>
      </c>
      <c r="PTX43">
        <f t="shared" si="217"/>
        <v>0</v>
      </c>
      <c r="PTY43">
        <f t="shared" si="217"/>
        <v>0</v>
      </c>
      <c r="PTZ43">
        <f t="shared" si="217"/>
        <v>0</v>
      </c>
      <c r="PUA43">
        <f t="shared" si="217"/>
        <v>0</v>
      </c>
      <c r="PUB43">
        <f t="shared" si="217"/>
        <v>0</v>
      </c>
      <c r="PUC43">
        <f t="shared" si="217"/>
        <v>0</v>
      </c>
      <c r="PUD43">
        <f t="shared" si="217"/>
        <v>0</v>
      </c>
      <c r="PUE43">
        <f t="shared" si="217"/>
        <v>0</v>
      </c>
      <c r="PUF43">
        <f t="shared" si="217"/>
        <v>0</v>
      </c>
      <c r="PUG43">
        <f t="shared" si="217"/>
        <v>0</v>
      </c>
      <c r="PUH43">
        <f t="shared" si="217"/>
        <v>0</v>
      </c>
      <c r="PUI43">
        <f t="shared" si="217"/>
        <v>0</v>
      </c>
      <c r="PUJ43">
        <f t="shared" si="217"/>
        <v>0</v>
      </c>
      <c r="PUK43">
        <f t="shared" si="217"/>
        <v>0</v>
      </c>
      <c r="PUL43">
        <f t="shared" si="217"/>
        <v>0</v>
      </c>
      <c r="PUM43">
        <f t="shared" si="217"/>
        <v>0</v>
      </c>
      <c r="PUN43">
        <f t="shared" si="217"/>
        <v>0</v>
      </c>
      <c r="PUO43">
        <f t="shared" si="217"/>
        <v>0</v>
      </c>
      <c r="PUP43">
        <f t="shared" si="217"/>
        <v>0</v>
      </c>
      <c r="PUQ43">
        <f t="shared" si="217"/>
        <v>0</v>
      </c>
      <c r="PUR43">
        <f t="shared" si="217"/>
        <v>0</v>
      </c>
      <c r="PUS43">
        <f t="shared" si="217"/>
        <v>0</v>
      </c>
      <c r="PUT43">
        <f t="shared" si="217"/>
        <v>0</v>
      </c>
      <c r="PUU43">
        <f t="shared" si="217"/>
        <v>0</v>
      </c>
      <c r="PUV43">
        <f t="shared" si="217"/>
        <v>0</v>
      </c>
      <c r="PUW43">
        <f t="shared" si="217"/>
        <v>0</v>
      </c>
      <c r="PUX43">
        <f t="shared" si="217"/>
        <v>0</v>
      </c>
      <c r="PUY43">
        <f t="shared" si="217"/>
        <v>0</v>
      </c>
      <c r="PUZ43">
        <f t="shared" si="217"/>
        <v>0</v>
      </c>
      <c r="PVA43">
        <f t="shared" si="217"/>
        <v>0</v>
      </c>
      <c r="PVB43">
        <f t="shared" si="218"/>
        <v>0</v>
      </c>
      <c r="PVC43">
        <f t="shared" si="218"/>
        <v>0</v>
      </c>
      <c r="PVD43">
        <f t="shared" si="218"/>
        <v>0</v>
      </c>
      <c r="PVE43">
        <f t="shared" si="218"/>
        <v>0</v>
      </c>
      <c r="PVF43">
        <f t="shared" si="218"/>
        <v>0</v>
      </c>
      <c r="PVG43">
        <f t="shared" si="218"/>
        <v>0</v>
      </c>
      <c r="PVH43">
        <f t="shared" si="218"/>
        <v>0</v>
      </c>
      <c r="PVI43">
        <f t="shared" si="218"/>
        <v>0</v>
      </c>
      <c r="PVJ43">
        <f t="shared" si="218"/>
        <v>0</v>
      </c>
      <c r="PVK43">
        <f t="shared" si="218"/>
        <v>0</v>
      </c>
      <c r="PVL43">
        <f t="shared" si="218"/>
        <v>0</v>
      </c>
      <c r="PVM43">
        <f t="shared" si="218"/>
        <v>0</v>
      </c>
      <c r="PVN43">
        <f t="shared" si="218"/>
        <v>0</v>
      </c>
      <c r="PVO43">
        <f t="shared" si="218"/>
        <v>0</v>
      </c>
      <c r="PVP43">
        <f t="shared" si="218"/>
        <v>0</v>
      </c>
      <c r="PVQ43">
        <f t="shared" si="218"/>
        <v>0</v>
      </c>
      <c r="PVR43">
        <f t="shared" si="218"/>
        <v>0</v>
      </c>
      <c r="PVS43">
        <f t="shared" si="218"/>
        <v>0</v>
      </c>
      <c r="PVT43">
        <f t="shared" si="218"/>
        <v>0</v>
      </c>
      <c r="PVU43">
        <f t="shared" si="218"/>
        <v>0</v>
      </c>
      <c r="PVV43">
        <f t="shared" si="218"/>
        <v>0</v>
      </c>
      <c r="PVW43">
        <f t="shared" si="218"/>
        <v>0</v>
      </c>
      <c r="PVX43">
        <f t="shared" si="218"/>
        <v>0</v>
      </c>
      <c r="PVY43">
        <f t="shared" si="218"/>
        <v>0</v>
      </c>
      <c r="PVZ43">
        <f t="shared" si="218"/>
        <v>0</v>
      </c>
      <c r="PWA43">
        <f t="shared" si="218"/>
        <v>0</v>
      </c>
      <c r="PWB43">
        <f t="shared" si="218"/>
        <v>0</v>
      </c>
      <c r="PWC43">
        <f t="shared" si="218"/>
        <v>0</v>
      </c>
      <c r="PWD43">
        <f t="shared" si="218"/>
        <v>0</v>
      </c>
      <c r="PWE43">
        <f t="shared" si="218"/>
        <v>0</v>
      </c>
      <c r="PWF43">
        <f t="shared" si="218"/>
        <v>0</v>
      </c>
      <c r="PWG43">
        <f t="shared" si="218"/>
        <v>0</v>
      </c>
      <c r="PWH43">
        <f t="shared" si="218"/>
        <v>0</v>
      </c>
      <c r="PWI43">
        <f t="shared" si="218"/>
        <v>0</v>
      </c>
      <c r="PWJ43">
        <f t="shared" si="218"/>
        <v>0</v>
      </c>
      <c r="PWK43">
        <f t="shared" si="218"/>
        <v>0</v>
      </c>
      <c r="PWL43">
        <f t="shared" si="218"/>
        <v>0</v>
      </c>
      <c r="PWM43">
        <f t="shared" si="218"/>
        <v>0</v>
      </c>
      <c r="PWN43">
        <f t="shared" si="218"/>
        <v>0</v>
      </c>
      <c r="PWO43">
        <f t="shared" si="218"/>
        <v>0</v>
      </c>
      <c r="PWP43">
        <f t="shared" si="218"/>
        <v>0</v>
      </c>
      <c r="PWQ43">
        <f t="shared" si="218"/>
        <v>0</v>
      </c>
      <c r="PWR43">
        <f t="shared" si="218"/>
        <v>0</v>
      </c>
      <c r="PWS43">
        <f t="shared" si="218"/>
        <v>0</v>
      </c>
      <c r="PWT43">
        <f t="shared" si="218"/>
        <v>0</v>
      </c>
      <c r="PWU43">
        <f t="shared" si="218"/>
        <v>0</v>
      </c>
      <c r="PWV43">
        <f t="shared" si="218"/>
        <v>0</v>
      </c>
      <c r="PWW43">
        <f t="shared" si="218"/>
        <v>0</v>
      </c>
      <c r="PWX43">
        <f t="shared" si="218"/>
        <v>0</v>
      </c>
      <c r="PWY43">
        <f t="shared" si="218"/>
        <v>0</v>
      </c>
      <c r="PWZ43">
        <f t="shared" si="218"/>
        <v>0</v>
      </c>
      <c r="PXA43">
        <f t="shared" si="218"/>
        <v>0</v>
      </c>
      <c r="PXB43">
        <f t="shared" si="218"/>
        <v>0</v>
      </c>
      <c r="PXC43">
        <f t="shared" si="218"/>
        <v>0</v>
      </c>
      <c r="PXD43">
        <f t="shared" si="218"/>
        <v>0</v>
      </c>
      <c r="PXE43">
        <f t="shared" si="218"/>
        <v>0</v>
      </c>
      <c r="PXF43">
        <f t="shared" si="218"/>
        <v>0</v>
      </c>
      <c r="PXG43">
        <f t="shared" si="218"/>
        <v>0</v>
      </c>
      <c r="PXH43">
        <f t="shared" si="218"/>
        <v>0</v>
      </c>
      <c r="PXI43">
        <f t="shared" si="218"/>
        <v>0</v>
      </c>
      <c r="PXJ43">
        <f t="shared" si="218"/>
        <v>0</v>
      </c>
      <c r="PXK43">
        <f t="shared" si="218"/>
        <v>0</v>
      </c>
      <c r="PXL43">
        <f t="shared" si="218"/>
        <v>0</v>
      </c>
      <c r="PXM43">
        <f t="shared" si="218"/>
        <v>0</v>
      </c>
      <c r="PXN43">
        <f t="shared" si="219"/>
        <v>0</v>
      </c>
      <c r="PXO43">
        <f t="shared" si="219"/>
        <v>0</v>
      </c>
      <c r="PXP43">
        <f t="shared" si="219"/>
        <v>0</v>
      </c>
      <c r="PXQ43">
        <f t="shared" si="219"/>
        <v>0</v>
      </c>
      <c r="PXR43">
        <f t="shared" si="219"/>
        <v>0</v>
      </c>
      <c r="PXS43">
        <f t="shared" si="219"/>
        <v>0</v>
      </c>
      <c r="PXT43">
        <f t="shared" si="219"/>
        <v>0</v>
      </c>
      <c r="PXU43">
        <f t="shared" si="219"/>
        <v>0</v>
      </c>
      <c r="PXV43">
        <f t="shared" si="219"/>
        <v>0</v>
      </c>
      <c r="PXW43">
        <f t="shared" si="219"/>
        <v>0</v>
      </c>
      <c r="PXX43">
        <f t="shared" si="219"/>
        <v>0</v>
      </c>
      <c r="PXY43">
        <f t="shared" si="219"/>
        <v>0</v>
      </c>
      <c r="PXZ43">
        <f t="shared" si="219"/>
        <v>0</v>
      </c>
      <c r="PYA43">
        <f t="shared" si="219"/>
        <v>0</v>
      </c>
      <c r="PYB43">
        <f t="shared" si="219"/>
        <v>0</v>
      </c>
      <c r="PYC43">
        <f t="shared" si="219"/>
        <v>0</v>
      </c>
      <c r="PYD43">
        <f t="shared" si="219"/>
        <v>0</v>
      </c>
      <c r="PYE43">
        <f t="shared" si="219"/>
        <v>0</v>
      </c>
      <c r="PYF43">
        <f t="shared" si="219"/>
        <v>0</v>
      </c>
      <c r="PYG43">
        <f t="shared" si="219"/>
        <v>0</v>
      </c>
      <c r="PYH43">
        <f t="shared" si="219"/>
        <v>0</v>
      </c>
      <c r="PYI43">
        <f t="shared" si="219"/>
        <v>0</v>
      </c>
      <c r="PYJ43">
        <f t="shared" si="219"/>
        <v>0</v>
      </c>
      <c r="PYK43">
        <f t="shared" si="219"/>
        <v>0</v>
      </c>
      <c r="PYL43">
        <f t="shared" si="219"/>
        <v>0</v>
      </c>
      <c r="PYM43">
        <f t="shared" si="219"/>
        <v>0</v>
      </c>
      <c r="PYN43">
        <f t="shared" si="219"/>
        <v>0</v>
      </c>
      <c r="PYO43">
        <f t="shared" si="219"/>
        <v>0</v>
      </c>
      <c r="PYP43">
        <f t="shared" si="219"/>
        <v>0</v>
      </c>
      <c r="PYQ43">
        <f t="shared" si="219"/>
        <v>0</v>
      </c>
      <c r="PYR43">
        <f t="shared" si="219"/>
        <v>0</v>
      </c>
      <c r="PYS43">
        <f t="shared" si="219"/>
        <v>0</v>
      </c>
      <c r="PYT43">
        <f t="shared" si="219"/>
        <v>0</v>
      </c>
      <c r="PYU43">
        <f t="shared" si="219"/>
        <v>0</v>
      </c>
      <c r="PYV43">
        <f t="shared" si="219"/>
        <v>0</v>
      </c>
      <c r="PYW43">
        <f t="shared" si="219"/>
        <v>0</v>
      </c>
      <c r="PYX43">
        <f t="shared" si="219"/>
        <v>0</v>
      </c>
      <c r="PYY43">
        <f t="shared" si="219"/>
        <v>0</v>
      </c>
      <c r="PYZ43">
        <f t="shared" si="219"/>
        <v>0</v>
      </c>
      <c r="PZA43">
        <f t="shared" si="219"/>
        <v>0</v>
      </c>
      <c r="PZB43">
        <f t="shared" si="219"/>
        <v>0</v>
      </c>
      <c r="PZC43">
        <f t="shared" si="219"/>
        <v>0</v>
      </c>
      <c r="PZD43">
        <f t="shared" si="219"/>
        <v>0</v>
      </c>
      <c r="PZE43">
        <f t="shared" si="219"/>
        <v>0</v>
      </c>
      <c r="PZF43">
        <f t="shared" si="219"/>
        <v>0</v>
      </c>
      <c r="PZG43">
        <f t="shared" si="219"/>
        <v>0</v>
      </c>
      <c r="PZH43">
        <f t="shared" si="219"/>
        <v>0</v>
      </c>
      <c r="PZI43">
        <f t="shared" si="219"/>
        <v>0</v>
      </c>
      <c r="PZJ43">
        <f t="shared" si="219"/>
        <v>0</v>
      </c>
      <c r="PZK43">
        <f t="shared" si="219"/>
        <v>0</v>
      </c>
      <c r="PZL43">
        <f t="shared" si="219"/>
        <v>0</v>
      </c>
      <c r="PZM43">
        <f t="shared" si="219"/>
        <v>0</v>
      </c>
      <c r="PZN43">
        <f t="shared" si="219"/>
        <v>0</v>
      </c>
      <c r="PZO43">
        <f t="shared" si="219"/>
        <v>0</v>
      </c>
      <c r="PZP43">
        <f t="shared" si="219"/>
        <v>0</v>
      </c>
      <c r="PZQ43">
        <f t="shared" si="219"/>
        <v>0</v>
      </c>
      <c r="PZR43">
        <f t="shared" si="219"/>
        <v>0</v>
      </c>
      <c r="PZS43">
        <f t="shared" si="219"/>
        <v>0</v>
      </c>
      <c r="PZT43">
        <f t="shared" si="219"/>
        <v>0</v>
      </c>
      <c r="PZU43">
        <f t="shared" si="219"/>
        <v>0</v>
      </c>
      <c r="PZV43">
        <f t="shared" si="219"/>
        <v>0</v>
      </c>
      <c r="PZW43">
        <f t="shared" si="219"/>
        <v>0</v>
      </c>
      <c r="PZX43">
        <f t="shared" si="219"/>
        <v>0</v>
      </c>
      <c r="PZY43">
        <f t="shared" si="219"/>
        <v>0</v>
      </c>
      <c r="PZZ43">
        <f t="shared" si="220"/>
        <v>0</v>
      </c>
      <c r="QAA43">
        <f t="shared" si="220"/>
        <v>0</v>
      </c>
      <c r="QAB43">
        <f t="shared" si="220"/>
        <v>0</v>
      </c>
      <c r="QAC43">
        <f t="shared" si="220"/>
        <v>0</v>
      </c>
      <c r="QAD43">
        <f t="shared" si="220"/>
        <v>0</v>
      </c>
      <c r="QAE43">
        <f t="shared" si="220"/>
        <v>0</v>
      </c>
      <c r="QAF43">
        <f t="shared" si="220"/>
        <v>0</v>
      </c>
      <c r="QAG43">
        <f t="shared" si="220"/>
        <v>0</v>
      </c>
      <c r="QAH43">
        <f t="shared" si="220"/>
        <v>0</v>
      </c>
      <c r="QAI43">
        <f t="shared" si="220"/>
        <v>0</v>
      </c>
      <c r="QAJ43">
        <f t="shared" si="220"/>
        <v>0</v>
      </c>
      <c r="QAK43">
        <f t="shared" si="220"/>
        <v>0</v>
      </c>
      <c r="QAL43">
        <f t="shared" si="220"/>
        <v>0</v>
      </c>
      <c r="QAM43">
        <f t="shared" si="220"/>
        <v>0</v>
      </c>
      <c r="QAN43">
        <f t="shared" si="220"/>
        <v>0</v>
      </c>
      <c r="QAO43">
        <f t="shared" si="220"/>
        <v>0</v>
      </c>
      <c r="QAP43">
        <f t="shared" si="220"/>
        <v>0</v>
      </c>
      <c r="QAQ43">
        <f t="shared" si="220"/>
        <v>0</v>
      </c>
      <c r="QAR43">
        <f t="shared" si="220"/>
        <v>0</v>
      </c>
      <c r="QAS43">
        <f t="shared" si="220"/>
        <v>0</v>
      </c>
      <c r="QAT43">
        <f t="shared" si="220"/>
        <v>0</v>
      </c>
      <c r="QAU43">
        <f t="shared" si="220"/>
        <v>0</v>
      </c>
      <c r="QAV43">
        <f t="shared" si="220"/>
        <v>0</v>
      </c>
      <c r="QAW43">
        <f t="shared" si="220"/>
        <v>0</v>
      </c>
      <c r="QAX43">
        <f t="shared" si="220"/>
        <v>0</v>
      </c>
      <c r="QAY43">
        <f t="shared" si="220"/>
        <v>0</v>
      </c>
      <c r="QAZ43">
        <f t="shared" si="220"/>
        <v>0</v>
      </c>
      <c r="QBA43">
        <f t="shared" si="220"/>
        <v>0</v>
      </c>
      <c r="QBB43">
        <f t="shared" si="220"/>
        <v>0</v>
      </c>
      <c r="QBC43">
        <f t="shared" si="220"/>
        <v>0</v>
      </c>
      <c r="QBD43">
        <f t="shared" si="220"/>
        <v>0</v>
      </c>
      <c r="QBE43">
        <f t="shared" si="220"/>
        <v>0</v>
      </c>
      <c r="QBF43">
        <f t="shared" si="220"/>
        <v>0</v>
      </c>
      <c r="QBG43">
        <f t="shared" si="220"/>
        <v>0</v>
      </c>
      <c r="QBH43">
        <f t="shared" si="220"/>
        <v>0</v>
      </c>
      <c r="QBI43">
        <f t="shared" si="220"/>
        <v>0</v>
      </c>
      <c r="QBJ43">
        <f t="shared" si="220"/>
        <v>0</v>
      </c>
      <c r="QBK43">
        <f t="shared" si="220"/>
        <v>0</v>
      </c>
      <c r="QBL43">
        <f t="shared" si="220"/>
        <v>0</v>
      </c>
      <c r="QBM43">
        <f t="shared" si="220"/>
        <v>0</v>
      </c>
      <c r="QBN43">
        <f t="shared" si="220"/>
        <v>0</v>
      </c>
      <c r="QBO43">
        <f t="shared" si="220"/>
        <v>0</v>
      </c>
      <c r="QBP43">
        <f t="shared" si="220"/>
        <v>0</v>
      </c>
      <c r="QBQ43">
        <f t="shared" si="220"/>
        <v>0</v>
      </c>
      <c r="QBR43">
        <f t="shared" si="220"/>
        <v>0</v>
      </c>
      <c r="QBS43">
        <f t="shared" si="220"/>
        <v>0</v>
      </c>
      <c r="QBT43">
        <f t="shared" si="220"/>
        <v>0</v>
      </c>
      <c r="QBU43">
        <f t="shared" si="220"/>
        <v>0</v>
      </c>
      <c r="QBV43">
        <f t="shared" si="220"/>
        <v>0</v>
      </c>
      <c r="QBW43">
        <f t="shared" si="220"/>
        <v>0</v>
      </c>
      <c r="QBX43">
        <f t="shared" si="220"/>
        <v>0</v>
      </c>
      <c r="QBY43">
        <f t="shared" si="220"/>
        <v>0</v>
      </c>
      <c r="QBZ43">
        <f t="shared" si="220"/>
        <v>0</v>
      </c>
      <c r="QCA43">
        <f t="shared" si="220"/>
        <v>0</v>
      </c>
      <c r="QCB43">
        <f t="shared" si="220"/>
        <v>0</v>
      </c>
      <c r="QCC43">
        <f t="shared" si="220"/>
        <v>0</v>
      </c>
      <c r="QCD43">
        <f t="shared" si="220"/>
        <v>0</v>
      </c>
      <c r="QCE43">
        <f t="shared" si="220"/>
        <v>0</v>
      </c>
      <c r="QCF43">
        <f t="shared" si="220"/>
        <v>0</v>
      </c>
      <c r="QCG43">
        <f t="shared" si="220"/>
        <v>0</v>
      </c>
      <c r="QCH43">
        <f t="shared" si="220"/>
        <v>0</v>
      </c>
      <c r="QCI43">
        <f t="shared" si="220"/>
        <v>0</v>
      </c>
      <c r="QCJ43">
        <f t="shared" si="220"/>
        <v>0</v>
      </c>
      <c r="QCK43">
        <f t="shared" si="220"/>
        <v>0</v>
      </c>
      <c r="QCL43">
        <f t="shared" si="221"/>
        <v>0</v>
      </c>
      <c r="QCM43">
        <f t="shared" si="221"/>
        <v>0</v>
      </c>
      <c r="QCN43">
        <f t="shared" si="221"/>
        <v>0</v>
      </c>
      <c r="QCO43">
        <f t="shared" si="221"/>
        <v>0</v>
      </c>
      <c r="QCP43">
        <f t="shared" si="221"/>
        <v>0</v>
      </c>
      <c r="QCQ43">
        <f t="shared" si="221"/>
        <v>0</v>
      </c>
      <c r="QCR43">
        <f t="shared" si="221"/>
        <v>0</v>
      </c>
      <c r="QCS43">
        <f t="shared" si="221"/>
        <v>0</v>
      </c>
      <c r="QCT43">
        <f t="shared" si="221"/>
        <v>0</v>
      </c>
      <c r="QCU43">
        <f t="shared" si="221"/>
        <v>0</v>
      </c>
      <c r="QCV43">
        <f t="shared" si="221"/>
        <v>0</v>
      </c>
      <c r="QCW43">
        <f t="shared" si="221"/>
        <v>0</v>
      </c>
      <c r="QCX43">
        <f t="shared" si="221"/>
        <v>0</v>
      </c>
      <c r="QCY43">
        <f t="shared" si="221"/>
        <v>0</v>
      </c>
      <c r="QCZ43">
        <f t="shared" si="221"/>
        <v>0</v>
      </c>
      <c r="QDA43">
        <f t="shared" si="221"/>
        <v>0</v>
      </c>
      <c r="QDB43">
        <f t="shared" si="221"/>
        <v>0</v>
      </c>
      <c r="QDC43">
        <f t="shared" si="221"/>
        <v>0</v>
      </c>
      <c r="QDD43">
        <f t="shared" si="221"/>
        <v>0</v>
      </c>
      <c r="QDE43">
        <f t="shared" si="221"/>
        <v>0</v>
      </c>
      <c r="QDF43">
        <f t="shared" si="221"/>
        <v>0</v>
      </c>
      <c r="QDG43">
        <f t="shared" si="221"/>
        <v>0</v>
      </c>
      <c r="QDH43">
        <f t="shared" si="221"/>
        <v>0</v>
      </c>
      <c r="QDI43">
        <f t="shared" si="221"/>
        <v>0</v>
      </c>
      <c r="QDJ43">
        <f t="shared" si="221"/>
        <v>0</v>
      </c>
      <c r="QDK43">
        <f t="shared" si="221"/>
        <v>0</v>
      </c>
      <c r="QDL43">
        <f t="shared" si="221"/>
        <v>0</v>
      </c>
      <c r="QDM43">
        <f t="shared" si="221"/>
        <v>0</v>
      </c>
      <c r="QDN43">
        <f t="shared" si="221"/>
        <v>0</v>
      </c>
      <c r="QDO43">
        <f t="shared" si="221"/>
        <v>0</v>
      </c>
      <c r="QDP43">
        <f t="shared" si="221"/>
        <v>0</v>
      </c>
      <c r="QDQ43">
        <f t="shared" si="221"/>
        <v>0</v>
      </c>
      <c r="QDR43">
        <f t="shared" si="221"/>
        <v>0</v>
      </c>
      <c r="QDS43">
        <f t="shared" si="221"/>
        <v>0</v>
      </c>
      <c r="QDT43">
        <f t="shared" si="221"/>
        <v>0</v>
      </c>
      <c r="QDU43">
        <f t="shared" si="221"/>
        <v>0</v>
      </c>
      <c r="QDV43">
        <f t="shared" si="221"/>
        <v>0</v>
      </c>
      <c r="QDW43">
        <f t="shared" si="221"/>
        <v>0</v>
      </c>
      <c r="QDX43">
        <f t="shared" si="221"/>
        <v>0</v>
      </c>
      <c r="QDY43">
        <f t="shared" si="221"/>
        <v>0</v>
      </c>
      <c r="QDZ43">
        <f t="shared" si="221"/>
        <v>0</v>
      </c>
      <c r="QEA43">
        <f t="shared" si="221"/>
        <v>0</v>
      </c>
      <c r="QEB43">
        <f t="shared" si="221"/>
        <v>0</v>
      </c>
      <c r="QEC43">
        <f t="shared" si="221"/>
        <v>0</v>
      </c>
      <c r="QED43">
        <f t="shared" si="221"/>
        <v>0</v>
      </c>
      <c r="QEE43">
        <f t="shared" si="221"/>
        <v>0</v>
      </c>
      <c r="QEF43">
        <f t="shared" si="221"/>
        <v>0</v>
      </c>
      <c r="QEG43">
        <f t="shared" si="221"/>
        <v>0</v>
      </c>
      <c r="QEH43">
        <f t="shared" si="221"/>
        <v>0</v>
      </c>
      <c r="QEI43">
        <f t="shared" si="221"/>
        <v>0</v>
      </c>
      <c r="QEJ43">
        <f t="shared" si="221"/>
        <v>0</v>
      </c>
      <c r="QEK43">
        <f t="shared" si="221"/>
        <v>0</v>
      </c>
      <c r="QEL43">
        <f t="shared" si="221"/>
        <v>0</v>
      </c>
      <c r="QEM43">
        <f t="shared" si="221"/>
        <v>0</v>
      </c>
      <c r="QEN43">
        <f t="shared" si="221"/>
        <v>0</v>
      </c>
      <c r="QEO43">
        <f t="shared" si="221"/>
        <v>0</v>
      </c>
      <c r="QEP43">
        <f t="shared" si="221"/>
        <v>0</v>
      </c>
      <c r="QEQ43">
        <f t="shared" si="221"/>
        <v>0</v>
      </c>
      <c r="QER43">
        <f t="shared" si="221"/>
        <v>0</v>
      </c>
      <c r="QES43">
        <f t="shared" si="221"/>
        <v>0</v>
      </c>
      <c r="QET43">
        <f t="shared" si="221"/>
        <v>0</v>
      </c>
      <c r="QEU43">
        <f t="shared" si="221"/>
        <v>0</v>
      </c>
      <c r="QEV43">
        <f t="shared" si="221"/>
        <v>0</v>
      </c>
      <c r="QEW43">
        <f t="shared" si="221"/>
        <v>0</v>
      </c>
      <c r="QEX43">
        <f t="shared" si="222"/>
        <v>0</v>
      </c>
      <c r="QEY43">
        <f t="shared" si="222"/>
        <v>0</v>
      </c>
      <c r="QEZ43">
        <f t="shared" si="222"/>
        <v>0</v>
      </c>
      <c r="QFA43">
        <f t="shared" si="222"/>
        <v>0</v>
      </c>
      <c r="QFB43">
        <f t="shared" si="222"/>
        <v>0</v>
      </c>
      <c r="QFC43">
        <f t="shared" si="222"/>
        <v>0</v>
      </c>
      <c r="QFD43">
        <f t="shared" si="222"/>
        <v>0</v>
      </c>
      <c r="QFE43">
        <f t="shared" si="222"/>
        <v>0</v>
      </c>
      <c r="QFF43">
        <f t="shared" si="222"/>
        <v>0</v>
      </c>
      <c r="QFG43">
        <f t="shared" si="222"/>
        <v>0</v>
      </c>
      <c r="QFH43">
        <f t="shared" si="222"/>
        <v>0</v>
      </c>
      <c r="QFI43">
        <f t="shared" si="222"/>
        <v>0</v>
      </c>
      <c r="QFJ43">
        <f t="shared" si="222"/>
        <v>0</v>
      </c>
      <c r="QFK43">
        <f t="shared" si="222"/>
        <v>0</v>
      </c>
      <c r="QFL43">
        <f t="shared" si="222"/>
        <v>0</v>
      </c>
      <c r="QFM43">
        <f t="shared" si="222"/>
        <v>0</v>
      </c>
      <c r="QFN43">
        <f t="shared" si="222"/>
        <v>0</v>
      </c>
      <c r="QFO43">
        <f t="shared" si="222"/>
        <v>0</v>
      </c>
      <c r="QFP43">
        <f t="shared" si="222"/>
        <v>0</v>
      </c>
      <c r="QFQ43">
        <f t="shared" si="222"/>
        <v>0</v>
      </c>
      <c r="QFR43">
        <f t="shared" si="222"/>
        <v>0</v>
      </c>
      <c r="QFS43">
        <f t="shared" si="222"/>
        <v>0</v>
      </c>
      <c r="QFT43">
        <f t="shared" si="222"/>
        <v>0</v>
      </c>
      <c r="QFU43">
        <f t="shared" si="222"/>
        <v>0</v>
      </c>
      <c r="QFV43">
        <f t="shared" si="222"/>
        <v>0</v>
      </c>
      <c r="QFW43">
        <f t="shared" si="222"/>
        <v>0</v>
      </c>
      <c r="QFX43">
        <f t="shared" si="222"/>
        <v>0</v>
      </c>
      <c r="QFY43">
        <f t="shared" si="222"/>
        <v>0</v>
      </c>
      <c r="QFZ43">
        <f t="shared" si="222"/>
        <v>0</v>
      </c>
      <c r="QGA43">
        <f t="shared" si="222"/>
        <v>0</v>
      </c>
      <c r="QGB43">
        <f t="shared" si="222"/>
        <v>0</v>
      </c>
      <c r="QGC43">
        <f t="shared" si="222"/>
        <v>0</v>
      </c>
      <c r="QGD43">
        <f t="shared" si="222"/>
        <v>0</v>
      </c>
      <c r="QGE43">
        <f t="shared" si="222"/>
        <v>0</v>
      </c>
      <c r="QGF43">
        <f t="shared" si="222"/>
        <v>0</v>
      </c>
      <c r="QGG43">
        <f t="shared" si="222"/>
        <v>0</v>
      </c>
      <c r="QGH43">
        <f t="shared" si="222"/>
        <v>0</v>
      </c>
      <c r="QGI43">
        <f t="shared" si="222"/>
        <v>0</v>
      </c>
      <c r="QGJ43">
        <f t="shared" si="222"/>
        <v>0</v>
      </c>
      <c r="QGK43">
        <f t="shared" si="222"/>
        <v>0</v>
      </c>
      <c r="QGL43">
        <f t="shared" si="222"/>
        <v>0</v>
      </c>
      <c r="QGM43">
        <f t="shared" si="222"/>
        <v>0</v>
      </c>
      <c r="QGN43">
        <f t="shared" si="222"/>
        <v>0</v>
      </c>
      <c r="QGO43">
        <f t="shared" si="222"/>
        <v>0</v>
      </c>
      <c r="QGP43">
        <f t="shared" si="222"/>
        <v>0</v>
      </c>
      <c r="QGQ43">
        <f t="shared" si="222"/>
        <v>0</v>
      </c>
      <c r="QGR43">
        <f t="shared" si="222"/>
        <v>0</v>
      </c>
      <c r="QGS43">
        <f t="shared" si="222"/>
        <v>0</v>
      </c>
      <c r="QGT43">
        <f t="shared" si="222"/>
        <v>0</v>
      </c>
      <c r="QGU43">
        <f t="shared" si="222"/>
        <v>0</v>
      </c>
      <c r="QGV43">
        <f t="shared" si="222"/>
        <v>0</v>
      </c>
      <c r="QGW43">
        <f t="shared" si="222"/>
        <v>0</v>
      </c>
      <c r="QGX43">
        <f t="shared" si="222"/>
        <v>0</v>
      </c>
      <c r="QGY43">
        <f t="shared" si="222"/>
        <v>0</v>
      </c>
      <c r="QGZ43">
        <f t="shared" si="222"/>
        <v>0</v>
      </c>
      <c r="QHA43">
        <f t="shared" si="222"/>
        <v>0</v>
      </c>
      <c r="QHB43">
        <f t="shared" si="222"/>
        <v>0</v>
      </c>
      <c r="QHC43">
        <f t="shared" si="222"/>
        <v>0</v>
      </c>
      <c r="QHD43">
        <f t="shared" si="222"/>
        <v>0</v>
      </c>
      <c r="QHE43">
        <f t="shared" si="222"/>
        <v>0</v>
      </c>
      <c r="QHF43">
        <f t="shared" si="222"/>
        <v>0</v>
      </c>
      <c r="QHG43">
        <f t="shared" si="222"/>
        <v>0</v>
      </c>
      <c r="QHH43">
        <f t="shared" si="222"/>
        <v>0</v>
      </c>
      <c r="QHI43">
        <f t="shared" si="222"/>
        <v>0</v>
      </c>
      <c r="QHJ43">
        <f t="shared" si="223"/>
        <v>0</v>
      </c>
      <c r="QHK43">
        <f t="shared" si="223"/>
        <v>0</v>
      </c>
      <c r="QHL43">
        <f t="shared" si="223"/>
        <v>0</v>
      </c>
      <c r="QHM43">
        <f t="shared" si="223"/>
        <v>0</v>
      </c>
      <c r="QHN43">
        <f t="shared" si="223"/>
        <v>0</v>
      </c>
      <c r="QHO43">
        <f t="shared" si="223"/>
        <v>0</v>
      </c>
      <c r="QHP43">
        <f t="shared" si="223"/>
        <v>0</v>
      </c>
      <c r="QHQ43">
        <f t="shared" si="223"/>
        <v>0</v>
      </c>
      <c r="QHR43">
        <f t="shared" si="223"/>
        <v>0</v>
      </c>
      <c r="QHS43">
        <f t="shared" si="223"/>
        <v>0</v>
      </c>
      <c r="QHT43">
        <f t="shared" si="223"/>
        <v>0</v>
      </c>
      <c r="QHU43">
        <f t="shared" si="223"/>
        <v>0</v>
      </c>
      <c r="QHV43">
        <f t="shared" si="223"/>
        <v>0</v>
      </c>
      <c r="QHW43">
        <f t="shared" si="223"/>
        <v>0</v>
      </c>
      <c r="QHX43">
        <f t="shared" si="223"/>
        <v>0</v>
      </c>
      <c r="QHY43">
        <f t="shared" si="223"/>
        <v>0</v>
      </c>
      <c r="QHZ43">
        <f t="shared" si="223"/>
        <v>0</v>
      </c>
      <c r="QIA43">
        <f t="shared" si="223"/>
        <v>0</v>
      </c>
      <c r="QIB43">
        <f t="shared" si="223"/>
        <v>0</v>
      </c>
      <c r="QIC43">
        <f t="shared" si="223"/>
        <v>0</v>
      </c>
      <c r="QID43">
        <f t="shared" si="223"/>
        <v>0</v>
      </c>
      <c r="QIE43">
        <f t="shared" si="223"/>
        <v>0</v>
      </c>
      <c r="QIF43">
        <f t="shared" si="223"/>
        <v>0</v>
      </c>
      <c r="QIG43">
        <f t="shared" si="223"/>
        <v>0</v>
      </c>
      <c r="QIH43">
        <f t="shared" si="223"/>
        <v>0</v>
      </c>
      <c r="QII43">
        <f t="shared" si="223"/>
        <v>0</v>
      </c>
      <c r="QIJ43">
        <f t="shared" si="223"/>
        <v>0</v>
      </c>
      <c r="QIK43">
        <f t="shared" si="223"/>
        <v>0</v>
      </c>
      <c r="QIL43">
        <f t="shared" si="223"/>
        <v>0</v>
      </c>
      <c r="QIM43">
        <f t="shared" si="223"/>
        <v>0</v>
      </c>
      <c r="QIN43">
        <f t="shared" si="223"/>
        <v>0</v>
      </c>
      <c r="QIO43">
        <f t="shared" si="223"/>
        <v>0</v>
      </c>
      <c r="QIP43">
        <f t="shared" si="223"/>
        <v>0</v>
      </c>
      <c r="QIQ43">
        <f t="shared" si="223"/>
        <v>0</v>
      </c>
      <c r="QIR43">
        <f t="shared" si="223"/>
        <v>0</v>
      </c>
      <c r="QIS43">
        <f t="shared" si="223"/>
        <v>0</v>
      </c>
      <c r="QIT43">
        <f t="shared" si="223"/>
        <v>0</v>
      </c>
      <c r="QIU43">
        <f t="shared" si="223"/>
        <v>0</v>
      </c>
      <c r="QIV43">
        <f t="shared" si="223"/>
        <v>0</v>
      </c>
      <c r="QIW43">
        <f t="shared" si="223"/>
        <v>0</v>
      </c>
      <c r="QIX43">
        <f t="shared" si="223"/>
        <v>0</v>
      </c>
      <c r="QIY43">
        <f t="shared" si="223"/>
        <v>0</v>
      </c>
      <c r="QIZ43">
        <f t="shared" si="223"/>
        <v>0</v>
      </c>
      <c r="QJA43">
        <f t="shared" si="223"/>
        <v>0</v>
      </c>
      <c r="QJB43">
        <f t="shared" si="223"/>
        <v>0</v>
      </c>
      <c r="QJC43">
        <f t="shared" si="223"/>
        <v>0</v>
      </c>
      <c r="QJD43">
        <f t="shared" si="223"/>
        <v>0</v>
      </c>
      <c r="QJE43">
        <f t="shared" si="223"/>
        <v>0</v>
      </c>
      <c r="QJF43">
        <f t="shared" si="223"/>
        <v>0</v>
      </c>
      <c r="QJG43">
        <f t="shared" si="223"/>
        <v>0</v>
      </c>
      <c r="QJH43">
        <f t="shared" si="223"/>
        <v>0</v>
      </c>
      <c r="QJI43">
        <f t="shared" si="223"/>
        <v>0</v>
      </c>
      <c r="QJJ43">
        <f t="shared" si="223"/>
        <v>0</v>
      </c>
      <c r="QJK43">
        <f t="shared" si="223"/>
        <v>0</v>
      </c>
      <c r="QJL43">
        <f t="shared" si="223"/>
        <v>0</v>
      </c>
      <c r="QJM43">
        <f t="shared" si="223"/>
        <v>0</v>
      </c>
      <c r="QJN43">
        <f t="shared" si="223"/>
        <v>0</v>
      </c>
      <c r="QJO43">
        <f t="shared" si="223"/>
        <v>0</v>
      </c>
      <c r="QJP43">
        <f t="shared" si="223"/>
        <v>0</v>
      </c>
      <c r="QJQ43">
        <f t="shared" si="223"/>
        <v>0</v>
      </c>
      <c r="QJR43">
        <f t="shared" si="223"/>
        <v>0</v>
      </c>
      <c r="QJS43">
        <f t="shared" si="223"/>
        <v>0</v>
      </c>
      <c r="QJT43">
        <f t="shared" si="223"/>
        <v>0</v>
      </c>
      <c r="QJU43">
        <f t="shared" si="223"/>
        <v>0</v>
      </c>
      <c r="QJV43">
        <f t="shared" si="224"/>
        <v>0</v>
      </c>
      <c r="QJW43">
        <f t="shared" si="224"/>
        <v>0</v>
      </c>
      <c r="QJX43">
        <f t="shared" si="224"/>
        <v>0</v>
      </c>
      <c r="QJY43">
        <f t="shared" si="224"/>
        <v>0</v>
      </c>
      <c r="QJZ43">
        <f t="shared" si="224"/>
        <v>0</v>
      </c>
      <c r="QKA43">
        <f t="shared" si="224"/>
        <v>0</v>
      </c>
      <c r="QKB43">
        <f t="shared" si="224"/>
        <v>0</v>
      </c>
      <c r="QKC43">
        <f t="shared" si="224"/>
        <v>0</v>
      </c>
      <c r="QKD43">
        <f t="shared" si="224"/>
        <v>0</v>
      </c>
      <c r="QKE43">
        <f t="shared" si="224"/>
        <v>0</v>
      </c>
      <c r="QKF43">
        <f t="shared" si="224"/>
        <v>0</v>
      </c>
      <c r="QKG43">
        <f t="shared" si="224"/>
        <v>0</v>
      </c>
      <c r="QKH43">
        <f t="shared" si="224"/>
        <v>0</v>
      </c>
      <c r="QKI43">
        <f t="shared" si="224"/>
        <v>0</v>
      </c>
      <c r="QKJ43">
        <f t="shared" si="224"/>
        <v>0</v>
      </c>
      <c r="QKK43">
        <f t="shared" si="224"/>
        <v>0</v>
      </c>
      <c r="QKL43">
        <f t="shared" si="224"/>
        <v>0</v>
      </c>
      <c r="QKM43">
        <f t="shared" si="224"/>
        <v>0</v>
      </c>
      <c r="QKN43">
        <f t="shared" si="224"/>
        <v>0</v>
      </c>
      <c r="QKO43">
        <f t="shared" si="224"/>
        <v>0</v>
      </c>
      <c r="QKP43">
        <f t="shared" si="224"/>
        <v>0</v>
      </c>
      <c r="QKQ43">
        <f t="shared" si="224"/>
        <v>0</v>
      </c>
      <c r="QKR43">
        <f t="shared" si="224"/>
        <v>0</v>
      </c>
      <c r="QKS43">
        <f t="shared" si="224"/>
        <v>0</v>
      </c>
      <c r="QKT43">
        <f t="shared" si="224"/>
        <v>0</v>
      </c>
      <c r="QKU43">
        <f t="shared" si="224"/>
        <v>0</v>
      </c>
      <c r="QKV43">
        <f t="shared" si="224"/>
        <v>0</v>
      </c>
      <c r="QKW43">
        <f t="shared" si="224"/>
        <v>0</v>
      </c>
      <c r="QKX43">
        <f t="shared" si="224"/>
        <v>0</v>
      </c>
      <c r="QKY43">
        <f t="shared" si="224"/>
        <v>0</v>
      </c>
      <c r="QKZ43">
        <f t="shared" si="224"/>
        <v>0</v>
      </c>
      <c r="QLA43">
        <f t="shared" si="224"/>
        <v>0</v>
      </c>
      <c r="QLB43">
        <f t="shared" si="224"/>
        <v>0</v>
      </c>
      <c r="QLC43">
        <f t="shared" si="224"/>
        <v>0</v>
      </c>
      <c r="QLD43">
        <f t="shared" si="224"/>
        <v>0</v>
      </c>
      <c r="QLE43">
        <f t="shared" si="224"/>
        <v>0</v>
      </c>
      <c r="QLF43">
        <f t="shared" si="224"/>
        <v>0</v>
      </c>
      <c r="QLG43">
        <f t="shared" si="224"/>
        <v>0</v>
      </c>
      <c r="QLH43">
        <f t="shared" si="224"/>
        <v>0</v>
      </c>
      <c r="QLI43">
        <f t="shared" si="224"/>
        <v>0</v>
      </c>
      <c r="QLJ43">
        <f t="shared" si="224"/>
        <v>0</v>
      </c>
      <c r="QLK43">
        <f t="shared" si="224"/>
        <v>0</v>
      </c>
      <c r="QLL43">
        <f t="shared" si="224"/>
        <v>0</v>
      </c>
      <c r="QLM43">
        <f t="shared" si="224"/>
        <v>0</v>
      </c>
      <c r="QLN43">
        <f t="shared" si="224"/>
        <v>0</v>
      </c>
      <c r="QLO43">
        <f t="shared" si="224"/>
        <v>0</v>
      </c>
      <c r="QLP43">
        <f t="shared" si="224"/>
        <v>0</v>
      </c>
      <c r="QLQ43">
        <f t="shared" si="224"/>
        <v>0</v>
      </c>
      <c r="QLR43">
        <f t="shared" si="224"/>
        <v>0</v>
      </c>
      <c r="QLS43">
        <f t="shared" si="224"/>
        <v>0</v>
      </c>
      <c r="QLT43">
        <f t="shared" si="224"/>
        <v>0</v>
      </c>
      <c r="QLU43">
        <f t="shared" si="224"/>
        <v>0</v>
      </c>
      <c r="QLV43">
        <f t="shared" si="224"/>
        <v>0</v>
      </c>
      <c r="QLW43">
        <f t="shared" si="224"/>
        <v>0</v>
      </c>
      <c r="QLX43">
        <f t="shared" si="224"/>
        <v>0</v>
      </c>
      <c r="QLY43">
        <f t="shared" si="224"/>
        <v>0</v>
      </c>
      <c r="QLZ43">
        <f t="shared" si="224"/>
        <v>0</v>
      </c>
      <c r="QMA43">
        <f t="shared" si="224"/>
        <v>0</v>
      </c>
      <c r="QMB43">
        <f t="shared" si="224"/>
        <v>0</v>
      </c>
      <c r="QMC43">
        <f t="shared" si="224"/>
        <v>0</v>
      </c>
      <c r="QMD43">
        <f t="shared" si="224"/>
        <v>0</v>
      </c>
      <c r="QME43">
        <f t="shared" si="224"/>
        <v>0</v>
      </c>
      <c r="QMF43">
        <f t="shared" si="224"/>
        <v>0</v>
      </c>
      <c r="QMG43">
        <f t="shared" si="224"/>
        <v>0</v>
      </c>
      <c r="QMH43">
        <f t="shared" si="225"/>
        <v>0</v>
      </c>
      <c r="QMI43">
        <f t="shared" si="225"/>
        <v>0</v>
      </c>
      <c r="QMJ43">
        <f t="shared" si="225"/>
        <v>0</v>
      </c>
      <c r="QMK43">
        <f t="shared" si="225"/>
        <v>0</v>
      </c>
      <c r="QML43">
        <f t="shared" si="225"/>
        <v>0</v>
      </c>
      <c r="QMM43">
        <f t="shared" si="225"/>
        <v>0</v>
      </c>
      <c r="QMN43">
        <f t="shared" si="225"/>
        <v>0</v>
      </c>
      <c r="QMO43">
        <f t="shared" si="225"/>
        <v>0</v>
      </c>
      <c r="QMP43">
        <f t="shared" si="225"/>
        <v>0</v>
      </c>
      <c r="QMQ43">
        <f t="shared" si="225"/>
        <v>0</v>
      </c>
      <c r="QMR43">
        <f t="shared" si="225"/>
        <v>0</v>
      </c>
      <c r="QMS43">
        <f t="shared" si="225"/>
        <v>0</v>
      </c>
      <c r="QMT43">
        <f t="shared" si="225"/>
        <v>0</v>
      </c>
      <c r="QMU43">
        <f t="shared" si="225"/>
        <v>0</v>
      </c>
      <c r="QMV43">
        <f t="shared" si="225"/>
        <v>0</v>
      </c>
      <c r="QMW43">
        <f t="shared" si="225"/>
        <v>0</v>
      </c>
      <c r="QMX43">
        <f t="shared" si="225"/>
        <v>0</v>
      </c>
      <c r="QMY43">
        <f t="shared" si="225"/>
        <v>0</v>
      </c>
      <c r="QMZ43">
        <f t="shared" si="225"/>
        <v>0</v>
      </c>
      <c r="QNA43">
        <f t="shared" si="225"/>
        <v>0</v>
      </c>
      <c r="QNB43">
        <f t="shared" si="225"/>
        <v>0</v>
      </c>
      <c r="QNC43">
        <f t="shared" si="225"/>
        <v>0</v>
      </c>
      <c r="QND43">
        <f t="shared" si="225"/>
        <v>0</v>
      </c>
      <c r="QNE43">
        <f t="shared" si="225"/>
        <v>0</v>
      </c>
      <c r="QNF43">
        <f t="shared" si="225"/>
        <v>0</v>
      </c>
      <c r="QNG43">
        <f t="shared" si="225"/>
        <v>0</v>
      </c>
      <c r="QNH43">
        <f t="shared" si="225"/>
        <v>0</v>
      </c>
      <c r="QNI43">
        <f t="shared" si="225"/>
        <v>0</v>
      </c>
      <c r="QNJ43">
        <f t="shared" si="225"/>
        <v>0</v>
      </c>
      <c r="QNK43">
        <f t="shared" si="225"/>
        <v>0</v>
      </c>
      <c r="QNL43">
        <f t="shared" si="225"/>
        <v>0</v>
      </c>
      <c r="QNM43">
        <f t="shared" si="225"/>
        <v>0</v>
      </c>
      <c r="QNN43">
        <f t="shared" si="225"/>
        <v>0</v>
      </c>
      <c r="QNO43">
        <f t="shared" si="225"/>
        <v>0</v>
      </c>
      <c r="QNP43">
        <f t="shared" si="225"/>
        <v>0</v>
      </c>
      <c r="QNQ43">
        <f t="shared" si="225"/>
        <v>0</v>
      </c>
      <c r="QNR43">
        <f t="shared" si="225"/>
        <v>0</v>
      </c>
      <c r="QNS43">
        <f t="shared" si="225"/>
        <v>0</v>
      </c>
      <c r="QNT43">
        <f t="shared" si="225"/>
        <v>0</v>
      </c>
      <c r="QNU43">
        <f t="shared" si="225"/>
        <v>0</v>
      </c>
      <c r="QNV43">
        <f t="shared" si="225"/>
        <v>0</v>
      </c>
      <c r="QNW43">
        <f t="shared" si="225"/>
        <v>0</v>
      </c>
      <c r="QNX43">
        <f t="shared" si="225"/>
        <v>0</v>
      </c>
      <c r="QNY43">
        <f t="shared" si="225"/>
        <v>0</v>
      </c>
      <c r="QNZ43">
        <f t="shared" si="225"/>
        <v>0</v>
      </c>
      <c r="QOA43">
        <f t="shared" si="225"/>
        <v>0</v>
      </c>
      <c r="QOB43">
        <f t="shared" si="225"/>
        <v>0</v>
      </c>
      <c r="QOC43">
        <f t="shared" si="225"/>
        <v>0</v>
      </c>
      <c r="QOD43">
        <f t="shared" si="225"/>
        <v>0</v>
      </c>
      <c r="QOE43">
        <f t="shared" si="225"/>
        <v>0</v>
      </c>
      <c r="QOF43">
        <f t="shared" si="225"/>
        <v>0</v>
      </c>
      <c r="QOG43">
        <f t="shared" si="225"/>
        <v>0</v>
      </c>
      <c r="QOH43">
        <f t="shared" si="225"/>
        <v>0</v>
      </c>
      <c r="QOI43">
        <f t="shared" si="225"/>
        <v>0</v>
      </c>
      <c r="QOJ43">
        <f t="shared" si="225"/>
        <v>0</v>
      </c>
      <c r="QOK43">
        <f t="shared" si="225"/>
        <v>0</v>
      </c>
      <c r="QOL43">
        <f t="shared" si="225"/>
        <v>0</v>
      </c>
      <c r="QOM43">
        <f t="shared" si="225"/>
        <v>0</v>
      </c>
      <c r="QON43">
        <f t="shared" si="225"/>
        <v>0</v>
      </c>
      <c r="QOO43">
        <f t="shared" si="225"/>
        <v>0</v>
      </c>
      <c r="QOP43">
        <f t="shared" si="225"/>
        <v>0</v>
      </c>
      <c r="QOQ43">
        <f t="shared" si="225"/>
        <v>0</v>
      </c>
      <c r="QOR43">
        <f t="shared" si="225"/>
        <v>0</v>
      </c>
      <c r="QOS43">
        <f t="shared" si="225"/>
        <v>0</v>
      </c>
      <c r="QOT43">
        <f t="shared" si="226"/>
        <v>0</v>
      </c>
      <c r="QOU43">
        <f t="shared" si="226"/>
        <v>0</v>
      </c>
      <c r="QOV43">
        <f t="shared" si="226"/>
        <v>0</v>
      </c>
      <c r="QOW43">
        <f t="shared" si="226"/>
        <v>0</v>
      </c>
      <c r="QOX43">
        <f t="shared" si="226"/>
        <v>0</v>
      </c>
      <c r="QOY43">
        <f t="shared" si="226"/>
        <v>0</v>
      </c>
      <c r="QOZ43">
        <f t="shared" si="226"/>
        <v>0</v>
      </c>
      <c r="QPA43">
        <f t="shared" si="226"/>
        <v>0</v>
      </c>
      <c r="QPB43">
        <f t="shared" si="226"/>
        <v>0</v>
      </c>
      <c r="QPC43">
        <f t="shared" si="226"/>
        <v>0</v>
      </c>
      <c r="QPD43">
        <f t="shared" si="226"/>
        <v>0</v>
      </c>
      <c r="QPE43">
        <f t="shared" si="226"/>
        <v>0</v>
      </c>
      <c r="QPF43">
        <f t="shared" si="226"/>
        <v>0</v>
      </c>
      <c r="QPG43">
        <f t="shared" si="226"/>
        <v>0</v>
      </c>
      <c r="QPH43">
        <f t="shared" si="226"/>
        <v>0</v>
      </c>
      <c r="QPI43">
        <f t="shared" si="226"/>
        <v>0</v>
      </c>
      <c r="QPJ43">
        <f t="shared" si="226"/>
        <v>0</v>
      </c>
      <c r="QPK43">
        <f t="shared" si="226"/>
        <v>0</v>
      </c>
      <c r="QPL43">
        <f t="shared" si="226"/>
        <v>0</v>
      </c>
      <c r="QPM43">
        <f t="shared" si="226"/>
        <v>0</v>
      </c>
      <c r="QPN43">
        <f t="shared" si="226"/>
        <v>0</v>
      </c>
      <c r="QPO43">
        <f t="shared" si="226"/>
        <v>0</v>
      </c>
      <c r="QPP43">
        <f t="shared" si="226"/>
        <v>0</v>
      </c>
      <c r="QPQ43">
        <f t="shared" si="226"/>
        <v>0</v>
      </c>
      <c r="QPR43">
        <f t="shared" si="226"/>
        <v>0</v>
      </c>
      <c r="QPS43">
        <f t="shared" si="226"/>
        <v>0</v>
      </c>
      <c r="QPT43">
        <f t="shared" si="226"/>
        <v>0</v>
      </c>
      <c r="QPU43">
        <f t="shared" si="226"/>
        <v>0</v>
      </c>
      <c r="QPV43">
        <f t="shared" si="226"/>
        <v>0</v>
      </c>
      <c r="QPW43">
        <f t="shared" si="226"/>
        <v>0</v>
      </c>
      <c r="QPX43">
        <f t="shared" si="226"/>
        <v>0</v>
      </c>
      <c r="QPY43">
        <f t="shared" si="226"/>
        <v>0</v>
      </c>
      <c r="QPZ43">
        <f t="shared" si="226"/>
        <v>0</v>
      </c>
      <c r="QQA43">
        <f t="shared" si="226"/>
        <v>0</v>
      </c>
      <c r="QQB43">
        <f t="shared" si="226"/>
        <v>0</v>
      </c>
      <c r="QQC43">
        <f t="shared" si="226"/>
        <v>0</v>
      </c>
      <c r="QQD43">
        <f t="shared" si="226"/>
        <v>0</v>
      </c>
      <c r="QQE43">
        <f t="shared" si="226"/>
        <v>0</v>
      </c>
      <c r="QQF43">
        <f t="shared" si="226"/>
        <v>0</v>
      </c>
      <c r="QQG43">
        <f t="shared" si="226"/>
        <v>0</v>
      </c>
      <c r="QQH43">
        <f t="shared" si="226"/>
        <v>0</v>
      </c>
      <c r="QQI43">
        <f t="shared" si="226"/>
        <v>0</v>
      </c>
      <c r="QQJ43">
        <f t="shared" si="226"/>
        <v>0</v>
      </c>
      <c r="QQK43">
        <f t="shared" si="226"/>
        <v>0</v>
      </c>
      <c r="QQL43">
        <f t="shared" si="226"/>
        <v>0</v>
      </c>
      <c r="QQM43">
        <f t="shared" si="226"/>
        <v>0</v>
      </c>
      <c r="QQN43">
        <f t="shared" si="226"/>
        <v>0</v>
      </c>
      <c r="QQO43">
        <f t="shared" si="226"/>
        <v>0</v>
      </c>
      <c r="QQP43">
        <f t="shared" si="226"/>
        <v>0</v>
      </c>
      <c r="QQQ43">
        <f t="shared" si="226"/>
        <v>0</v>
      </c>
      <c r="QQR43">
        <f t="shared" si="226"/>
        <v>0</v>
      </c>
      <c r="QQS43">
        <f t="shared" si="226"/>
        <v>0</v>
      </c>
      <c r="QQT43">
        <f t="shared" si="226"/>
        <v>0</v>
      </c>
      <c r="QQU43">
        <f t="shared" si="226"/>
        <v>0</v>
      </c>
      <c r="QQV43">
        <f t="shared" si="226"/>
        <v>0</v>
      </c>
      <c r="QQW43">
        <f t="shared" si="226"/>
        <v>0</v>
      </c>
      <c r="QQX43">
        <f t="shared" si="226"/>
        <v>0</v>
      </c>
      <c r="QQY43">
        <f t="shared" si="226"/>
        <v>0</v>
      </c>
      <c r="QQZ43">
        <f t="shared" si="226"/>
        <v>0</v>
      </c>
      <c r="QRA43">
        <f t="shared" si="226"/>
        <v>0</v>
      </c>
      <c r="QRB43">
        <f t="shared" si="226"/>
        <v>0</v>
      </c>
      <c r="QRC43">
        <f t="shared" si="226"/>
        <v>0</v>
      </c>
      <c r="QRD43">
        <f t="shared" si="226"/>
        <v>0</v>
      </c>
      <c r="QRE43">
        <f t="shared" si="226"/>
        <v>0</v>
      </c>
      <c r="QRF43">
        <f t="shared" si="227"/>
        <v>0</v>
      </c>
      <c r="QRG43">
        <f t="shared" si="227"/>
        <v>0</v>
      </c>
      <c r="QRH43">
        <f t="shared" si="227"/>
        <v>0</v>
      </c>
      <c r="QRI43">
        <f t="shared" si="227"/>
        <v>0</v>
      </c>
      <c r="QRJ43">
        <f t="shared" si="227"/>
        <v>0</v>
      </c>
      <c r="QRK43">
        <f t="shared" si="227"/>
        <v>0</v>
      </c>
      <c r="QRL43">
        <f t="shared" si="227"/>
        <v>0</v>
      </c>
      <c r="QRM43">
        <f t="shared" si="227"/>
        <v>0</v>
      </c>
      <c r="QRN43">
        <f t="shared" si="227"/>
        <v>0</v>
      </c>
      <c r="QRO43">
        <f t="shared" si="227"/>
        <v>0</v>
      </c>
      <c r="QRP43">
        <f t="shared" si="227"/>
        <v>0</v>
      </c>
      <c r="QRQ43">
        <f t="shared" si="227"/>
        <v>0</v>
      </c>
      <c r="QRR43">
        <f t="shared" si="227"/>
        <v>0</v>
      </c>
      <c r="QRS43">
        <f t="shared" si="227"/>
        <v>0</v>
      </c>
      <c r="QRT43">
        <f t="shared" si="227"/>
        <v>0</v>
      </c>
      <c r="QRU43">
        <f t="shared" si="227"/>
        <v>0</v>
      </c>
      <c r="QRV43">
        <f t="shared" si="227"/>
        <v>0</v>
      </c>
      <c r="QRW43">
        <f t="shared" si="227"/>
        <v>0</v>
      </c>
      <c r="QRX43">
        <f t="shared" si="227"/>
        <v>0</v>
      </c>
      <c r="QRY43">
        <f t="shared" si="227"/>
        <v>0</v>
      </c>
      <c r="QRZ43">
        <f t="shared" si="227"/>
        <v>0</v>
      </c>
      <c r="QSA43">
        <f t="shared" si="227"/>
        <v>0</v>
      </c>
      <c r="QSB43">
        <f t="shared" si="227"/>
        <v>0</v>
      </c>
      <c r="QSC43">
        <f t="shared" si="227"/>
        <v>0</v>
      </c>
      <c r="QSD43">
        <f t="shared" si="227"/>
        <v>0</v>
      </c>
      <c r="QSE43">
        <f t="shared" si="227"/>
        <v>0</v>
      </c>
      <c r="QSF43">
        <f t="shared" si="227"/>
        <v>0</v>
      </c>
      <c r="QSG43">
        <f t="shared" si="227"/>
        <v>0</v>
      </c>
      <c r="QSH43">
        <f t="shared" si="227"/>
        <v>0</v>
      </c>
      <c r="QSI43">
        <f t="shared" si="227"/>
        <v>0</v>
      </c>
      <c r="QSJ43">
        <f t="shared" si="227"/>
        <v>0</v>
      </c>
      <c r="QSK43">
        <f t="shared" si="227"/>
        <v>0</v>
      </c>
      <c r="QSL43">
        <f t="shared" si="227"/>
        <v>0</v>
      </c>
      <c r="QSM43">
        <f t="shared" si="227"/>
        <v>0</v>
      </c>
      <c r="QSN43">
        <f t="shared" si="227"/>
        <v>0</v>
      </c>
      <c r="QSO43">
        <f t="shared" si="227"/>
        <v>0</v>
      </c>
      <c r="QSP43">
        <f t="shared" si="227"/>
        <v>0</v>
      </c>
      <c r="QSQ43">
        <f t="shared" si="227"/>
        <v>0</v>
      </c>
      <c r="QSR43">
        <f t="shared" si="227"/>
        <v>0</v>
      </c>
      <c r="QSS43">
        <f t="shared" si="227"/>
        <v>0</v>
      </c>
      <c r="QST43">
        <f t="shared" si="227"/>
        <v>0</v>
      </c>
      <c r="QSU43">
        <f t="shared" si="227"/>
        <v>0</v>
      </c>
      <c r="QSV43">
        <f t="shared" si="227"/>
        <v>0</v>
      </c>
      <c r="QSW43">
        <f t="shared" si="227"/>
        <v>0</v>
      </c>
      <c r="QSX43">
        <f t="shared" si="227"/>
        <v>0</v>
      </c>
      <c r="QSY43">
        <f t="shared" si="227"/>
        <v>0</v>
      </c>
      <c r="QSZ43">
        <f t="shared" si="227"/>
        <v>0</v>
      </c>
      <c r="QTA43">
        <f t="shared" si="227"/>
        <v>0</v>
      </c>
      <c r="QTB43">
        <f t="shared" si="227"/>
        <v>0</v>
      </c>
      <c r="QTC43">
        <f t="shared" si="227"/>
        <v>0</v>
      </c>
      <c r="QTD43">
        <f t="shared" si="227"/>
        <v>0</v>
      </c>
      <c r="QTE43">
        <f t="shared" si="227"/>
        <v>0</v>
      </c>
      <c r="QTF43">
        <f t="shared" si="227"/>
        <v>0</v>
      </c>
      <c r="QTG43">
        <f t="shared" si="227"/>
        <v>0</v>
      </c>
      <c r="QTH43">
        <f t="shared" si="227"/>
        <v>0</v>
      </c>
      <c r="QTI43">
        <f t="shared" si="227"/>
        <v>0</v>
      </c>
      <c r="QTJ43">
        <f t="shared" si="227"/>
        <v>0</v>
      </c>
      <c r="QTK43">
        <f t="shared" si="227"/>
        <v>0</v>
      </c>
      <c r="QTL43">
        <f t="shared" si="227"/>
        <v>0</v>
      </c>
      <c r="QTM43">
        <f t="shared" si="227"/>
        <v>0</v>
      </c>
      <c r="QTN43">
        <f t="shared" si="227"/>
        <v>0</v>
      </c>
      <c r="QTO43">
        <f t="shared" si="227"/>
        <v>0</v>
      </c>
      <c r="QTP43">
        <f t="shared" si="227"/>
        <v>0</v>
      </c>
      <c r="QTQ43">
        <f t="shared" si="227"/>
        <v>0</v>
      </c>
      <c r="QTR43">
        <f t="shared" si="228"/>
        <v>0</v>
      </c>
      <c r="QTS43">
        <f t="shared" si="228"/>
        <v>0</v>
      </c>
      <c r="QTT43">
        <f t="shared" si="228"/>
        <v>0</v>
      </c>
      <c r="QTU43">
        <f t="shared" si="228"/>
        <v>0</v>
      </c>
      <c r="QTV43">
        <f t="shared" si="228"/>
        <v>0</v>
      </c>
      <c r="QTW43">
        <f t="shared" si="228"/>
        <v>0</v>
      </c>
      <c r="QTX43">
        <f t="shared" si="228"/>
        <v>0</v>
      </c>
      <c r="QTY43">
        <f t="shared" si="228"/>
        <v>0</v>
      </c>
      <c r="QTZ43">
        <f t="shared" si="228"/>
        <v>0</v>
      </c>
      <c r="QUA43">
        <f t="shared" si="228"/>
        <v>0</v>
      </c>
      <c r="QUB43">
        <f t="shared" si="228"/>
        <v>0</v>
      </c>
      <c r="QUC43">
        <f t="shared" si="228"/>
        <v>0</v>
      </c>
      <c r="QUD43">
        <f t="shared" si="228"/>
        <v>0</v>
      </c>
      <c r="QUE43">
        <f t="shared" si="228"/>
        <v>0</v>
      </c>
      <c r="QUF43">
        <f t="shared" si="228"/>
        <v>0</v>
      </c>
      <c r="QUG43">
        <f t="shared" si="228"/>
        <v>0</v>
      </c>
      <c r="QUH43">
        <f t="shared" si="228"/>
        <v>0</v>
      </c>
      <c r="QUI43">
        <f t="shared" si="228"/>
        <v>0</v>
      </c>
      <c r="QUJ43">
        <f t="shared" si="228"/>
        <v>0</v>
      </c>
      <c r="QUK43">
        <f t="shared" si="228"/>
        <v>0</v>
      </c>
      <c r="QUL43">
        <f t="shared" si="228"/>
        <v>0</v>
      </c>
      <c r="QUM43">
        <f t="shared" si="228"/>
        <v>0</v>
      </c>
      <c r="QUN43">
        <f t="shared" si="228"/>
        <v>0</v>
      </c>
      <c r="QUO43">
        <f t="shared" si="228"/>
        <v>0</v>
      </c>
      <c r="QUP43">
        <f t="shared" si="228"/>
        <v>0</v>
      </c>
      <c r="QUQ43">
        <f t="shared" si="228"/>
        <v>0</v>
      </c>
      <c r="QUR43">
        <f t="shared" si="228"/>
        <v>0</v>
      </c>
      <c r="QUS43">
        <f t="shared" si="228"/>
        <v>0</v>
      </c>
      <c r="QUT43">
        <f t="shared" si="228"/>
        <v>0</v>
      </c>
      <c r="QUU43">
        <f t="shared" si="228"/>
        <v>0</v>
      </c>
      <c r="QUV43">
        <f t="shared" si="228"/>
        <v>0</v>
      </c>
      <c r="QUW43">
        <f t="shared" si="228"/>
        <v>0</v>
      </c>
      <c r="QUX43">
        <f t="shared" si="228"/>
        <v>0</v>
      </c>
      <c r="QUY43">
        <f t="shared" si="228"/>
        <v>0</v>
      </c>
      <c r="QUZ43">
        <f t="shared" si="228"/>
        <v>0</v>
      </c>
      <c r="QVA43">
        <f t="shared" si="228"/>
        <v>0</v>
      </c>
      <c r="QVB43">
        <f t="shared" si="228"/>
        <v>0</v>
      </c>
      <c r="QVC43">
        <f t="shared" si="228"/>
        <v>0</v>
      </c>
      <c r="QVD43">
        <f t="shared" si="228"/>
        <v>0</v>
      </c>
      <c r="QVE43">
        <f t="shared" si="228"/>
        <v>0</v>
      </c>
      <c r="QVF43">
        <f t="shared" si="228"/>
        <v>0</v>
      </c>
      <c r="QVG43">
        <f t="shared" si="228"/>
        <v>0</v>
      </c>
      <c r="QVH43">
        <f t="shared" si="228"/>
        <v>0</v>
      </c>
      <c r="QVI43">
        <f t="shared" si="228"/>
        <v>0</v>
      </c>
      <c r="QVJ43">
        <f t="shared" si="228"/>
        <v>0</v>
      </c>
      <c r="QVK43">
        <f t="shared" si="228"/>
        <v>0</v>
      </c>
      <c r="QVL43">
        <f t="shared" si="228"/>
        <v>0</v>
      </c>
      <c r="QVM43">
        <f t="shared" si="228"/>
        <v>0</v>
      </c>
      <c r="QVN43">
        <f t="shared" si="228"/>
        <v>0</v>
      </c>
      <c r="QVO43">
        <f t="shared" si="228"/>
        <v>0</v>
      </c>
      <c r="QVP43">
        <f t="shared" si="228"/>
        <v>0</v>
      </c>
      <c r="QVQ43">
        <f t="shared" si="228"/>
        <v>0</v>
      </c>
      <c r="QVR43">
        <f t="shared" si="228"/>
        <v>0</v>
      </c>
      <c r="QVS43">
        <f t="shared" si="228"/>
        <v>0</v>
      </c>
      <c r="QVT43">
        <f t="shared" si="228"/>
        <v>0</v>
      </c>
      <c r="QVU43">
        <f t="shared" si="228"/>
        <v>0</v>
      </c>
      <c r="QVV43">
        <f t="shared" si="228"/>
        <v>0</v>
      </c>
      <c r="QVW43">
        <f t="shared" si="228"/>
        <v>0</v>
      </c>
      <c r="QVX43">
        <f t="shared" si="228"/>
        <v>0</v>
      </c>
      <c r="QVY43">
        <f t="shared" si="228"/>
        <v>0</v>
      </c>
      <c r="QVZ43">
        <f t="shared" si="228"/>
        <v>0</v>
      </c>
      <c r="QWA43">
        <f t="shared" si="228"/>
        <v>0</v>
      </c>
      <c r="QWB43">
        <f t="shared" si="228"/>
        <v>0</v>
      </c>
      <c r="QWC43">
        <f t="shared" si="228"/>
        <v>0</v>
      </c>
      <c r="QWD43">
        <f t="shared" si="229"/>
        <v>0</v>
      </c>
      <c r="QWE43">
        <f t="shared" si="229"/>
        <v>0</v>
      </c>
      <c r="QWF43">
        <f t="shared" si="229"/>
        <v>0</v>
      </c>
      <c r="QWG43">
        <f t="shared" si="229"/>
        <v>0</v>
      </c>
      <c r="QWH43">
        <f t="shared" si="229"/>
        <v>0</v>
      </c>
      <c r="QWI43">
        <f t="shared" si="229"/>
        <v>0</v>
      </c>
      <c r="QWJ43">
        <f t="shared" si="229"/>
        <v>0</v>
      </c>
      <c r="QWK43">
        <f t="shared" si="229"/>
        <v>0</v>
      </c>
      <c r="QWL43">
        <f t="shared" si="229"/>
        <v>0</v>
      </c>
      <c r="QWM43">
        <f t="shared" si="229"/>
        <v>0</v>
      </c>
      <c r="QWN43">
        <f t="shared" si="229"/>
        <v>0</v>
      </c>
      <c r="QWO43">
        <f t="shared" si="229"/>
        <v>0</v>
      </c>
      <c r="QWP43">
        <f t="shared" si="229"/>
        <v>0</v>
      </c>
      <c r="QWQ43">
        <f t="shared" si="229"/>
        <v>0</v>
      </c>
      <c r="QWR43">
        <f t="shared" si="229"/>
        <v>0</v>
      </c>
      <c r="QWS43">
        <f t="shared" si="229"/>
        <v>0</v>
      </c>
      <c r="QWT43">
        <f t="shared" si="229"/>
        <v>0</v>
      </c>
      <c r="QWU43">
        <f t="shared" si="229"/>
        <v>0</v>
      </c>
      <c r="QWV43">
        <f t="shared" si="229"/>
        <v>0</v>
      </c>
      <c r="QWW43">
        <f t="shared" si="229"/>
        <v>0</v>
      </c>
      <c r="QWX43">
        <f t="shared" si="229"/>
        <v>0</v>
      </c>
      <c r="QWY43">
        <f t="shared" si="229"/>
        <v>0</v>
      </c>
      <c r="QWZ43">
        <f t="shared" si="229"/>
        <v>0</v>
      </c>
      <c r="QXA43">
        <f t="shared" si="229"/>
        <v>0</v>
      </c>
      <c r="QXB43">
        <f t="shared" si="229"/>
        <v>0</v>
      </c>
      <c r="QXC43">
        <f t="shared" si="229"/>
        <v>0</v>
      </c>
      <c r="QXD43">
        <f t="shared" si="229"/>
        <v>0</v>
      </c>
      <c r="QXE43">
        <f t="shared" si="229"/>
        <v>0</v>
      </c>
      <c r="QXF43">
        <f t="shared" si="229"/>
        <v>0</v>
      </c>
      <c r="QXG43">
        <f t="shared" si="229"/>
        <v>0</v>
      </c>
      <c r="QXH43">
        <f t="shared" si="229"/>
        <v>0</v>
      </c>
      <c r="QXI43">
        <f t="shared" si="229"/>
        <v>0</v>
      </c>
      <c r="QXJ43">
        <f t="shared" si="229"/>
        <v>0</v>
      </c>
      <c r="QXK43">
        <f t="shared" si="229"/>
        <v>0</v>
      </c>
      <c r="QXL43">
        <f t="shared" si="229"/>
        <v>0</v>
      </c>
      <c r="QXM43">
        <f t="shared" si="229"/>
        <v>0</v>
      </c>
      <c r="QXN43">
        <f t="shared" si="229"/>
        <v>0</v>
      </c>
      <c r="QXO43">
        <f t="shared" si="229"/>
        <v>0</v>
      </c>
      <c r="QXP43">
        <f t="shared" si="229"/>
        <v>0</v>
      </c>
      <c r="QXQ43">
        <f t="shared" si="229"/>
        <v>0</v>
      </c>
      <c r="QXR43">
        <f t="shared" si="229"/>
        <v>0</v>
      </c>
      <c r="QXS43">
        <f t="shared" si="229"/>
        <v>0</v>
      </c>
      <c r="QXT43">
        <f t="shared" si="229"/>
        <v>0</v>
      </c>
      <c r="QXU43">
        <f t="shared" si="229"/>
        <v>0</v>
      </c>
      <c r="QXV43">
        <f t="shared" si="229"/>
        <v>0</v>
      </c>
      <c r="QXW43">
        <f t="shared" si="229"/>
        <v>0</v>
      </c>
      <c r="QXX43">
        <f t="shared" si="229"/>
        <v>0</v>
      </c>
      <c r="QXY43">
        <f t="shared" si="229"/>
        <v>0</v>
      </c>
      <c r="QXZ43">
        <f t="shared" si="229"/>
        <v>0</v>
      </c>
      <c r="QYA43">
        <f t="shared" si="229"/>
        <v>0</v>
      </c>
      <c r="QYB43">
        <f t="shared" si="229"/>
        <v>0</v>
      </c>
      <c r="QYC43">
        <f t="shared" si="229"/>
        <v>0</v>
      </c>
      <c r="QYD43">
        <f t="shared" si="229"/>
        <v>0</v>
      </c>
      <c r="QYE43">
        <f t="shared" si="229"/>
        <v>0</v>
      </c>
      <c r="QYF43">
        <f t="shared" si="229"/>
        <v>0</v>
      </c>
      <c r="QYG43">
        <f t="shared" si="229"/>
        <v>0</v>
      </c>
      <c r="QYH43">
        <f t="shared" si="229"/>
        <v>0</v>
      </c>
      <c r="QYI43">
        <f t="shared" si="229"/>
        <v>0</v>
      </c>
      <c r="QYJ43">
        <f t="shared" si="229"/>
        <v>0</v>
      </c>
      <c r="QYK43">
        <f t="shared" si="229"/>
        <v>0</v>
      </c>
      <c r="QYL43">
        <f t="shared" si="229"/>
        <v>0</v>
      </c>
      <c r="QYM43">
        <f t="shared" si="229"/>
        <v>0</v>
      </c>
      <c r="QYN43">
        <f t="shared" si="229"/>
        <v>0</v>
      </c>
      <c r="QYO43">
        <f t="shared" si="229"/>
        <v>0</v>
      </c>
      <c r="QYP43">
        <f t="shared" si="230"/>
        <v>0</v>
      </c>
      <c r="QYQ43">
        <f t="shared" si="230"/>
        <v>0</v>
      </c>
      <c r="QYR43">
        <f t="shared" si="230"/>
        <v>0</v>
      </c>
      <c r="QYS43">
        <f t="shared" si="230"/>
        <v>0</v>
      </c>
      <c r="QYT43">
        <f t="shared" si="230"/>
        <v>0</v>
      </c>
      <c r="QYU43">
        <f t="shared" si="230"/>
        <v>0</v>
      </c>
      <c r="QYV43">
        <f t="shared" si="230"/>
        <v>0</v>
      </c>
      <c r="QYW43">
        <f t="shared" si="230"/>
        <v>0</v>
      </c>
      <c r="QYX43">
        <f t="shared" si="230"/>
        <v>0</v>
      </c>
      <c r="QYY43">
        <f t="shared" si="230"/>
        <v>0</v>
      </c>
      <c r="QYZ43">
        <f t="shared" si="230"/>
        <v>0</v>
      </c>
      <c r="QZA43">
        <f t="shared" si="230"/>
        <v>0</v>
      </c>
      <c r="QZB43">
        <f t="shared" si="230"/>
        <v>0</v>
      </c>
      <c r="QZC43">
        <f t="shared" si="230"/>
        <v>0</v>
      </c>
      <c r="QZD43">
        <f t="shared" si="230"/>
        <v>0</v>
      </c>
      <c r="QZE43">
        <f t="shared" si="230"/>
        <v>0</v>
      </c>
      <c r="QZF43">
        <f t="shared" si="230"/>
        <v>0</v>
      </c>
      <c r="QZG43">
        <f t="shared" si="230"/>
        <v>0</v>
      </c>
      <c r="QZH43">
        <f t="shared" si="230"/>
        <v>0</v>
      </c>
      <c r="QZI43">
        <f t="shared" si="230"/>
        <v>0</v>
      </c>
      <c r="QZJ43">
        <f t="shared" si="230"/>
        <v>0</v>
      </c>
      <c r="QZK43">
        <f t="shared" si="230"/>
        <v>0</v>
      </c>
      <c r="QZL43">
        <f t="shared" si="230"/>
        <v>0</v>
      </c>
      <c r="QZM43">
        <f t="shared" si="230"/>
        <v>0</v>
      </c>
      <c r="QZN43">
        <f t="shared" si="230"/>
        <v>0</v>
      </c>
      <c r="QZO43">
        <f t="shared" si="230"/>
        <v>0</v>
      </c>
      <c r="QZP43">
        <f t="shared" si="230"/>
        <v>0</v>
      </c>
      <c r="QZQ43">
        <f t="shared" si="230"/>
        <v>0</v>
      </c>
      <c r="QZR43">
        <f t="shared" si="230"/>
        <v>0</v>
      </c>
      <c r="QZS43">
        <f t="shared" si="230"/>
        <v>0</v>
      </c>
      <c r="QZT43">
        <f t="shared" si="230"/>
        <v>0</v>
      </c>
      <c r="QZU43">
        <f t="shared" si="230"/>
        <v>0</v>
      </c>
      <c r="QZV43">
        <f t="shared" si="230"/>
        <v>0</v>
      </c>
      <c r="QZW43">
        <f t="shared" si="230"/>
        <v>0</v>
      </c>
      <c r="QZX43">
        <f t="shared" si="230"/>
        <v>0</v>
      </c>
      <c r="QZY43">
        <f t="shared" si="230"/>
        <v>0</v>
      </c>
      <c r="QZZ43">
        <f t="shared" si="230"/>
        <v>0</v>
      </c>
      <c r="RAA43">
        <f t="shared" si="230"/>
        <v>0</v>
      </c>
      <c r="RAB43">
        <f t="shared" si="230"/>
        <v>0</v>
      </c>
      <c r="RAC43">
        <f t="shared" si="230"/>
        <v>0</v>
      </c>
      <c r="RAD43">
        <f t="shared" si="230"/>
        <v>0</v>
      </c>
      <c r="RAE43">
        <f t="shared" si="230"/>
        <v>0</v>
      </c>
      <c r="RAF43">
        <f t="shared" si="230"/>
        <v>0</v>
      </c>
      <c r="RAG43">
        <f t="shared" si="230"/>
        <v>0</v>
      </c>
      <c r="RAH43">
        <f t="shared" si="230"/>
        <v>0</v>
      </c>
      <c r="RAI43">
        <f t="shared" si="230"/>
        <v>0</v>
      </c>
      <c r="RAJ43">
        <f t="shared" si="230"/>
        <v>0</v>
      </c>
      <c r="RAK43">
        <f t="shared" si="230"/>
        <v>0</v>
      </c>
      <c r="RAL43">
        <f t="shared" si="230"/>
        <v>0</v>
      </c>
      <c r="RAM43">
        <f t="shared" si="230"/>
        <v>0</v>
      </c>
      <c r="RAN43">
        <f t="shared" si="230"/>
        <v>0</v>
      </c>
      <c r="RAO43">
        <f t="shared" si="230"/>
        <v>0</v>
      </c>
      <c r="RAP43">
        <f t="shared" si="230"/>
        <v>0</v>
      </c>
      <c r="RAQ43">
        <f t="shared" si="230"/>
        <v>0</v>
      </c>
      <c r="RAR43">
        <f t="shared" si="230"/>
        <v>0</v>
      </c>
      <c r="RAS43">
        <f t="shared" si="230"/>
        <v>0</v>
      </c>
      <c r="RAT43">
        <f t="shared" si="230"/>
        <v>0</v>
      </c>
      <c r="RAU43">
        <f t="shared" si="230"/>
        <v>0</v>
      </c>
      <c r="RAV43">
        <f t="shared" si="230"/>
        <v>0</v>
      </c>
      <c r="RAW43">
        <f t="shared" si="230"/>
        <v>0</v>
      </c>
      <c r="RAX43">
        <f t="shared" si="230"/>
        <v>0</v>
      </c>
      <c r="RAY43">
        <f t="shared" si="230"/>
        <v>0</v>
      </c>
      <c r="RAZ43">
        <f t="shared" si="230"/>
        <v>0</v>
      </c>
      <c r="RBA43">
        <f t="shared" si="230"/>
        <v>0</v>
      </c>
      <c r="RBB43">
        <f t="shared" si="231"/>
        <v>0</v>
      </c>
      <c r="RBC43">
        <f t="shared" si="231"/>
        <v>0</v>
      </c>
      <c r="RBD43">
        <f t="shared" si="231"/>
        <v>0</v>
      </c>
      <c r="RBE43">
        <f t="shared" si="231"/>
        <v>0</v>
      </c>
      <c r="RBF43">
        <f t="shared" si="231"/>
        <v>0</v>
      </c>
      <c r="RBG43">
        <f t="shared" si="231"/>
        <v>0</v>
      </c>
      <c r="RBH43">
        <f t="shared" si="231"/>
        <v>0</v>
      </c>
      <c r="RBI43">
        <f t="shared" si="231"/>
        <v>0</v>
      </c>
      <c r="RBJ43">
        <f t="shared" si="231"/>
        <v>0</v>
      </c>
      <c r="RBK43">
        <f t="shared" si="231"/>
        <v>0</v>
      </c>
      <c r="RBL43">
        <f t="shared" si="231"/>
        <v>0</v>
      </c>
      <c r="RBM43">
        <f t="shared" si="231"/>
        <v>0</v>
      </c>
      <c r="RBN43">
        <f t="shared" si="231"/>
        <v>0</v>
      </c>
      <c r="RBO43">
        <f t="shared" si="231"/>
        <v>0</v>
      </c>
      <c r="RBP43">
        <f t="shared" si="231"/>
        <v>0</v>
      </c>
      <c r="RBQ43">
        <f t="shared" si="231"/>
        <v>0</v>
      </c>
      <c r="RBR43">
        <f t="shared" si="231"/>
        <v>0</v>
      </c>
      <c r="RBS43">
        <f t="shared" si="231"/>
        <v>0</v>
      </c>
      <c r="RBT43">
        <f t="shared" si="231"/>
        <v>0</v>
      </c>
      <c r="RBU43">
        <f t="shared" si="231"/>
        <v>0</v>
      </c>
      <c r="RBV43">
        <f t="shared" si="231"/>
        <v>0</v>
      </c>
      <c r="RBW43">
        <f t="shared" si="231"/>
        <v>0</v>
      </c>
      <c r="RBX43">
        <f t="shared" si="231"/>
        <v>0</v>
      </c>
      <c r="RBY43">
        <f t="shared" si="231"/>
        <v>0</v>
      </c>
      <c r="RBZ43">
        <f t="shared" si="231"/>
        <v>0</v>
      </c>
      <c r="RCA43">
        <f t="shared" si="231"/>
        <v>0</v>
      </c>
      <c r="RCB43">
        <f t="shared" si="231"/>
        <v>0</v>
      </c>
      <c r="RCC43">
        <f t="shared" si="231"/>
        <v>0</v>
      </c>
      <c r="RCD43">
        <f t="shared" si="231"/>
        <v>0</v>
      </c>
      <c r="RCE43">
        <f t="shared" si="231"/>
        <v>0</v>
      </c>
      <c r="RCF43">
        <f t="shared" si="231"/>
        <v>0</v>
      </c>
      <c r="RCG43">
        <f t="shared" si="231"/>
        <v>0</v>
      </c>
      <c r="RCH43">
        <f t="shared" si="231"/>
        <v>0</v>
      </c>
      <c r="RCI43">
        <f t="shared" si="231"/>
        <v>0</v>
      </c>
      <c r="RCJ43">
        <f t="shared" si="231"/>
        <v>0</v>
      </c>
      <c r="RCK43">
        <f t="shared" si="231"/>
        <v>0</v>
      </c>
      <c r="RCL43">
        <f t="shared" si="231"/>
        <v>0</v>
      </c>
      <c r="RCM43">
        <f t="shared" si="231"/>
        <v>0</v>
      </c>
      <c r="RCN43">
        <f t="shared" si="231"/>
        <v>0</v>
      </c>
      <c r="RCO43">
        <f t="shared" si="231"/>
        <v>0</v>
      </c>
      <c r="RCP43">
        <f t="shared" si="231"/>
        <v>0</v>
      </c>
      <c r="RCQ43">
        <f t="shared" si="231"/>
        <v>0</v>
      </c>
      <c r="RCR43">
        <f t="shared" si="231"/>
        <v>0</v>
      </c>
      <c r="RCS43">
        <f t="shared" si="231"/>
        <v>0</v>
      </c>
      <c r="RCT43">
        <f t="shared" si="231"/>
        <v>0</v>
      </c>
      <c r="RCU43">
        <f t="shared" si="231"/>
        <v>0</v>
      </c>
      <c r="RCV43">
        <f t="shared" si="231"/>
        <v>0</v>
      </c>
      <c r="RCW43">
        <f t="shared" si="231"/>
        <v>0</v>
      </c>
      <c r="RCX43">
        <f t="shared" si="231"/>
        <v>0</v>
      </c>
      <c r="RCY43">
        <f t="shared" si="231"/>
        <v>0</v>
      </c>
      <c r="RCZ43">
        <f t="shared" si="231"/>
        <v>0</v>
      </c>
      <c r="RDA43">
        <f t="shared" si="231"/>
        <v>0</v>
      </c>
      <c r="RDB43">
        <f t="shared" si="231"/>
        <v>0</v>
      </c>
      <c r="RDC43">
        <f t="shared" si="231"/>
        <v>0</v>
      </c>
      <c r="RDD43">
        <f t="shared" si="231"/>
        <v>0</v>
      </c>
      <c r="RDE43">
        <f t="shared" si="231"/>
        <v>0</v>
      </c>
      <c r="RDF43">
        <f t="shared" si="231"/>
        <v>0</v>
      </c>
      <c r="RDG43">
        <f t="shared" si="231"/>
        <v>0</v>
      </c>
      <c r="RDH43">
        <f t="shared" si="231"/>
        <v>0</v>
      </c>
      <c r="RDI43">
        <f t="shared" si="231"/>
        <v>0</v>
      </c>
      <c r="RDJ43">
        <f t="shared" si="231"/>
        <v>0</v>
      </c>
      <c r="RDK43">
        <f t="shared" si="231"/>
        <v>0</v>
      </c>
      <c r="RDL43">
        <f t="shared" si="231"/>
        <v>0</v>
      </c>
      <c r="RDM43">
        <f t="shared" si="231"/>
        <v>0</v>
      </c>
      <c r="RDN43">
        <f t="shared" si="232"/>
        <v>0</v>
      </c>
      <c r="RDO43">
        <f t="shared" si="232"/>
        <v>0</v>
      </c>
      <c r="RDP43">
        <f t="shared" si="232"/>
        <v>0</v>
      </c>
      <c r="RDQ43">
        <f t="shared" si="232"/>
        <v>0</v>
      </c>
      <c r="RDR43">
        <f t="shared" si="232"/>
        <v>0</v>
      </c>
      <c r="RDS43">
        <f t="shared" si="232"/>
        <v>0</v>
      </c>
      <c r="RDT43">
        <f t="shared" si="232"/>
        <v>0</v>
      </c>
      <c r="RDU43">
        <f t="shared" si="232"/>
        <v>0</v>
      </c>
      <c r="RDV43">
        <f t="shared" si="232"/>
        <v>0</v>
      </c>
      <c r="RDW43">
        <f t="shared" si="232"/>
        <v>0</v>
      </c>
      <c r="RDX43">
        <f t="shared" si="232"/>
        <v>0</v>
      </c>
      <c r="RDY43">
        <f t="shared" si="232"/>
        <v>0</v>
      </c>
      <c r="RDZ43">
        <f t="shared" si="232"/>
        <v>0</v>
      </c>
      <c r="REA43">
        <f t="shared" si="232"/>
        <v>0</v>
      </c>
      <c r="REB43">
        <f t="shared" si="232"/>
        <v>0</v>
      </c>
      <c r="REC43">
        <f t="shared" si="232"/>
        <v>0</v>
      </c>
      <c r="RED43">
        <f t="shared" si="232"/>
        <v>0</v>
      </c>
      <c r="REE43">
        <f t="shared" si="232"/>
        <v>0</v>
      </c>
      <c r="REF43">
        <f t="shared" si="232"/>
        <v>0</v>
      </c>
      <c r="REG43">
        <f t="shared" si="232"/>
        <v>0</v>
      </c>
      <c r="REH43">
        <f t="shared" si="232"/>
        <v>0</v>
      </c>
      <c r="REI43">
        <f t="shared" si="232"/>
        <v>0</v>
      </c>
      <c r="REJ43">
        <f t="shared" si="232"/>
        <v>0</v>
      </c>
      <c r="REK43">
        <f t="shared" si="232"/>
        <v>0</v>
      </c>
      <c r="REL43">
        <f t="shared" si="232"/>
        <v>0</v>
      </c>
      <c r="REM43">
        <f t="shared" si="232"/>
        <v>0</v>
      </c>
      <c r="REN43">
        <f t="shared" si="232"/>
        <v>0</v>
      </c>
      <c r="REO43">
        <f t="shared" si="232"/>
        <v>0</v>
      </c>
      <c r="REP43">
        <f t="shared" si="232"/>
        <v>0</v>
      </c>
      <c r="REQ43">
        <f t="shared" si="232"/>
        <v>0</v>
      </c>
      <c r="RER43">
        <f t="shared" si="232"/>
        <v>0</v>
      </c>
      <c r="RES43">
        <f t="shared" si="232"/>
        <v>0</v>
      </c>
      <c r="RET43">
        <f t="shared" si="232"/>
        <v>0</v>
      </c>
      <c r="REU43">
        <f t="shared" si="232"/>
        <v>0</v>
      </c>
      <c r="REV43">
        <f t="shared" si="232"/>
        <v>0</v>
      </c>
      <c r="REW43">
        <f t="shared" si="232"/>
        <v>0</v>
      </c>
      <c r="REX43">
        <f t="shared" si="232"/>
        <v>0</v>
      </c>
      <c r="REY43">
        <f t="shared" si="232"/>
        <v>0</v>
      </c>
      <c r="REZ43">
        <f t="shared" si="232"/>
        <v>0</v>
      </c>
      <c r="RFA43">
        <f t="shared" si="232"/>
        <v>0</v>
      </c>
      <c r="RFB43">
        <f t="shared" si="232"/>
        <v>0</v>
      </c>
      <c r="RFC43">
        <f t="shared" si="232"/>
        <v>0</v>
      </c>
      <c r="RFD43">
        <f t="shared" si="232"/>
        <v>0</v>
      </c>
      <c r="RFE43">
        <f t="shared" si="232"/>
        <v>0</v>
      </c>
      <c r="RFF43">
        <f t="shared" si="232"/>
        <v>0</v>
      </c>
      <c r="RFG43">
        <f t="shared" si="232"/>
        <v>0</v>
      </c>
      <c r="RFH43">
        <f t="shared" si="232"/>
        <v>0</v>
      </c>
      <c r="RFI43">
        <f t="shared" si="232"/>
        <v>0</v>
      </c>
      <c r="RFJ43">
        <f t="shared" si="232"/>
        <v>0</v>
      </c>
      <c r="RFK43">
        <f t="shared" si="232"/>
        <v>0</v>
      </c>
      <c r="RFL43">
        <f t="shared" si="232"/>
        <v>0</v>
      </c>
      <c r="RFM43">
        <f t="shared" si="232"/>
        <v>0</v>
      </c>
      <c r="RFN43">
        <f t="shared" si="232"/>
        <v>0</v>
      </c>
      <c r="RFO43">
        <f t="shared" si="232"/>
        <v>0</v>
      </c>
      <c r="RFP43">
        <f t="shared" si="232"/>
        <v>0</v>
      </c>
      <c r="RFQ43">
        <f t="shared" si="232"/>
        <v>0</v>
      </c>
      <c r="RFR43">
        <f t="shared" si="232"/>
        <v>0</v>
      </c>
      <c r="RFS43">
        <f t="shared" si="232"/>
        <v>0</v>
      </c>
      <c r="RFT43">
        <f t="shared" si="232"/>
        <v>0</v>
      </c>
      <c r="RFU43">
        <f t="shared" si="232"/>
        <v>0</v>
      </c>
      <c r="RFV43">
        <f t="shared" si="232"/>
        <v>0</v>
      </c>
      <c r="RFW43">
        <f t="shared" si="232"/>
        <v>0</v>
      </c>
      <c r="RFX43">
        <f t="shared" si="232"/>
        <v>0</v>
      </c>
      <c r="RFY43">
        <f t="shared" si="232"/>
        <v>0</v>
      </c>
      <c r="RFZ43">
        <f t="shared" si="233"/>
        <v>0</v>
      </c>
      <c r="RGA43">
        <f t="shared" si="233"/>
        <v>0</v>
      </c>
      <c r="RGB43">
        <f t="shared" si="233"/>
        <v>0</v>
      </c>
      <c r="RGC43">
        <f t="shared" si="233"/>
        <v>0</v>
      </c>
      <c r="RGD43">
        <f t="shared" si="233"/>
        <v>0</v>
      </c>
      <c r="RGE43">
        <f t="shared" si="233"/>
        <v>0</v>
      </c>
      <c r="RGF43">
        <f t="shared" si="233"/>
        <v>0</v>
      </c>
      <c r="RGG43">
        <f t="shared" si="233"/>
        <v>0</v>
      </c>
      <c r="RGH43">
        <f t="shared" si="233"/>
        <v>0</v>
      </c>
      <c r="RGI43">
        <f t="shared" si="233"/>
        <v>0</v>
      </c>
      <c r="RGJ43">
        <f t="shared" si="233"/>
        <v>0</v>
      </c>
      <c r="RGK43">
        <f t="shared" si="233"/>
        <v>0</v>
      </c>
      <c r="RGL43">
        <f t="shared" si="233"/>
        <v>0</v>
      </c>
      <c r="RGM43">
        <f t="shared" si="233"/>
        <v>0</v>
      </c>
      <c r="RGN43">
        <f t="shared" si="233"/>
        <v>0</v>
      </c>
      <c r="RGO43">
        <f t="shared" si="233"/>
        <v>0</v>
      </c>
      <c r="RGP43">
        <f t="shared" si="233"/>
        <v>0</v>
      </c>
      <c r="RGQ43">
        <f t="shared" si="233"/>
        <v>0</v>
      </c>
      <c r="RGR43">
        <f t="shared" si="233"/>
        <v>0</v>
      </c>
      <c r="RGS43">
        <f t="shared" si="233"/>
        <v>0</v>
      </c>
      <c r="RGT43">
        <f t="shared" si="233"/>
        <v>0</v>
      </c>
      <c r="RGU43">
        <f t="shared" si="233"/>
        <v>0</v>
      </c>
      <c r="RGV43">
        <f t="shared" si="233"/>
        <v>0</v>
      </c>
      <c r="RGW43">
        <f t="shared" si="233"/>
        <v>0</v>
      </c>
      <c r="RGX43">
        <f t="shared" si="233"/>
        <v>0</v>
      </c>
      <c r="RGY43">
        <f t="shared" si="233"/>
        <v>0</v>
      </c>
      <c r="RGZ43">
        <f t="shared" si="233"/>
        <v>0</v>
      </c>
      <c r="RHA43">
        <f t="shared" si="233"/>
        <v>0</v>
      </c>
      <c r="RHB43">
        <f t="shared" si="233"/>
        <v>0</v>
      </c>
      <c r="RHC43">
        <f t="shared" si="233"/>
        <v>0</v>
      </c>
      <c r="RHD43">
        <f t="shared" si="233"/>
        <v>0</v>
      </c>
      <c r="RHE43">
        <f t="shared" si="233"/>
        <v>0</v>
      </c>
      <c r="RHF43">
        <f t="shared" si="233"/>
        <v>0</v>
      </c>
      <c r="RHG43">
        <f t="shared" si="233"/>
        <v>0</v>
      </c>
      <c r="RHH43">
        <f t="shared" si="233"/>
        <v>0</v>
      </c>
      <c r="RHI43">
        <f t="shared" si="233"/>
        <v>0</v>
      </c>
      <c r="RHJ43">
        <f t="shared" si="233"/>
        <v>0</v>
      </c>
      <c r="RHK43">
        <f t="shared" si="233"/>
        <v>0</v>
      </c>
      <c r="RHL43">
        <f t="shared" si="233"/>
        <v>0</v>
      </c>
      <c r="RHM43">
        <f t="shared" si="233"/>
        <v>0</v>
      </c>
      <c r="RHN43">
        <f t="shared" si="233"/>
        <v>0</v>
      </c>
      <c r="RHO43">
        <f t="shared" si="233"/>
        <v>0</v>
      </c>
      <c r="RHP43">
        <f t="shared" si="233"/>
        <v>0</v>
      </c>
      <c r="RHQ43">
        <f t="shared" si="233"/>
        <v>0</v>
      </c>
      <c r="RHR43">
        <f t="shared" si="233"/>
        <v>0</v>
      </c>
      <c r="RHS43">
        <f t="shared" si="233"/>
        <v>0</v>
      </c>
      <c r="RHT43">
        <f t="shared" si="233"/>
        <v>0</v>
      </c>
      <c r="RHU43">
        <f t="shared" si="233"/>
        <v>0</v>
      </c>
      <c r="RHV43">
        <f t="shared" si="233"/>
        <v>0</v>
      </c>
      <c r="RHW43">
        <f t="shared" si="233"/>
        <v>0</v>
      </c>
      <c r="RHX43">
        <f t="shared" si="233"/>
        <v>0</v>
      </c>
      <c r="RHY43">
        <f t="shared" si="233"/>
        <v>0</v>
      </c>
      <c r="RHZ43">
        <f t="shared" si="233"/>
        <v>0</v>
      </c>
      <c r="RIA43">
        <f t="shared" si="233"/>
        <v>0</v>
      </c>
      <c r="RIB43">
        <f t="shared" si="233"/>
        <v>0</v>
      </c>
      <c r="RIC43">
        <f t="shared" si="233"/>
        <v>0</v>
      </c>
      <c r="RID43">
        <f t="shared" si="233"/>
        <v>0</v>
      </c>
      <c r="RIE43">
        <f t="shared" si="233"/>
        <v>0</v>
      </c>
      <c r="RIF43">
        <f t="shared" si="233"/>
        <v>0</v>
      </c>
      <c r="RIG43">
        <f t="shared" si="233"/>
        <v>0</v>
      </c>
      <c r="RIH43">
        <f t="shared" si="233"/>
        <v>0</v>
      </c>
      <c r="RII43">
        <f t="shared" si="233"/>
        <v>0</v>
      </c>
      <c r="RIJ43">
        <f t="shared" si="233"/>
        <v>0</v>
      </c>
      <c r="RIK43">
        <f t="shared" si="233"/>
        <v>0</v>
      </c>
      <c r="RIL43">
        <f t="shared" si="234"/>
        <v>0</v>
      </c>
      <c r="RIM43">
        <f t="shared" si="234"/>
        <v>0</v>
      </c>
      <c r="RIN43">
        <f t="shared" si="234"/>
        <v>0</v>
      </c>
      <c r="RIO43">
        <f t="shared" si="234"/>
        <v>0</v>
      </c>
      <c r="RIP43">
        <f t="shared" si="234"/>
        <v>0</v>
      </c>
      <c r="RIQ43">
        <f t="shared" si="234"/>
        <v>0</v>
      </c>
      <c r="RIR43">
        <f t="shared" si="234"/>
        <v>0</v>
      </c>
      <c r="RIS43">
        <f t="shared" si="234"/>
        <v>0</v>
      </c>
      <c r="RIT43">
        <f t="shared" si="234"/>
        <v>0</v>
      </c>
      <c r="RIU43">
        <f t="shared" si="234"/>
        <v>0</v>
      </c>
      <c r="RIV43">
        <f t="shared" si="234"/>
        <v>0</v>
      </c>
      <c r="RIW43">
        <f t="shared" si="234"/>
        <v>0</v>
      </c>
      <c r="RIX43">
        <f t="shared" si="234"/>
        <v>0</v>
      </c>
      <c r="RIY43">
        <f t="shared" si="234"/>
        <v>0</v>
      </c>
      <c r="RIZ43">
        <f t="shared" si="234"/>
        <v>0</v>
      </c>
      <c r="RJA43">
        <f t="shared" si="234"/>
        <v>0</v>
      </c>
      <c r="RJB43">
        <f t="shared" si="234"/>
        <v>0</v>
      </c>
      <c r="RJC43">
        <f t="shared" si="234"/>
        <v>0</v>
      </c>
      <c r="RJD43">
        <f t="shared" si="234"/>
        <v>0</v>
      </c>
      <c r="RJE43">
        <f t="shared" si="234"/>
        <v>0</v>
      </c>
      <c r="RJF43">
        <f t="shared" si="234"/>
        <v>0</v>
      </c>
      <c r="RJG43">
        <f t="shared" si="234"/>
        <v>0</v>
      </c>
      <c r="RJH43">
        <f t="shared" si="234"/>
        <v>0</v>
      </c>
      <c r="RJI43">
        <f t="shared" si="234"/>
        <v>0</v>
      </c>
      <c r="RJJ43">
        <f t="shared" si="234"/>
        <v>0</v>
      </c>
      <c r="RJK43">
        <f t="shared" si="234"/>
        <v>0</v>
      </c>
      <c r="RJL43">
        <f t="shared" si="234"/>
        <v>0</v>
      </c>
      <c r="RJM43">
        <f t="shared" si="234"/>
        <v>0</v>
      </c>
      <c r="RJN43">
        <f t="shared" si="234"/>
        <v>0</v>
      </c>
      <c r="RJO43">
        <f t="shared" si="234"/>
        <v>0</v>
      </c>
      <c r="RJP43">
        <f t="shared" si="234"/>
        <v>0</v>
      </c>
      <c r="RJQ43">
        <f t="shared" si="234"/>
        <v>0</v>
      </c>
      <c r="RJR43">
        <f t="shared" si="234"/>
        <v>0</v>
      </c>
      <c r="RJS43">
        <f t="shared" si="234"/>
        <v>0</v>
      </c>
      <c r="RJT43">
        <f t="shared" si="234"/>
        <v>0</v>
      </c>
      <c r="RJU43">
        <f t="shared" si="234"/>
        <v>0</v>
      </c>
      <c r="RJV43">
        <f t="shared" si="234"/>
        <v>0</v>
      </c>
      <c r="RJW43">
        <f t="shared" si="234"/>
        <v>0</v>
      </c>
      <c r="RJX43">
        <f t="shared" si="234"/>
        <v>0</v>
      </c>
      <c r="RJY43">
        <f t="shared" si="234"/>
        <v>0</v>
      </c>
      <c r="RJZ43">
        <f t="shared" si="234"/>
        <v>0</v>
      </c>
      <c r="RKA43">
        <f t="shared" si="234"/>
        <v>0</v>
      </c>
      <c r="RKB43">
        <f t="shared" si="234"/>
        <v>0</v>
      </c>
      <c r="RKC43">
        <f t="shared" si="234"/>
        <v>0</v>
      </c>
      <c r="RKD43">
        <f t="shared" si="234"/>
        <v>0</v>
      </c>
      <c r="RKE43">
        <f t="shared" si="234"/>
        <v>0</v>
      </c>
      <c r="RKF43">
        <f t="shared" si="234"/>
        <v>0</v>
      </c>
      <c r="RKG43">
        <f t="shared" si="234"/>
        <v>0</v>
      </c>
      <c r="RKH43">
        <f t="shared" si="234"/>
        <v>0</v>
      </c>
      <c r="RKI43">
        <f t="shared" si="234"/>
        <v>0</v>
      </c>
      <c r="RKJ43">
        <f t="shared" si="234"/>
        <v>0</v>
      </c>
      <c r="RKK43">
        <f t="shared" si="234"/>
        <v>0</v>
      </c>
      <c r="RKL43">
        <f t="shared" si="234"/>
        <v>0</v>
      </c>
      <c r="RKM43">
        <f t="shared" si="234"/>
        <v>0</v>
      </c>
      <c r="RKN43">
        <f t="shared" si="234"/>
        <v>0</v>
      </c>
      <c r="RKO43">
        <f t="shared" si="234"/>
        <v>0</v>
      </c>
      <c r="RKP43">
        <f t="shared" si="234"/>
        <v>0</v>
      </c>
      <c r="RKQ43">
        <f t="shared" si="234"/>
        <v>0</v>
      </c>
      <c r="RKR43">
        <f t="shared" si="234"/>
        <v>0</v>
      </c>
      <c r="RKS43">
        <f t="shared" si="234"/>
        <v>0</v>
      </c>
      <c r="RKT43">
        <f t="shared" si="234"/>
        <v>0</v>
      </c>
      <c r="RKU43">
        <f t="shared" si="234"/>
        <v>0</v>
      </c>
      <c r="RKV43">
        <f t="shared" si="234"/>
        <v>0</v>
      </c>
      <c r="RKW43">
        <f t="shared" si="234"/>
        <v>0</v>
      </c>
      <c r="RKX43">
        <f t="shared" si="235"/>
        <v>0</v>
      </c>
      <c r="RKY43">
        <f t="shared" si="235"/>
        <v>0</v>
      </c>
      <c r="RKZ43">
        <f t="shared" si="235"/>
        <v>0</v>
      </c>
      <c r="RLA43">
        <f t="shared" si="235"/>
        <v>0</v>
      </c>
      <c r="RLB43">
        <f t="shared" si="235"/>
        <v>0</v>
      </c>
      <c r="RLC43">
        <f t="shared" si="235"/>
        <v>0</v>
      </c>
      <c r="RLD43">
        <f t="shared" si="235"/>
        <v>0</v>
      </c>
      <c r="RLE43">
        <f t="shared" si="235"/>
        <v>0</v>
      </c>
      <c r="RLF43">
        <f t="shared" si="235"/>
        <v>0</v>
      </c>
      <c r="RLG43">
        <f t="shared" si="235"/>
        <v>0</v>
      </c>
      <c r="RLH43">
        <f t="shared" si="235"/>
        <v>0</v>
      </c>
      <c r="RLI43">
        <f t="shared" si="235"/>
        <v>0</v>
      </c>
      <c r="RLJ43">
        <f t="shared" si="235"/>
        <v>0</v>
      </c>
      <c r="RLK43">
        <f t="shared" si="235"/>
        <v>0</v>
      </c>
      <c r="RLL43">
        <f t="shared" si="235"/>
        <v>0</v>
      </c>
      <c r="RLM43">
        <f t="shared" si="235"/>
        <v>0</v>
      </c>
      <c r="RLN43">
        <f t="shared" si="235"/>
        <v>0</v>
      </c>
      <c r="RLO43">
        <f t="shared" si="235"/>
        <v>0</v>
      </c>
      <c r="RLP43">
        <f t="shared" si="235"/>
        <v>0</v>
      </c>
      <c r="RLQ43">
        <f t="shared" si="235"/>
        <v>0</v>
      </c>
      <c r="RLR43">
        <f t="shared" si="235"/>
        <v>0</v>
      </c>
      <c r="RLS43">
        <f t="shared" si="235"/>
        <v>0</v>
      </c>
      <c r="RLT43">
        <f t="shared" si="235"/>
        <v>0</v>
      </c>
      <c r="RLU43">
        <f t="shared" si="235"/>
        <v>0</v>
      </c>
      <c r="RLV43">
        <f t="shared" si="235"/>
        <v>0</v>
      </c>
      <c r="RLW43">
        <f t="shared" si="235"/>
        <v>0</v>
      </c>
      <c r="RLX43">
        <f t="shared" si="235"/>
        <v>0</v>
      </c>
      <c r="RLY43">
        <f t="shared" si="235"/>
        <v>0</v>
      </c>
      <c r="RLZ43">
        <f t="shared" si="235"/>
        <v>0</v>
      </c>
      <c r="RMA43">
        <f t="shared" si="235"/>
        <v>0</v>
      </c>
      <c r="RMB43">
        <f t="shared" si="235"/>
        <v>0</v>
      </c>
      <c r="RMC43">
        <f t="shared" si="235"/>
        <v>0</v>
      </c>
      <c r="RMD43">
        <f t="shared" si="235"/>
        <v>0</v>
      </c>
      <c r="RME43">
        <f t="shared" si="235"/>
        <v>0</v>
      </c>
      <c r="RMF43">
        <f t="shared" si="235"/>
        <v>0</v>
      </c>
      <c r="RMG43">
        <f t="shared" si="235"/>
        <v>0</v>
      </c>
      <c r="RMH43">
        <f t="shared" si="235"/>
        <v>0</v>
      </c>
      <c r="RMI43">
        <f t="shared" si="235"/>
        <v>0</v>
      </c>
      <c r="RMJ43">
        <f t="shared" si="235"/>
        <v>0</v>
      </c>
      <c r="RMK43">
        <f t="shared" si="235"/>
        <v>0</v>
      </c>
      <c r="RML43">
        <f t="shared" si="235"/>
        <v>0</v>
      </c>
      <c r="RMM43">
        <f t="shared" si="235"/>
        <v>0</v>
      </c>
      <c r="RMN43">
        <f t="shared" si="235"/>
        <v>0</v>
      </c>
      <c r="RMO43">
        <f t="shared" si="235"/>
        <v>0</v>
      </c>
      <c r="RMP43">
        <f t="shared" si="235"/>
        <v>0</v>
      </c>
      <c r="RMQ43">
        <f t="shared" si="235"/>
        <v>0</v>
      </c>
      <c r="RMR43">
        <f t="shared" si="235"/>
        <v>0</v>
      </c>
      <c r="RMS43">
        <f t="shared" si="235"/>
        <v>0</v>
      </c>
      <c r="RMT43">
        <f t="shared" si="235"/>
        <v>0</v>
      </c>
      <c r="RMU43">
        <f t="shared" si="235"/>
        <v>0</v>
      </c>
      <c r="RMV43">
        <f t="shared" si="235"/>
        <v>0</v>
      </c>
      <c r="RMW43">
        <f t="shared" si="235"/>
        <v>0</v>
      </c>
      <c r="RMX43">
        <f t="shared" si="235"/>
        <v>0</v>
      </c>
      <c r="RMY43">
        <f t="shared" si="235"/>
        <v>0</v>
      </c>
      <c r="RMZ43">
        <f t="shared" si="235"/>
        <v>0</v>
      </c>
      <c r="RNA43">
        <f t="shared" si="235"/>
        <v>0</v>
      </c>
      <c r="RNB43">
        <f t="shared" si="235"/>
        <v>0</v>
      </c>
      <c r="RNC43">
        <f t="shared" si="235"/>
        <v>0</v>
      </c>
      <c r="RND43">
        <f t="shared" si="235"/>
        <v>0</v>
      </c>
      <c r="RNE43">
        <f t="shared" si="235"/>
        <v>0</v>
      </c>
      <c r="RNF43">
        <f t="shared" si="235"/>
        <v>0</v>
      </c>
      <c r="RNG43">
        <f t="shared" si="235"/>
        <v>0</v>
      </c>
      <c r="RNH43">
        <f t="shared" si="235"/>
        <v>0</v>
      </c>
      <c r="RNI43">
        <f t="shared" si="235"/>
        <v>0</v>
      </c>
      <c r="RNJ43">
        <f t="shared" si="236"/>
        <v>0</v>
      </c>
      <c r="RNK43">
        <f t="shared" si="236"/>
        <v>0</v>
      </c>
      <c r="RNL43">
        <f t="shared" si="236"/>
        <v>0</v>
      </c>
      <c r="RNM43">
        <f t="shared" si="236"/>
        <v>0</v>
      </c>
      <c r="RNN43">
        <f t="shared" si="236"/>
        <v>0</v>
      </c>
      <c r="RNO43">
        <f t="shared" si="236"/>
        <v>0</v>
      </c>
      <c r="RNP43">
        <f t="shared" si="236"/>
        <v>0</v>
      </c>
      <c r="RNQ43">
        <f t="shared" si="236"/>
        <v>0</v>
      </c>
      <c r="RNR43">
        <f t="shared" si="236"/>
        <v>0</v>
      </c>
      <c r="RNS43">
        <f t="shared" si="236"/>
        <v>0</v>
      </c>
      <c r="RNT43">
        <f t="shared" si="236"/>
        <v>0</v>
      </c>
      <c r="RNU43">
        <f t="shared" si="236"/>
        <v>0</v>
      </c>
      <c r="RNV43">
        <f t="shared" si="236"/>
        <v>0</v>
      </c>
      <c r="RNW43">
        <f t="shared" si="236"/>
        <v>0</v>
      </c>
      <c r="RNX43">
        <f t="shared" si="236"/>
        <v>0</v>
      </c>
      <c r="RNY43">
        <f t="shared" si="236"/>
        <v>0</v>
      </c>
      <c r="RNZ43">
        <f t="shared" si="236"/>
        <v>0</v>
      </c>
      <c r="ROA43">
        <f t="shared" si="236"/>
        <v>0</v>
      </c>
      <c r="ROB43">
        <f t="shared" si="236"/>
        <v>0</v>
      </c>
      <c r="ROC43">
        <f t="shared" si="236"/>
        <v>0</v>
      </c>
      <c r="ROD43">
        <f t="shared" si="236"/>
        <v>0</v>
      </c>
      <c r="ROE43">
        <f t="shared" si="236"/>
        <v>0</v>
      </c>
      <c r="ROF43">
        <f t="shared" si="236"/>
        <v>0</v>
      </c>
      <c r="ROG43">
        <f t="shared" si="236"/>
        <v>0</v>
      </c>
      <c r="ROH43">
        <f t="shared" si="236"/>
        <v>0</v>
      </c>
      <c r="ROI43">
        <f t="shared" si="236"/>
        <v>0</v>
      </c>
      <c r="ROJ43">
        <f t="shared" si="236"/>
        <v>0</v>
      </c>
      <c r="ROK43">
        <f t="shared" si="236"/>
        <v>0</v>
      </c>
      <c r="ROL43">
        <f t="shared" si="236"/>
        <v>0</v>
      </c>
      <c r="ROM43">
        <f t="shared" si="236"/>
        <v>0</v>
      </c>
      <c r="RON43">
        <f t="shared" si="236"/>
        <v>0</v>
      </c>
      <c r="ROO43">
        <f t="shared" si="236"/>
        <v>0</v>
      </c>
      <c r="ROP43">
        <f t="shared" si="236"/>
        <v>0</v>
      </c>
      <c r="ROQ43">
        <f t="shared" si="236"/>
        <v>0</v>
      </c>
      <c r="ROR43">
        <f t="shared" si="236"/>
        <v>0</v>
      </c>
      <c r="ROS43">
        <f t="shared" si="236"/>
        <v>0</v>
      </c>
      <c r="ROT43">
        <f t="shared" si="236"/>
        <v>0</v>
      </c>
      <c r="ROU43">
        <f t="shared" si="236"/>
        <v>0</v>
      </c>
      <c r="ROV43">
        <f t="shared" si="236"/>
        <v>0</v>
      </c>
      <c r="ROW43">
        <f t="shared" si="236"/>
        <v>0</v>
      </c>
      <c r="ROX43">
        <f t="shared" si="236"/>
        <v>0</v>
      </c>
      <c r="ROY43">
        <f t="shared" si="236"/>
        <v>0</v>
      </c>
      <c r="ROZ43">
        <f t="shared" si="236"/>
        <v>0</v>
      </c>
      <c r="RPA43">
        <f t="shared" si="236"/>
        <v>0</v>
      </c>
      <c r="RPB43">
        <f t="shared" si="236"/>
        <v>0</v>
      </c>
      <c r="RPC43">
        <f t="shared" si="236"/>
        <v>0</v>
      </c>
      <c r="RPD43">
        <f t="shared" si="236"/>
        <v>0</v>
      </c>
      <c r="RPE43">
        <f t="shared" si="236"/>
        <v>0</v>
      </c>
      <c r="RPF43">
        <f t="shared" si="236"/>
        <v>0</v>
      </c>
      <c r="RPG43">
        <f t="shared" si="236"/>
        <v>0</v>
      </c>
      <c r="RPH43">
        <f t="shared" si="236"/>
        <v>0</v>
      </c>
      <c r="RPI43">
        <f t="shared" si="236"/>
        <v>0</v>
      </c>
      <c r="RPJ43">
        <f t="shared" si="236"/>
        <v>0</v>
      </c>
      <c r="RPK43">
        <f t="shared" si="236"/>
        <v>0</v>
      </c>
      <c r="RPL43">
        <f t="shared" si="236"/>
        <v>0</v>
      </c>
      <c r="RPM43">
        <f t="shared" si="236"/>
        <v>0</v>
      </c>
      <c r="RPN43">
        <f t="shared" si="236"/>
        <v>0</v>
      </c>
      <c r="RPO43">
        <f t="shared" si="236"/>
        <v>0</v>
      </c>
      <c r="RPP43">
        <f t="shared" si="236"/>
        <v>0</v>
      </c>
      <c r="RPQ43">
        <f t="shared" si="236"/>
        <v>0</v>
      </c>
      <c r="RPR43">
        <f t="shared" si="236"/>
        <v>0</v>
      </c>
      <c r="RPS43">
        <f t="shared" si="236"/>
        <v>0</v>
      </c>
      <c r="RPT43">
        <f t="shared" si="236"/>
        <v>0</v>
      </c>
      <c r="RPU43">
        <f t="shared" si="236"/>
        <v>0</v>
      </c>
      <c r="RPV43">
        <f t="shared" si="237"/>
        <v>0</v>
      </c>
      <c r="RPW43">
        <f t="shared" si="237"/>
        <v>0</v>
      </c>
      <c r="RPX43">
        <f t="shared" si="237"/>
        <v>0</v>
      </c>
      <c r="RPY43">
        <f t="shared" si="237"/>
        <v>0</v>
      </c>
      <c r="RPZ43">
        <f t="shared" si="237"/>
        <v>0</v>
      </c>
      <c r="RQA43">
        <f t="shared" si="237"/>
        <v>0</v>
      </c>
      <c r="RQB43">
        <f t="shared" si="237"/>
        <v>0</v>
      </c>
      <c r="RQC43">
        <f t="shared" si="237"/>
        <v>0</v>
      </c>
      <c r="RQD43">
        <f t="shared" si="237"/>
        <v>0</v>
      </c>
      <c r="RQE43">
        <f t="shared" si="237"/>
        <v>0</v>
      </c>
      <c r="RQF43">
        <f t="shared" si="237"/>
        <v>0</v>
      </c>
      <c r="RQG43">
        <f t="shared" si="237"/>
        <v>0</v>
      </c>
      <c r="RQH43">
        <f t="shared" si="237"/>
        <v>0</v>
      </c>
      <c r="RQI43">
        <f t="shared" si="237"/>
        <v>0</v>
      </c>
      <c r="RQJ43">
        <f t="shared" si="237"/>
        <v>0</v>
      </c>
      <c r="RQK43">
        <f t="shared" si="237"/>
        <v>0</v>
      </c>
      <c r="RQL43">
        <f t="shared" si="237"/>
        <v>0</v>
      </c>
      <c r="RQM43">
        <f t="shared" si="237"/>
        <v>0</v>
      </c>
      <c r="RQN43">
        <f t="shared" si="237"/>
        <v>0</v>
      </c>
      <c r="RQO43">
        <f t="shared" si="237"/>
        <v>0</v>
      </c>
      <c r="RQP43">
        <f t="shared" si="237"/>
        <v>0</v>
      </c>
      <c r="RQQ43">
        <f t="shared" si="237"/>
        <v>0</v>
      </c>
      <c r="RQR43">
        <f t="shared" si="237"/>
        <v>0</v>
      </c>
      <c r="RQS43">
        <f t="shared" si="237"/>
        <v>0</v>
      </c>
      <c r="RQT43">
        <f t="shared" si="237"/>
        <v>0</v>
      </c>
      <c r="RQU43">
        <f t="shared" si="237"/>
        <v>0</v>
      </c>
      <c r="RQV43">
        <f t="shared" si="237"/>
        <v>0</v>
      </c>
      <c r="RQW43">
        <f t="shared" si="237"/>
        <v>0</v>
      </c>
      <c r="RQX43">
        <f t="shared" si="237"/>
        <v>0</v>
      </c>
      <c r="RQY43">
        <f t="shared" si="237"/>
        <v>0</v>
      </c>
      <c r="RQZ43">
        <f t="shared" si="237"/>
        <v>0</v>
      </c>
      <c r="RRA43">
        <f t="shared" si="237"/>
        <v>0</v>
      </c>
      <c r="RRB43">
        <f t="shared" si="237"/>
        <v>0</v>
      </c>
      <c r="RRC43">
        <f t="shared" si="237"/>
        <v>0</v>
      </c>
      <c r="RRD43">
        <f t="shared" si="237"/>
        <v>0</v>
      </c>
      <c r="RRE43">
        <f t="shared" si="237"/>
        <v>0</v>
      </c>
      <c r="RRF43">
        <f t="shared" si="237"/>
        <v>0</v>
      </c>
      <c r="RRG43">
        <f t="shared" si="237"/>
        <v>0</v>
      </c>
      <c r="RRH43">
        <f t="shared" si="237"/>
        <v>0</v>
      </c>
      <c r="RRI43">
        <f t="shared" si="237"/>
        <v>0</v>
      </c>
      <c r="RRJ43">
        <f t="shared" si="237"/>
        <v>0</v>
      </c>
      <c r="RRK43">
        <f t="shared" si="237"/>
        <v>0</v>
      </c>
      <c r="RRL43">
        <f t="shared" si="237"/>
        <v>0</v>
      </c>
      <c r="RRM43">
        <f t="shared" si="237"/>
        <v>0</v>
      </c>
      <c r="RRN43">
        <f t="shared" si="237"/>
        <v>0</v>
      </c>
      <c r="RRO43">
        <f t="shared" si="237"/>
        <v>0</v>
      </c>
      <c r="RRP43">
        <f t="shared" si="237"/>
        <v>0</v>
      </c>
      <c r="RRQ43">
        <f t="shared" si="237"/>
        <v>0</v>
      </c>
      <c r="RRR43">
        <f t="shared" si="237"/>
        <v>0</v>
      </c>
      <c r="RRS43">
        <f t="shared" si="237"/>
        <v>0</v>
      </c>
      <c r="RRT43">
        <f t="shared" si="237"/>
        <v>0</v>
      </c>
      <c r="RRU43">
        <f t="shared" si="237"/>
        <v>0</v>
      </c>
      <c r="RRV43">
        <f t="shared" si="237"/>
        <v>0</v>
      </c>
      <c r="RRW43">
        <f t="shared" si="237"/>
        <v>0</v>
      </c>
      <c r="RRX43">
        <f t="shared" si="237"/>
        <v>0</v>
      </c>
      <c r="RRY43">
        <f t="shared" si="237"/>
        <v>0</v>
      </c>
      <c r="RRZ43">
        <f t="shared" si="237"/>
        <v>0</v>
      </c>
      <c r="RSA43">
        <f t="shared" si="237"/>
        <v>0</v>
      </c>
      <c r="RSB43">
        <f t="shared" si="237"/>
        <v>0</v>
      </c>
      <c r="RSC43">
        <f t="shared" si="237"/>
        <v>0</v>
      </c>
      <c r="RSD43">
        <f t="shared" si="237"/>
        <v>0</v>
      </c>
      <c r="RSE43">
        <f t="shared" si="237"/>
        <v>0</v>
      </c>
      <c r="RSF43">
        <f t="shared" si="237"/>
        <v>0</v>
      </c>
      <c r="RSG43">
        <f t="shared" si="237"/>
        <v>0</v>
      </c>
      <c r="RSH43">
        <f t="shared" si="238"/>
        <v>0</v>
      </c>
      <c r="RSI43">
        <f t="shared" si="238"/>
        <v>0</v>
      </c>
      <c r="RSJ43">
        <f t="shared" si="238"/>
        <v>0</v>
      </c>
      <c r="RSK43">
        <f t="shared" si="238"/>
        <v>0</v>
      </c>
      <c r="RSL43">
        <f t="shared" si="238"/>
        <v>0</v>
      </c>
      <c r="RSM43">
        <f t="shared" si="238"/>
        <v>0</v>
      </c>
      <c r="RSN43">
        <f t="shared" si="238"/>
        <v>0</v>
      </c>
      <c r="RSO43">
        <f t="shared" si="238"/>
        <v>0</v>
      </c>
      <c r="RSP43">
        <f t="shared" si="238"/>
        <v>0</v>
      </c>
      <c r="RSQ43">
        <f t="shared" si="238"/>
        <v>0</v>
      </c>
      <c r="RSR43">
        <f t="shared" si="238"/>
        <v>0</v>
      </c>
      <c r="RSS43">
        <f t="shared" si="238"/>
        <v>0</v>
      </c>
      <c r="RST43">
        <f t="shared" si="238"/>
        <v>0</v>
      </c>
      <c r="RSU43">
        <f t="shared" si="238"/>
        <v>0</v>
      </c>
      <c r="RSV43">
        <f t="shared" si="238"/>
        <v>0</v>
      </c>
      <c r="RSW43">
        <f t="shared" si="238"/>
        <v>0</v>
      </c>
      <c r="RSX43">
        <f t="shared" si="238"/>
        <v>0</v>
      </c>
      <c r="RSY43">
        <f t="shared" si="238"/>
        <v>0</v>
      </c>
      <c r="RSZ43">
        <f t="shared" si="238"/>
        <v>0</v>
      </c>
      <c r="RTA43">
        <f t="shared" si="238"/>
        <v>0</v>
      </c>
      <c r="RTB43">
        <f t="shared" si="238"/>
        <v>0</v>
      </c>
      <c r="RTC43">
        <f t="shared" si="238"/>
        <v>0</v>
      </c>
      <c r="RTD43">
        <f t="shared" si="238"/>
        <v>0</v>
      </c>
      <c r="RTE43">
        <f t="shared" si="238"/>
        <v>0</v>
      </c>
      <c r="RTF43">
        <f t="shared" si="238"/>
        <v>0</v>
      </c>
      <c r="RTG43">
        <f t="shared" si="238"/>
        <v>0</v>
      </c>
      <c r="RTH43">
        <f t="shared" si="238"/>
        <v>0</v>
      </c>
      <c r="RTI43">
        <f t="shared" si="238"/>
        <v>0</v>
      </c>
      <c r="RTJ43">
        <f t="shared" si="238"/>
        <v>0</v>
      </c>
      <c r="RTK43">
        <f t="shared" si="238"/>
        <v>0</v>
      </c>
      <c r="RTL43">
        <f t="shared" si="238"/>
        <v>0</v>
      </c>
      <c r="RTM43">
        <f t="shared" si="238"/>
        <v>0</v>
      </c>
      <c r="RTN43">
        <f t="shared" si="238"/>
        <v>0</v>
      </c>
      <c r="RTO43">
        <f t="shared" si="238"/>
        <v>0</v>
      </c>
      <c r="RTP43">
        <f t="shared" si="238"/>
        <v>0</v>
      </c>
      <c r="RTQ43">
        <f t="shared" si="238"/>
        <v>0</v>
      </c>
      <c r="RTR43">
        <f t="shared" si="238"/>
        <v>0</v>
      </c>
      <c r="RTS43">
        <f t="shared" si="238"/>
        <v>0</v>
      </c>
      <c r="RTT43">
        <f t="shared" si="238"/>
        <v>0</v>
      </c>
      <c r="RTU43">
        <f t="shared" si="238"/>
        <v>0</v>
      </c>
      <c r="RTV43">
        <f t="shared" si="238"/>
        <v>0</v>
      </c>
      <c r="RTW43">
        <f t="shared" si="238"/>
        <v>0</v>
      </c>
      <c r="RTX43">
        <f t="shared" si="238"/>
        <v>0</v>
      </c>
      <c r="RTY43">
        <f t="shared" si="238"/>
        <v>0</v>
      </c>
      <c r="RTZ43">
        <f t="shared" si="238"/>
        <v>0</v>
      </c>
      <c r="RUA43">
        <f t="shared" si="238"/>
        <v>0</v>
      </c>
      <c r="RUB43">
        <f t="shared" si="238"/>
        <v>0</v>
      </c>
      <c r="RUC43">
        <f t="shared" si="238"/>
        <v>0</v>
      </c>
      <c r="RUD43">
        <f t="shared" si="238"/>
        <v>0</v>
      </c>
      <c r="RUE43">
        <f t="shared" si="238"/>
        <v>0</v>
      </c>
      <c r="RUF43">
        <f t="shared" si="238"/>
        <v>0</v>
      </c>
      <c r="RUG43">
        <f t="shared" si="238"/>
        <v>0</v>
      </c>
      <c r="RUH43">
        <f t="shared" si="238"/>
        <v>0</v>
      </c>
      <c r="RUI43">
        <f t="shared" si="238"/>
        <v>0</v>
      </c>
      <c r="RUJ43">
        <f t="shared" si="238"/>
        <v>0</v>
      </c>
      <c r="RUK43">
        <f t="shared" si="238"/>
        <v>0</v>
      </c>
      <c r="RUL43">
        <f t="shared" si="238"/>
        <v>0</v>
      </c>
      <c r="RUM43">
        <f t="shared" si="238"/>
        <v>0</v>
      </c>
      <c r="RUN43">
        <f t="shared" si="238"/>
        <v>0</v>
      </c>
      <c r="RUO43">
        <f t="shared" si="238"/>
        <v>0</v>
      </c>
      <c r="RUP43">
        <f t="shared" si="238"/>
        <v>0</v>
      </c>
      <c r="RUQ43">
        <f t="shared" si="238"/>
        <v>0</v>
      </c>
      <c r="RUR43">
        <f t="shared" si="238"/>
        <v>0</v>
      </c>
      <c r="RUS43">
        <f t="shared" si="238"/>
        <v>0</v>
      </c>
      <c r="RUT43">
        <f t="shared" si="239"/>
        <v>0</v>
      </c>
      <c r="RUU43">
        <f t="shared" si="239"/>
        <v>0</v>
      </c>
      <c r="RUV43">
        <f t="shared" si="239"/>
        <v>0</v>
      </c>
      <c r="RUW43">
        <f t="shared" si="239"/>
        <v>0</v>
      </c>
      <c r="RUX43">
        <f t="shared" si="239"/>
        <v>0</v>
      </c>
      <c r="RUY43">
        <f t="shared" si="239"/>
        <v>0</v>
      </c>
      <c r="RUZ43">
        <f t="shared" si="239"/>
        <v>0</v>
      </c>
      <c r="RVA43">
        <f t="shared" si="239"/>
        <v>0</v>
      </c>
      <c r="RVB43">
        <f t="shared" si="239"/>
        <v>0</v>
      </c>
      <c r="RVC43">
        <f t="shared" si="239"/>
        <v>0</v>
      </c>
      <c r="RVD43">
        <f t="shared" si="239"/>
        <v>0</v>
      </c>
      <c r="RVE43">
        <f t="shared" si="239"/>
        <v>0</v>
      </c>
      <c r="RVF43">
        <f t="shared" si="239"/>
        <v>0</v>
      </c>
      <c r="RVG43">
        <f t="shared" si="239"/>
        <v>0</v>
      </c>
      <c r="RVH43">
        <f t="shared" si="239"/>
        <v>0</v>
      </c>
      <c r="RVI43">
        <f t="shared" si="239"/>
        <v>0</v>
      </c>
      <c r="RVJ43">
        <f t="shared" si="239"/>
        <v>0</v>
      </c>
      <c r="RVK43">
        <f t="shared" si="239"/>
        <v>0</v>
      </c>
      <c r="RVL43">
        <f t="shared" si="239"/>
        <v>0</v>
      </c>
      <c r="RVM43">
        <f t="shared" si="239"/>
        <v>0</v>
      </c>
      <c r="RVN43">
        <f t="shared" si="239"/>
        <v>0</v>
      </c>
      <c r="RVO43">
        <f t="shared" si="239"/>
        <v>0</v>
      </c>
      <c r="RVP43">
        <f t="shared" si="239"/>
        <v>0</v>
      </c>
      <c r="RVQ43">
        <f t="shared" si="239"/>
        <v>0</v>
      </c>
      <c r="RVR43">
        <f t="shared" si="239"/>
        <v>0</v>
      </c>
      <c r="RVS43">
        <f t="shared" si="239"/>
        <v>0</v>
      </c>
      <c r="RVT43">
        <f t="shared" si="239"/>
        <v>0</v>
      </c>
      <c r="RVU43">
        <f t="shared" si="239"/>
        <v>0</v>
      </c>
      <c r="RVV43">
        <f t="shared" si="239"/>
        <v>0</v>
      </c>
      <c r="RVW43">
        <f t="shared" si="239"/>
        <v>0</v>
      </c>
      <c r="RVX43">
        <f t="shared" si="239"/>
        <v>0</v>
      </c>
      <c r="RVY43">
        <f t="shared" si="239"/>
        <v>0</v>
      </c>
      <c r="RVZ43">
        <f t="shared" si="239"/>
        <v>0</v>
      </c>
      <c r="RWA43">
        <f t="shared" si="239"/>
        <v>0</v>
      </c>
      <c r="RWB43">
        <f t="shared" si="239"/>
        <v>0</v>
      </c>
      <c r="RWC43">
        <f t="shared" si="239"/>
        <v>0</v>
      </c>
      <c r="RWD43">
        <f t="shared" si="239"/>
        <v>0</v>
      </c>
      <c r="RWE43">
        <f t="shared" si="239"/>
        <v>0</v>
      </c>
      <c r="RWF43">
        <f t="shared" si="239"/>
        <v>0</v>
      </c>
      <c r="RWG43">
        <f t="shared" si="239"/>
        <v>0</v>
      </c>
      <c r="RWH43">
        <f t="shared" si="239"/>
        <v>0</v>
      </c>
      <c r="RWI43">
        <f t="shared" si="239"/>
        <v>0</v>
      </c>
      <c r="RWJ43">
        <f t="shared" si="239"/>
        <v>0</v>
      </c>
      <c r="RWK43">
        <f t="shared" si="239"/>
        <v>0</v>
      </c>
      <c r="RWL43">
        <f t="shared" si="239"/>
        <v>0</v>
      </c>
      <c r="RWM43">
        <f t="shared" si="239"/>
        <v>0</v>
      </c>
      <c r="RWN43">
        <f t="shared" si="239"/>
        <v>0</v>
      </c>
      <c r="RWO43">
        <f t="shared" si="239"/>
        <v>0</v>
      </c>
      <c r="RWP43">
        <f t="shared" si="239"/>
        <v>0</v>
      </c>
      <c r="RWQ43">
        <f t="shared" si="239"/>
        <v>0</v>
      </c>
      <c r="RWR43">
        <f t="shared" si="239"/>
        <v>0</v>
      </c>
      <c r="RWS43">
        <f t="shared" si="239"/>
        <v>0</v>
      </c>
      <c r="RWT43">
        <f t="shared" si="239"/>
        <v>0</v>
      </c>
      <c r="RWU43">
        <f t="shared" si="239"/>
        <v>0</v>
      </c>
      <c r="RWV43">
        <f t="shared" si="239"/>
        <v>0</v>
      </c>
      <c r="RWW43">
        <f t="shared" si="239"/>
        <v>0</v>
      </c>
      <c r="RWX43">
        <f t="shared" si="239"/>
        <v>0</v>
      </c>
      <c r="RWY43">
        <f t="shared" si="239"/>
        <v>0</v>
      </c>
      <c r="RWZ43">
        <f t="shared" si="239"/>
        <v>0</v>
      </c>
      <c r="RXA43">
        <f t="shared" si="239"/>
        <v>0</v>
      </c>
      <c r="RXB43">
        <f t="shared" si="239"/>
        <v>0</v>
      </c>
      <c r="RXC43">
        <f t="shared" si="239"/>
        <v>0</v>
      </c>
      <c r="RXD43">
        <f t="shared" si="239"/>
        <v>0</v>
      </c>
      <c r="RXE43">
        <f t="shared" si="239"/>
        <v>0</v>
      </c>
      <c r="RXF43">
        <f t="shared" si="240"/>
        <v>0</v>
      </c>
      <c r="RXG43">
        <f t="shared" si="240"/>
        <v>0</v>
      </c>
      <c r="RXH43">
        <f t="shared" si="240"/>
        <v>0</v>
      </c>
      <c r="RXI43">
        <f t="shared" si="240"/>
        <v>0</v>
      </c>
      <c r="RXJ43">
        <f t="shared" si="240"/>
        <v>0</v>
      </c>
      <c r="RXK43">
        <f t="shared" si="240"/>
        <v>0</v>
      </c>
      <c r="RXL43">
        <f t="shared" si="240"/>
        <v>0</v>
      </c>
      <c r="RXM43">
        <f t="shared" si="240"/>
        <v>0</v>
      </c>
      <c r="RXN43">
        <f t="shared" si="240"/>
        <v>0</v>
      </c>
      <c r="RXO43">
        <f t="shared" si="240"/>
        <v>0</v>
      </c>
      <c r="RXP43">
        <f t="shared" si="240"/>
        <v>0</v>
      </c>
      <c r="RXQ43">
        <f t="shared" si="240"/>
        <v>0</v>
      </c>
      <c r="RXR43">
        <f t="shared" si="240"/>
        <v>0</v>
      </c>
      <c r="RXS43">
        <f t="shared" si="240"/>
        <v>0</v>
      </c>
      <c r="RXT43">
        <f t="shared" si="240"/>
        <v>0</v>
      </c>
      <c r="RXU43">
        <f t="shared" si="240"/>
        <v>0</v>
      </c>
      <c r="RXV43">
        <f t="shared" si="240"/>
        <v>0</v>
      </c>
      <c r="RXW43">
        <f t="shared" si="240"/>
        <v>0</v>
      </c>
      <c r="RXX43">
        <f t="shared" si="240"/>
        <v>0</v>
      </c>
      <c r="RXY43">
        <f t="shared" si="240"/>
        <v>0</v>
      </c>
      <c r="RXZ43">
        <f t="shared" si="240"/>
        <v>0</v>
      </c>
      <c r="RYA43">
        <f t="shared" si="240"/>
        <v>0</v>
      </c>
      <c r="RYB43">
        <f t="shared" si="240"/>
        <v>0</v>
      </c>
      <c r="RYC43">
        <f t="shared" si="240"/>
        <v>0</v>
      </c>
      <c r="RYD43">
        <f t="shared" si="240"/>
        <v>0</v>
      </c>
      <c r="RYE43">
        <f t="shared" si="240"/>
        <v>0</v>
      </c>
      <c r="RYF43">
        <f t="shared" si="240"/>
        <v>0</v>
      </c>
      <c r="RYG43">
        <f t="shared" si="240"/>
        <v>0</v>
      </c>
      <c r="RYH43">
        <f t="shared" si="240"/>
        <v>0</v>
      </c>
      <c r="RYI43">
        <f t="shared" si="240"/>
        <v>0</v>
      </c>
      <c r="RYJ43">
        <f t="shared" si="240"/>
        <v>0</v>
      </c>
      <c r="RYK43">
        <f t="shared" si="240"/>
        <v>0</v>
      </c>
      <c r="RYL43">
        <f t="shared" si="240"/>
        <v>0</v>
      </c>
      <c r="RYM43">
        <f t="shared" si="240"/>
        <v>0</v>
      </c>
      <c r="RYN43">
        <f t="shared" si="240"/>
        <v>0</v>
      </c>
      <c r="RYO43">
        <f t="shared" si="240"/>
        <v>0</v>
      </c>
      <c r="RYP43">
        <f t="shared" si="240"/>
        <v>0</v>
      </c>
      <c r="RYQ43">
        <f t="shared" si="240"/>
        <v>0</v>
      </c>
      <c r="RYR43">
        <f t="shared" si="240"/>
        <v>0</v>
      </c>
      <c r="RYS43">
        <f t="shared" si="240"/>
        <v>0</v>
      </c>
      <c r="RYT43">
        <f t="shared" si="240"/>
        <v>0</v>
      </c>
      <c r="RYU43">
        <f t="shared" si="240"/>
        <v>0</v>
      </c>
      <c r="RYV43">
        <f t="shared" si="240"/>
        <v>0</v>
      </c>
      <c r="RYW43">
        <f t="shared" si="240"/>
        <v>0</v>
      </c>
      <c r="RYX43">
        <f t="shared" si="240"/>
        <v>0</v>
      </c>
      <c r="RYY43">
        <f t="shared" si="240"/>
        <v>0</v>
      </c>
      <c r="RYZ43">
        <f t="shared" si="240"/>
        <v>0</v>
      </c>
      <c r="RZA43">
        <f t="shared" si="240"/>
        <v>0</v>
      </c>
      <c r="RZB43">
        <f t="shared" si="240"/>
        <v>0</v>
      </c>
      <c r="RZC43">
        <f t="shared" si="240"/>
        <v>0</v>
      </c>
      <c r="RZD43">
        <f t="shared" si="240"/>
        <v>0</v>
      </c>
      <c r="RZE43">
        <f t="shared" si="240"/>
        <v>0</v>
      </c>
      <c r="RZF43">
        <f t="shared" si="240"/>
        <v>0</v>
      </c>
      <c r="RZG43">
        <f t="shared" si="240"/>
        <v>0</v>
      </c>
      <c r="RZH43">
        <f t="shared" si="240"/>
        <v>0</v>
      </c>
      <c r="RZI43">
        <f t="shared" si="240"/>
        <v>0</v>
      </c>
      <c r="RZJ43">
        <f t="shared" si="240"/>
        <v>0</v>
      </c>
      <c r="RZK43">
        <f t="shared" si="240"/>
        <v>0</v>
      </c>
      <c r="RZL43">
        <f t="shared" si="240"/>
        <v>0</v>
      </c>
      <c r="RZM43">
        <f t="shared" si="240"/>
        <v>0</v>
      </c>
      <c r="RZN43">
        <f t="shared" si="240"/>
        <v>0</v>
      </c>
      <c r="RZO43">
        <f t="shared" si="240"/>
        <v>0</v>
      </c>
      <c r="RZP43">
        <f t="shared" si="240"/>
        <v>0</v>
      </c>
      <c r="RZQ43">
        <f t="shared" si="240"/>
        <v>0</v>
      </c>
      <c r="RZR43">
        <f t="shared" si="241"/>
        <v>0</v>
      </c>
      <c r="RZS43">
        <f t="shared" si="241"/>
        <v>0</v>
      </c>
      <c r="RZT43">
        <f t="shared" si="241"/>
        <v>0</v>
      </c>
      <c r="RZU43">
        <f t="shared" si="241"/>
        <v>0</v>
      </c>
      <c r="RZV43">
        <f t="shared" si="241"/>
        <v>0</v>
      </c>
      <c r="RZW43">
        <f t="shared" si="241"/>
        <v>0</v>
      </c>
      <c r="RZX43">
        <f t="shared" si="241"/>
        <v>0</v>
      </c>
      <c r="RZY43">
        <f t="shared" si="241"/>
        <v>0</v>
      </c>
      <c r="RZZ43">
        <f t="shared" si="241"/>
        <v>0</v>
      </c>
      <c r="SAA43">
        <f t="shared" si="241"/>
        <v>0</v>
      </c>
      <c r="SAB43">
        <f t="shared" si="241"/>
        <v>0</v>
      </c>
      <c r="SAC43">
        <f t="shared" si="241"/>
        <v>0</v>
      </c>
      <c r="SAD43">
        <f t="shared" si="241"/>
        <v>0</v>
      </c>
      <c r="SAE43">
        <f t="shared" si="241"/>
        <v>0</v>
      </c>
      <c r="SAF43">
        <f t="shared" si="241"/>
        <v>0</v>
      </c>
      <c r="SAG43">
        <f t="shared" si="241"/>
        <v>0</v>
      </c>
      <c r="SAH43">
        <f t="shared" si="241"/>
        <v>0</v>
      </c>
      <c r="SAI43">
        <f t="shared" si="241"/>
        <v>0</v>
      </c>
      <c r="SAJ43">
        <f t="shared" si="241"/>
        <v>0</v>
      </c>
      <c r="SAK43">
        <f t="shared" si="241"/>
        <v>0</v>
      </c>
      <c r="SAL43">
        <f t="shared" si="241"/>
        <v>0</v>
      </c>
      <c r="SAM43">
        <f t="shared" si="241"/>
        <v>0</v>
      </c>
      <c r="SAN43">
        <f t="shared" si="241"/>
        <v>0</v>
      </c>
      <c r="SAO43">
        <f t="shared" si="241"/>
        <v>0</v>
      </c>
      <c r="SAP43">
        <f t="shared" si="241"/>
        <v>0</v>
      </c>
      <c r="SAQ43">
        <f t="shared" si="241"/>
        <v>0</v>
      </c>
      <c r="SAR43">
        <f t="shared" si="241"/>
        <v>0</v>
      </c>
      <c r="SAS43">
        <f t="shared" si="241"/>
        <v>0</v>
      </c>
      <c r="SAT43">
        <f t="shared" si="241"/>
        <v>0</v>
      </c>
      <c r="SAU43">
        <f t="shared" si="241"/>
        <v>0</v>
      </c>
      <c r="SAV43">
        <f t="shared" si="241"/>
        <v>0</v>
      </c>
      <c r="SAW43">
        <f t="shared" si="241"/>
        <v>0</v>
      </c>
      <c r="SAX43">
        <f t="shared" si="241"/>
        <v>0</v>
      </c>
      <c r="SAY43">
        <f t="shared" si="241"/>
        <v>0</v>
      </c>
      <c r="SAZ43">
        <f t="shared" si="241"/>
        <v>0</v>
      </c>
      <c r="SBA43">
        <f t="shared" si="241"/>
        <v>0</v>
      </c>
      <c r="SBB43">
        <f t="shared" si="241"/>
        <v>0</v>
      </c>
      <c r="SBC43">
        <f t="shared" si="241"/>
        <v>0</v>
      </c>
      <c r="SBD43">
        <f t="shared" si="241"/>
        <v>0</v>
      </c>
      <c r="SBE43">
        <f t="shared" si="241"/>
        <v>0</v>
      </c>
      <c r="SBF43">
        <f t="shared" si="241"/>
        <v>0</v>
      </c>
      <c r="SBG43">
        <f t="shared" si="241"/>
        <v>0</v>
      </c>
      <c r="SBH43">
        <f t="shared" si="241"/>
        <v>0</v>
      </c>
      <c r="SBI43">
        <f t="shared" si="241"/>
        <v>0</v>
      </c>
      <c r="SBJ43">
        <f t="shared" si="241"/>
        <v>0</v>
      </c>
      <c r="SBK43">
        <f t="shared" si="241"/>
        <v>0</v>
      </c>
      <c r="SBL43">
        <f t="shared" si="241"/>
        <v>0</v>
      </c>
      <c r="SBM43">
        <f t="shared" si="241"/>
        <v>0</v>
      </c>
      <c r="SBN43">
        <f t="shared" si="241"/>
        <v>0</v>
      </c>
      <c r="SBO43">
        <f t="shared" si="241"/>
        <v>0</v>
      </c>
      <c r="SBP43">
        <f t="shared" si="241"/>
        <v>0</v>
      </c>
      <c r="SBQ43">
        <f t="shared" si="241"/>
        <v>0</v>
      </c>
      <c r="SBR43">
        <f t="shared" si="241"/>
        <v>0</v>
      </c>
      <c r="SBS43">
        <f t="shared" si="241"/>
        <v>0</v>
      </c>
      <c r="SBT43">
        <f t="shared" si="241"/>
        <v>0</v>
      </c>
      <c r="SBU43">
        <f t="shared" si="241"/>
        <v>0</v>
      </c>
      <c r="SBV43">
        <f t="shared" si="241"/>
        <v>0</v>
      </c>
      <c r="SBW43">
        <f t="shared" si="241"/>
        <v>0</v>
      </c>
      <c r="SBX43">
        <f t="shared" si="241"/>
        <v>0</v>
      </c>
      <c r="SBY43">
        <f t="shared" si="241"/>
        <v>0</v>
      </c>
      <c r="SBZ43">
        <f t="shared" si="241"/>
        <v>0</v>
      </c>
      <c r="SCA43">
        <f t="shared" si="241"/>
        <v>0</v>
      </c>
      <c r="SCB43">
        <f t="shared" si="241"/>
        <v>0</v>
      </c>
      <c r="SCC43">
        <f t="shared" si="241"/>
        <v>0</v>
      </c>
      <c r="SCD43">
        <f t="shared" si="242"/>
        <v>0</v>
      </c>
      <c r="SCE43">
        <f t="shared" si="242"/>
        <v>0</v>
      </c>
      <c r="SCF43">
        <f t="shared" si="242"/>
        <v>0</v>
      </c>
      <c r="SCG43">
        <f t="shared" si="242"/>
        <v>0</v>
      </c>
      <c r="SCH43">
        <f t="shared" si="242"/>
        <v>0</v>
      </c>
      <c r="SCI43">
        <f t="shared" si="242"/>
        <v>0</v>
      </c>
      <c r="SCJ43">
        <f t="shared" si="242"/>
        <v>0</v>
      </c>
      <c r="SCK43">
        <f t="shared" si="242"/>
        <v>0</v>
      </c>
      <c r="SCL43">
        <f t="shared" si="242"/>
        <v>0</v>
      </c>
      <c r="SCM43">
        <f t="shared" si="242"/>
        <v>0</v>
      </c>
      <c r="SCN43">
        <f t="shared" si="242"/>
        <v>0</v>
      </c>
      <c r="SCO43">
        <f t="shared" si="242"/>
        <v>0</v>
      </c>
      <c r="SCP43">
        <f t="shared" si="242"/>
        <v>0</v>
      </c>
      <c r="SCQ43">
        <f t="shared" si="242"/>
        <v>0</v>
      </c>
      <c r="SCR43">
        <f t="shared" si="242"/>
        <v>0</v>
      </c>
      <c r="SCS43">
        <f t="shared" si="242"/>
        <v>0</v>
      </c>
      <c r="SCT43">
        <f t="shared" si="242"/>
        <v>0</v>
      </c>
      <c r="SCU43">
        <f t="shared" si="242"/>
        <v>0</v>
      </c>
      <c r="SCV43">
        <f t="shared" si="242"/>
        <v>0</v>
      </c>
      <c r="SCW43">
        <f t="shared" si="242"/>
        <v>0</v>
      </c>
      <c r="SCX43">
        <f t="shared" si="242"/>
        <v>0</v>
      </c>
      <c r="SCY43">
        <f t="shared" si="242"/>
        <v>0</v>
      </c>
      <c r="SCZ43">
        <f t="shared" si="242"/>
        <v>0</v>
      </c>
      <c r="SDA43">
        <f t="shared" si="242"/>
        <v>0</v>
      </c>
      <c r="SDB43">
        <f t="shared" si="242"/>
        <v>0</v>
      </c>
      <c r="SDC43">
        <f t="shared" si="242"/>
        <v>0</v>
      </c>
      <c r="SDD43">
        <f t="shared" si="242"/>
        <v>0</v>
      </c>
      <c r="SDE43">
        <f t="shared" si="242"/>
        <v>0</v>
      </c>
      <c r="SDF43">
        <f t="shared" si="242"/>
        <v>0</v>
      </c>
      <c r="SDG43">
        <f t="shared" si="242"/>
        <v>0</v>
      </c>
      <c r="SDH43">
        <f t="shared" si="242"/>
        <v>0</v>
      </c>
      <c r="SDI43">
        <f t="shared" si="242"/>
        <v>0</v>
      </c>
      <c r="SDJ43">
        <f t="shared" si="242"/>
        <v>0</v>
      </c>
      <c r="SDK43">
        <f t="shared" si="242"/>
        <v>0</v>
      </c>
      <c r="SDL43">
        <f t="shared" si="242"/>
        <v>0</v>
      </c>
      <c r="SDM43">
        <f t="shared" si="242"/>
        <v>0</v>
      </c>
      <c r="SDN43">
        <f t="shared" si="242"/>
        <v>0</v>
      </c>
      <c r="SDO43">
        <f t="shared" si="242"/>
        <v>0</v>
      </c>
      <c r="SDP43">
        <f t="shared" si="242"/>
        <v>0</v>
      </c>
      <c r="SDQ43">
        <f t="shared" si="242"/>
        <v>0</v>
      </c>
      <c r="SDR43">
        <f t="shared" si="242"/>
        <v>0</v>
      </c>
      <c r="SDS43">
        <f t="shared" si="242"/>
        <v>0</v>
      </c>
      <c r="SDT43">
        <f t="shared" si="242"/>
        <v>0</v>
      </c>
      <c r="SDU43">
        <f t="shared" si="242"/>
        <v>0</v>
      </c>
      <c r="SDV43">
        <f t="shared" si="242"/>
        <v>0</v>
      </c>
      <c r="SDW43">
        <f t="shared" si="242"/>
        <v>0</v>
      </c>
      <c r="SDX43">
        <f t="shared" si="242"/>
        <v>0</v>
      </c>
      <c r="SDY43">
        <f t="shared" si="242"/>
        <v>0</v>
      </c>
      <c r="SDZ43">
        <f t="shared" si="242"/>
        <v>0</v>
      </c>
      <c r="SEA43">
        <f t="shared" si="242"/>
        <v>0</v>
      </c>
      <c r="SEB43">
        <f t="shared" si="242"/>
        <v>0</v>
      </c>
      <c r="SEC43">
        <f t="shared" si="242"/>
        <v>0</v>
      </c>
      <c r="SED43">
        <f t="shared" si="242"/>
        <v>0</v>
      </c>
      <c r="SEE43">
        <f t="shared" si="242"/>
        <v>0</v>
      </c>
      <c r="SEF43">
        <f t="shared" si="242"/>
        <v>0</v>
      </c>
      <c r="SEG43">
        <f t="shared" si="242"/>
        <v>0</v>
      </c>
      <c r="SEH43">
        <f t="shared" si="242"/>
        <v>0</v>
      </c>
      <c r="SEI43">
        <f t="shared" si="242"/>
        <v>0</v>
      </c>
      <c r="SEJ43">
        <f t="shared" si="242"/>
        <v>0</v>
      </c>
      <c r="SEK43">
        <f t="shared" si="242"/>
        <v>0</v>
      </c>
      <c r="SEL43">
        <f t="shared" si="242"/>
        <v>0</v>
      </c>
      <c r="SEM43">
        <f t="shared" si="242"/>
        <v>0</v>
      </c>
      <c r="SEN43">
        <f t="shared" si="242"/>
        <v>0</v>
      </c>
      <c r="SEO43">
        <f t="shared" si="242"/>
        <v>0</v>
      </c>
      <c r="SEP43">
        <f t="shared" si="243"/>
        <v>0</v>
      </c>
      <c r="SEQ43">
        <f t="shared" si="243"/>
        <v>0</v>
      </c>
      <c r="SER43">
        <f t="shared" si="243"/>
        <v>0</v>
      </c>
      <c r="SES43">
        <f t="shared" si="243"/>
        <v>0</v>
      </c>
      <c r="SET43">
        <f t="shared" si="243"/>
        <v>0</v>
      </c>
      <c r="SEU43">
        <f t="shared" si="243"/>
        <v>0</v>
      </c>
      <c r="SEV43">
        <f t="shared" si="243"/>
        <v>0</v>
      </c>
      <c r="SEW43">
        <f t="shared" si="243"/>
        <v>0</v>
      </c>
      <c r="SEX43">
        <f t="shared" si="243"/>
        <v>0</v>
      </c>
      <c r="SEY43">
        <f t="shared" si="243"/>
        <v>0</v>
      </c>
      <c r="SEZ43">
        <f t="shared" si="243"/>
        <v>0</v>
      </c>
      <c r="SFA43">
        <f t="shared" si="243"/>
        <v>0</v>
      </c>
      <c r="SFB43">
        <f t="shared" si="243"/>
        <v>0</v>
      </c>
      <c r="SFC43">
        <f t="shared" si="243"/>
        <v>0</v>
      </c>
      <c r="SFD43">
        <f t="shared" si="243"/>
        <v>0</v>
      </c>
      <c r="SFE43">
        <f t="shared" si="243"/>
        <v>0</v>
      </c>
      <c r="SFF43">
        <f t="shared" si="243"/>
        <v>0</v>
      </c>
      <c r="SFG43">
        <f t="shared" si="243"/>
        <v>0</v>
      </c>
      <c r="SFH43">
        <f t="shared" si="243"/>
        <v>0</v>
      </c>
      <c r="SFI43">
        <f t="shared" si="243"/>
        <v>0</v>
      </c>
      <c r="SFJ43">
        <f t="shared" si="243"/>
        <v>0</v>
      </c>
      <c r="SFK43">
        <f t="shared" si="243"/>
        <v>0</v>
      </c>
      <c r="SFL43">
        <f t="shared" si="243"/>
        <v>0</v>
      </c>
      <c r="SFM43">
        <f t="shared" si="243"/>
        <v>0</v>
      </c>
      <c r="SFN43">
        <f t="shared" si="243"/>
        <v>0</v>
      </c>
      <c r="SFO43">
        <f t="shared" si="243"/>
        <v>0</v>
      </c>
      <c r="SFP43">
        <f t="shared" si="243"/>
        <v>0</v>
      </c>
      <c r="SFQ43">
        <f t="shared" si="243"/>
        <v>0</v>
      </c>
      <c r="SFR43">
        <f t="shared" si="243"/>
        <v>0</v>
      </c>
      <c r="SFS43">
        <f t="shared" si="243"/>
        <v>0</v>
      </c>
      <c r="SFT43">
        <f t="shared" si="243"/>
        <v>0</v>
      </c>
      <c r="SFU43">
        <f t="shared" si="243"/>
        <v>0</v>
      </c>
      <c r="SFV43">
        <f t="shared" si="243"/>
        <v>0</v>
      </c>
      <c r="SFW43">
        <f t="shared" si="243"/>
        <v>0</v>
      </c>
      <c r="SFX43">
        <f t="shared" si="243"/>
        <v>0</v>
      </c>
      <c r="SFY43">
        <f t="shared" si="243"/>
        <v>0</v>
      </c>
      <c r="SFZ43">
        <f t="shared" si="243"/>
        <v>0</v>
      </c>
      <c r="SGA43">
        <f t="shared" si="243"/>
        <v>0</v>
      </c>
      <c r="SGB43">
        <f t="shared" si="243"/>
        <v>0</v>
      </c>
      <c r="SGC43">
        <f t="shared" si="243"/>
        <v>0</v>
      </c>
      <c r="SGD43">
        <f t="shared" si="243"/>
        <v>0</v>
      </c>
      <c r="SGE43">
        <f t="shared" si="243"/>
        <v>0</v>
      </c>
      <c r="SGF43">
        <f t="shared" si="243"/>
        <v>0</v>
      </c>
      <c r="SGG43">
        <f t="shared" si="243"/>
        <v>0</v>
      </c>
      <c r="SGH43">
        <f t="shared" si="243"/>
        <v>0</v>
      </c>
      <c r="SGI43">
        <f t="shared" si="243"/>
        <v>0</v>
      </c>
      <c r="SGJ43">
        <f t="shared" si="243"/>
        <v>0</v>
      </c>
      <c r="SGK43">
        <f t="shared" si="243"/>
        <v>0</v>
      </c>
      <c r="SGL43">
        <f t="shared" si="243"/>
        <v>0</v>
      </c>
      <c r="SGM43">
        <f t="shared" si="243"/>
        <v>0</v>
      </c>
      <c r="SGN43">
        <f t="shared" si="243"/>
        <v>0</v>
      </c>
      <c r="SGO43">
        <f t="shared" si="243"/>
        <v>0</v>
      </c>
      <c r="SGP43">
        <f t="shared" si="243"/>
        <v>0</v>
      </c>
      <c r="SGQ43">
        <f t="shared" si="243"/>
        <v>0</v>
      </c>
      <c r="SGR43">
        <f t="shared" si="243"/>
        <v>0</v>
      </c>
      <c r="SGS43">
        <f t="shared" si="243"/>
        <v>0</v>
      </c>
      <c r="SGT43">
        <f t="shared" si="243"/>
        <v>0</v>
      </c>
      <c r="SGU43">
        <f t="shared" si="243"/>
        <v>0</v>
      </c>
      <c r="SGV43">
        <f t="shared" si="243"/>
        <v>0</v>
      </c>
      <c r="SGW43">
        <f t="shared" si="243"/>
        <v>0</v>
      </c>
      <c r="SGX43">
        <f t="shared" si="243"/>
        <v>0</v>
      </c>
      <c r="SGY43">
        <f t="shared" si="243"/>
        <v>0</v>
      </c>
      <c r="SGZ43">
        <f t="shared" si="243"/>
        <v>0</v>
      </c>
      <c r="SHA43">
        <f t="shared" si="243"/>
        <v>0</v>
      </c>
      <c r="SHB43">
        <f t="shared" si="244"/>
        <v>0</v>
      </c>
      <c r="SHC43">
        <f t="shared" si="244"/>
        <v>0</v>
      </c>
      <c r="SHD43">
        <f t="shared" si="244"/>
        <v>0</v>
      </c>
      <c r="SHE43">
        <f t="shared" si="244"/>
        <v>0</v>
      </c>
      <c r="SHF43">
        <f t="shared" si="244"/>
        <v>0</v>
      </c>
      <c r="SHG43">
        <f t="shared" si="244"/>
        <v>0</v>
      </c>
      <c r="SHH43">
        <f t="shared" si="244"/>
        <v>0</v>
      </c>
      <c r="SHI43">
        <f t="shared" si="244"/>
        <v>0</v>
      </c>
      <c r="SHJ43">
        <f t="shared" si="244"/>
        <v>0</v>
      </c>
      <c r="SHK43">
        <f t="shared" si="244"/>
        <v>0</v>
      </c>
      <c r="SHL43">
        <f t="shared" si="244"/>
        <v>0</v>
      </c>
      <c r="SHM43">
        <f t="shared" si="244"/>
        <v>0</v>
      </c>
      <c r="SHN43">
        <f t="shared" si="244"/>
        <v>0</v>
      </c>
      <c r="SHO43">
        <f t="shared" si="244"/>
        <v>0</v>
      </c>
      <c r="SHP43">
        <f t="shared" si="244"/>
        <v>0</v>
      </c>
      <c r="SHQ43">
        <f t="shared" si="244"/>
        <v>0</v>
      </c>
      <c r="SHR43">
        <f t="shared" si="244"/>
        <v>0</v>
      </c>
      <c r="SHS43">
        <f t="shared" si="244"/>
        <v>0</v>
      </c>
      <c r="SHT43">
        <f t="shared" si="244"/>
        <v>0</v>
      </c>
      <c r="SHU43">
        <f t="shared" si="244"/>
        <v>0</v>
      </c>
      <c r="SHV43">
        <f t="shared" si="244"/>
        <v>0</v>
      </c>
      <c r="SHW43">
        <f t="shared" si="244"/>
        <v>0</v>
      </c>
      <c r="SHX43">
        <f t="shared" si="244"/>
        <v>0</v>
      </c>
      <c r="SHY43">
        <f t="shared" si="244"/>
        <v>0</v>
      </c>
      <c r="SHZ43">
        <f t="shared" si="244"/>
        <v>0</v>
      </c>
      <c r="SIA43">
        <f t="shared" si="244"/>
        <v>0</v>
      </c>
      <c r="SIB43">
        <f t="shared" si="244"/>
        <v>0</v>
      </c>
      <c r="SIC43">
        <f t="shared" si="244"/>
        <v>0</v>
      </c>
      <c r="SID43">
        <f t="shared" si="244"/>
        <v>0</v>
      </c>
      <c r="SIE43">
        <f t="shared" si="244"/>
        <v>0</v>
      </c>
      <c r="SIF43">
        <f t="shared" si="244"/>
        <v>0</v>
      </c>
      <c r="SIG43">
        <f t="shared" si="244"/>
        <v>0</v>
      </c>
      <c r="SIH43">
        <f t="shared" si="244"/>
        <v>0</v>
      </c>
      <c r="SII43">
        <f t="shared" si="244"/>
        <v>0</v>
      </c>
      <c r="SIJ43">
        <f t="shared" si="244"/>
        <v>0</v>
      </c>
      <c r="SIK43">
        <f t="shared" si="244"/>
        <v>0</v>
      </c>
      <c r="SIL43">
        <f t="shared" si="244"/>
        <v>0</v>
      </c>
      <c r="SIM43">
        <f t="shared" si="244"/>
        <v>0</v>
      </c>
      <c r="SIN43">
        <f t="shared" si="244"/>
        <v>0</v>
      </c>
      <c r="SIO43">
        <f t="shared" si="244"/>
        <v>0</v>
      </c>
      <c r="SIP43">
        <f t="shared" si="244"/>
        <v>0</v>
      </c>
      <c r="SIQ43">
        <f t="shared" si="244"/>
        <v>0</v>
      </c>
      <c r="SIR43">
        <f t="shared" si="244"/>
        <v>0</v>
      </c>
      <c r="SIS43">
        <f t="shared" si="244"/>
        <v>0</v>
      </c>
      <c r="SIT43">
        <f t="shared" si="244"/>
        <v>0</v>
      </c>
      <c r="SIU43">
        <f t="shared" si="244"/>
        <v>0</v>
      </c>
      <c r="SIV43">
        <f t="shared" si="244"/>
        <v>0</v>
      </c>
      <c r="SIW43">
        <f t="shared" si="244"/>
        <v>0</v>
      </c>
      <c r="SIX43">
        <f t="shared" si="244"/>
        <v>0</v>
      </c>
      <c r="SIY43">
        <f t="shared" si="244"/>
        <v>0</v>
      </c>
      <c r="SIZ43">
        <f t="shared" si="244"/>
        <v>0</v>
      </c>
      <c r="SJA43">
        <f t="shared" si="244"/>
        <v>0</v>
      </c>
      <c r="SJB43">
        <f t="shared" si="244"/>
        <v>0</v>
      </c>
      <c r="SJC43">
        <f t="shared" si="244"/>
        <v>0</v>
      </c>
      <c r="SJD43">
        <f t="shared" si="244"/>
        <v>0</v>
      </c>
      <c r="SJE43">
        <f t="shared" si="244"/>
        <v>0</v>
      </c>
      <c r="SJF43">
        <f t="shared" si="244"/>
        <v>0</v>
      </c>
      <c r="SJG43">
        <f t="shared" si="244"/>
        <v>0</v>
      </c>
      <c r="SJH43">
        <f t="shared" si="244"/>
        <v>0</v>
      </c>
      <c r="SJI43">
        <f t="shared" si="244"/>
        <v>0</v>
      </c>
      <c r="SJJ43">
        <f t="shared" si="244"/>
        <v>0</v>
      </c>
      <c r="SJK43">
        <f t="shared" si="244"/>
        <v>0</v>
      </c>
      <c r="SJL43">
        <f t="shared" si="244"/>
        <v>0</v>
      </c>
      <c r="SJM43">
        <f t="shared" si="244"/>
        <v>0</v>
      </c>
      <c r="SJN43">
        <f t="shared" si="245"/>
        <v>0</v>
      </c>
      <c r="SJO43">
        <f t="shared" si="245"/>
        <v>0</v>
      </c>
      <c r="SJP43">
        <f t="shared" si="245"/>
        <v>0</v>
      </c>
      <c r="SJQ43">
        <f t="shared" si="245"/>
        <v>0</v>
      </c>
      <c r="SJR43">
        <f t="shared" si="245"/>
        <v>0</v>
      </c>
      <c r="SJS43">
        <f t="shared" si="245"/>
        <v>0</v>
      </c>
      <c r="SJT43">
        <f t="shared" si="245"/>
        <v>0</v>
      </c>
      <c r="SJU43">
        <f t="shared" si="245"/>
        <v>0</v>
      </c>
      <c r="SJV43">
        <f t="shared" si="245"/>
        <v>0</v>
      </c>
      <c r="SJW43">
        <f t="shared" si="245"/>
        <v>0</v>
      </c>
      <c r="SJX43">
        <f t="shared" si="245"/>
        <v>0</v>
      </c>
      <c r="SJY43">
        <f t="shared" si="245"/>
        <v>0</v>
      </c>
      <c r="SJZ43">
        <f t="shared" si="245"/>
        <v>0</v>
      </c>
      <c r="SKA43">
        <f t="shared" si="245"/>
        <v>0</v>
      </c>
      <c r="SKB43">
        <f t="shared" si="245"/>
        <v>0</v>
      </c>
      <c r="SKC43">
        <f t="shared" si="245"/>
        <v>0</v>
      </c>
      <c r="SKD43">
        <f t="shared" si="245"/>
        <v>0</v>
      </c>
      <c r="SKE43">
        <f t="shared" si="245"/>
        <v>0</v>
      </c>
      <c r="SKF43">
        <f t="shared" si="245"/>
        <v>0</v>
      </c>
      <c r="SKG43">
        <f t="shared" si="245"/>
        <v>0</v>
      </c>
      <c r="SKH43">
        <f t="shared" si="245"/>
        <v>0</v>
      </c>
      <c r="SKI43">
        <f t="shared" si="245"/>
        <v>0</v>
      </c>
      <c r="SKJ43">
        <f t="shared" si="245"/>
        <v>0</v>
      </c>
      <c r="SKK43">
        <f t="shared" si="245"/>
        <v>0</v>
      </c>
      <c r="SKL43">
        <f t="shared" si="245"/>
        <v>0</v>
      </c>
      <c r="SKM43">
        <f t="shared" si="245"/>
        <v>0</v>
      </c>
      <c r="SKN43">
        <f t="shared" si="245"/>
        <v>0</v>
      </c>
      <c r="SKO43">
        <f t="shared" si="245"/>
        <v>0</v>
      </c>
      <c r="SKP43">
        <f t="shared" si="245"/>
        <v>0</v>
      </c>
      <c r="SKQ43">
        <f t="shared" si="245"/>
        <v>0</v>
      </c>
      <c r="SKR43">
        <f t="shared" si="245"/>
        <v>0</v>
      </c>
      <c r="SKS43">
        <f t="shared" si="245"/>
        <v>0</v>
      </c>
      <c r="SKT43">
        <f t="shared" si="245"/>
        <v>0</v>
      </c>
      <c r="SKU43">
        <f t="shared" si="245"/>
        <v>0</v>
      </c>
      <c r="SKV43">
        <f t="shared" si="245"/>
        <v>0</v>
      </c>
      <c r="SKW43">
        <f t="shared" si="245"/>
        <v>0</v>
      </c>
      <c r="SKX43">
        <f t="shared" si="245"/>
        <v>0</v>
      </c>
      <c r="SKY43">
        <f t="shared" si="245"/>
        <v>0</v>
      </c>
      <c r="SKZ43">
        <f t="shared" si="245"/>
        <v>0</v>
      </c>
      <c r="SLA43">
        <f t="shared" si="245"/>
        <v>0</v>
      </c>
      <c r="SLB43">
        <f t="shared" si="245"/>
        <v>0</v>
      </c>
      <c r="SLC43">
        <f t="shared" si="245"/>
        <v>0</v>
      </c>
      <c r="SLD43">
        <f t="shared" si="245"/>
        <v>0</v>
      </c>
      <c r="SLE43">
        <f t="shared" si="245"/>
        <v>0</v>
      </c>
      <c r="SLF43">
        <f t="shared" si="245"/>
        <v>0</v>
      </c>
      <c r="SLG43">
        <f t="shared" si="245"/>
        <v>0</v>
      </c>
      <c r="SLH43">
        <f t="shared" si="245"/>
        <v>0</v>
      </c>
      <c r="SLI43">
        <f t="shared" si="245"/>
        <v>0</v>
      </c>
      <c r="SLJ43">
        <f t="shared" si="245"/>
        <v>0</v>
      </c>
      <c r="SLK43">
        <f t="shared" si="245"/>
        <v>0</v>
      </c>
      <c r="SLL43">
        <f t="shared" si="245"/>
        <v>0</v>
      </c>
      <c r="SLM43">
        <f t="shared" si="245"/>
        <v>0</v>
      </c>
      <c r="SLN43">
        <f t="shared" si="245"/>
        <v>0</v>
      </c>
      <c r="SLO43">
        <f t="shared" si="245"/>
        <v>0</v>
      </c>
      <c r="SLP43">
        <f t="shared" si="245"/>
        <v>0</v>
      </c>
      <c r="SLQ43">
        <f t="shared" si="245"/>
        <v>0</v>
      </c>
      <c r="SLR43">
        <f t="shared" si="245"/>
        <v>0</v>
      </c>
      <c r="SLS43">
        <f t="shared" si="245"/>
        <v>0</v>
      </c>
      <c r="SLT43">
        <f t="shared" si="245"/>
        <v>0</v>
      </c>
      <c r="SLU43">
        <f t="shared" si="245"/>
        <v>0</v>
      </c>
      <c r="SLV43">
        <f t="shared" si="245"/>
        <v>0</v>
      </c>
      <c r="SLW43">
        <f t="shared" si="245"/>
        <v>0</v>
      </c>
      <c r="SLX43">
        <f t="shared" si="245"/>
        <v>0</v>
      </c>
      <c r="SLY43">
        <f t="shared" si="245"/>
        <v>0</v>
      </c>
      <c r="SLZ43">
        <f t="shared" si="246"/>
        <v>0</v>
      </c>
      <c r="SMA43">
        <f t="shared" si="246"/>
        <v>0</v>
      </c>
      <c r="SMB43">
        <f t="shared" si="246"/>
        <v>0</v>
      </c>
      <c r="SMC43">
        <f t="shared" si="246"/>
        <v>0</v>
      </c>
      <c r="SMD43">
        <f t="shared" si="246"/>
        <v>0</v>
      </c>
      <c r="SME43">
        <f t="shared" si="246"/>
        <v>0</v>
      </c>
      <c r="SMF43">
        <f t="shared" si="246"/>
        <v>0</v>
      </c>
      <c r="SMG43">
        <f t="shared" si="246"/>
        <v>0</v>
      </c>
      <c r="SMH43">
        <f t="shared" si="246"/>
        <v>0</v>
      </c>
      <c r="SMI43">
        <f t="shared" si="246"/>
        <v>0</v>
      </c>
      <c r="SMJ43">
        <f t="shared" si="246"/>
        <v>0</v>
      </c>
      <c r="SMK43">
        <f t="shared" si="246"/>
        <v>0</v>
      </c>
      <c r="SML43">
        <f t="shared" si="246"/>
        <v>0</v>
      </c>
      <c r="SMM43">
        <f t="shared" si="246"/>
        <v>0</v>
      </c>
      <c r="SMN43">
        <f t="shared" si="246"/>
        <v>0</v>
      </c>
      <c r="SMO43">
        <f t="shared" si="246"/>
        <v>0</v>
      </c>
      <c r="SMP43">
        <f t="shared" si="246"/>
        <v>0</v>
      </c>
      <c r="SMQ43">
        <f t="shared" si="246"/>
        <v>0</v>
      </c>
      <c r="SMR43">
        <f t="shared" si="246"/>
        <v>0</v>
      </c>
      <c r="SMS43">
        <f t="shared" si="246"/>
        <v>0</v>
      </c>
      <c r="SMT43">
        <f t="shared" si="246"/>
        <v>0</v>
      </c>
      <c r="SMU43">
        <f t="shared" si="246"/>
        <v>0</v>
      </c>
      <c r="SMV43">
        <f t="shared" si="246"/>
        <v>0</v>
      </c>
      <c r="SMW43">
        <f t="shared" si="246"/>
        <v>0</v>
      </c>
      <c r="SMX43">
        <f t="shared" si="246"/>
        <v>0</v>
      </c>
      <c r="SMY43">
        <f t="shared" si="246"/>
        <v>0</v>
      </c>
      <c r="SMZ43">
        <f t="shared" si="246"/>
        <v>0</v>
      </c>
      <c r="SNA43">
        <f t="shared" si="246"/>
        <v>0</v>
      </c>
      <c r="SNB43">
        <f t="shared" si="246"/>
        <v>0</v>
      </c>
      <c r="SNC43">
        <f t="shared" si="246"/>
        <v>0</v>
      </c>
      <c r="SND43">
        <f t="shared" si="246"/>
        <v>0</v>
      </c>
      <c r="SNE43">
        <f t="shared" si="246"/>
        <v>0</v>
      </c>
      <c r="SNF43">
        <f t="shared" si="246"/>
        <v>0</v>
      </c>
      <c r="SNG43">
        <f t="shared" si="246"/>
        <v>0</v>
      </c>
      <c r="SNH43">
        <f t="shared" si="246"/>
        <v>0</v>
      </c>
      <c r="SNI43">
        <f t="shared" si="246"/>
        <v>0</v>
      </c>
      <c r="SNJ43">
        <f t="shared" si="246"/>
        <v>0</v>
      </c>
      <c r="SNK43">
        <f t="shared" si="246"/>
        <v>0</v>
      </c>
      <c r="SNL43">
        <f t="shared" si="246"/>
        <v>0</v>
      </c>
      <c r="SNM43">
        <f t="shared" si="246"/>
        <v>0</v>
      </c>
      <c r="SNN43">
        <f t="shared" si="246"/>
        <v>0</v>
      </c>
      <c r="SNO43">
        <f t="shared" si="246"/>
        <v>0</v>
      </c>
      <c r="SNP43">
        <f t="shared" si="246"/>
        <v>0</v>
      </c>
      <c r="SNQ43">
        <f t="shared" si="246"/>
        <v>0</v>
      </c>
      <c r="SNR43">
        <f t="shared" si="246"/>
        <v>0</v>
      </c>
      <c r="SNS43">
        <f t="shared" si="246"/>
        <v>0</v>
      </c>
      <c r="SNT43">
        <f t="shared" si="246"/>
        <v>0</v>
      </c>
      <c r="SNU43">
        <f t="shared" si="246"/>
        <v>0</v>
      </c>
      <c r="SNV43">
        <f t="shared" si="246"/>
        <v>0</v>
      </c>
      <c r="SNW43">
        <f t="shared" si="246"/>
        <v>0</v>
      </c>
      <c r="SNX43">
        <f t="shared" si="246"/>
        <v>0</v>
      </c>
      <c r="SNY43">
        <f t="shared" si="246"/>
        <v>0</v>
      </c>
      <c r="SNZ43">
        <f t="shared" si="246"/>
        <v>0</v>
      </c>
      <c r="SOA43">
        <f t="shared" si="246"/>
        <v>0</v>
      </c>
      <c r="SOB43">
        <f t="shared" si="246"/>
        <v>0</v>
      </c>
      <c r="SOC43">
        <f t="shared" si="246"/>
        <v>0</v>
      </c>
      <c r="SOD43">
        <f t="shared" si="246"/>
        <v>0</v>
      </c>
      <c r="SOE43">
        <f t="shared" si="246"/>
        <v>0</v>
      </c>
      <c r="SOF43">
        <f t="shared" si="246"/>
        <v>0</v>
      </c>
      <c r="SOG43">
        <f t="shared" si="246"/>
        <v>0</v>
      </c>
      <c r="SOH43">
        <f t="shared" si="246"/>
        <v>0</v>
      </c>
      <c r="SOI43">
        <f t="shared" si="246"/>
        <v>0</v>
      </c>
      <c r="SOJ43">
        <f t="shared" si="246"/>
        <v>0</v>
      </c>
      <c r="SOK43">
        <f t="shared" si="246"/>
        <v>0</v>
      </c>
      <c r="SOL43">
        <f t="shared" si="247"/>
        <v>0</v>
      </c>
      <c r="SOM43">
        <f t="shared" si="247"/>
        <v>0</v>
      </c>
      <c r="SON43">
        <f t="shared" si="247"/>
        <v>0</v>
      </c>
      <c r="SOO43">
        <f t="shared" si="247"/>
        <v>0</v>
      </c>
      <c r="SOP43">
        <f t="shared" si="247"/>
        <v>0</v>
      </c>
      <c r="SOQ43">
        <f t="shared" si="247"/>
        <v>0</v>
      </c>
      <c r="SOR43">
        <f t="shared" si="247"/>
        <v>0</v>
      </c>
      <c r="SOS43">
        <f t="shared" si="247"/>
        <v>0</v>
      </c>
      <c r="SOT43">
        <f t="shared" si="247"/>
        <v>0</v>
      </c>
      <c r="SOU43">
        <f t="shared" si="247"/>
        <v>0</v>
      </c>
      <c r="SOV43">
        <f t="shared" si="247"/>
        <v>0</v>
      </c>
      <c r="SOW43">
        <f t="shared" si="247"/>
        <v>0</v>
      </c>
      <c r="SOX43">
        <f t="shared" si="247"/>
        <v>0</v>
      </c>
      <c r="SOY43">
        <f t="shared" si="247"/>
        <v>0</v>
      </c>
      <c r="SOZ43">
        <f t="shared" si="247"/>
        <v>0</v>
      </c>
      <c r="SPA43">
        <f t="shared" si="247"/>
        <v>0</v>
      </c>
      <c r="SPB43">
        <f t="shared" si="247"/>
        <v>0</v>
      </c>
      <c r="SPC43">
        <f t="shared" si="247"/>
        <v>0</v>
      </c>
      <c r="SPD43">
        <f t="shared" si="247"/>
        <v>0</v>
      </c>
      <c r="SPE43">
        <f t="shared" si="247"/>
        <v>0</v>
      </c>
      <c r="SPF43">
        <f t="shared" si="247"/>
        <v>0</v>
      </c>
      <c r="SPG43">
        <f t="shared" si="247"/>
        <v>0</v>
      </c>
      <c r="SPH43">
        <f t="shared" si="247"/>
        <v>0</v>
      </c>
      <c r="SPI43">
        <f t="shared" si="247"/>
        <v>0</v>
      </c>
      <c r="SPJ43">
        <f t="shared" si="247"/>
        <v>0</v>
      </c>
      <c r="SPK43">
        <f t="shared" si="247"/>
        <v>0</v>
      </c>
      <c r="SPL43">
        <f t="shared" si="247"/>
        <v>0</v>
      </c>
      <c r="SPM43">
        <f t="shared" si="247"/>
        <v>0</v>
      </c>
      <c r="SPN43">
        <f t="shared" si="247"/>
        <v>0</v>
      </c>
      <c r="SPO43">
        <f t="shared" si="247"/>
        <v>0</v>
      </c>
      <c r="SPP43">
        <f t="shared" si="247"/>
        <v>0</v>
      </c>
      <c r="SPQ43">
        <f t="shared" si="247"/>
        <v>0</v>
      </c>
      <c r="SPR43">
        <f t="shared" si="247"/>
        <v>0</v>
      </c>
      <c r="SPS43">
        <f t="shared" si="247"/>
        <v>0</v>
      </c>
      <c r="SPT43">
        <f t="shared" si="247"/>
        <v>0</v>
      </c>
      <c r="SPU43">
        <f t="shared" si="247"/>
        <v>0</v>
      </c>
      <c r="SPV43">
        <f t="shared" si="247"/>
        <v>0</v>
      </c>
      <c r="SPW43">
        <f t="shared" si="247"/>
        <v>0</v>
      </c>
      <c r="SPX43">
        <f t="shared" si="247"/>
        <v>0</v>
      </c>
      <c r="SPY43">
        <f t="shared" si="247"/>
        <v>0</v>
      </c>
      <c r="SPZ43">
        <f t="shared" si="247"/>
        <v>0</v>
      </c>
      <c r="SQA43">
        <f t="shared" si="247"/>
        <v>0</v>
      </c>
      <c r="SQB43">
        <f t="shared" si="247"/>
        <v>0</v>
      </c>
      <c r="SQC43">
        <f t="shared" si="247"/>
        <v>0</v>
      </c>
      <c r="SQD43">
        <f t="shared" si="247"/>
        <v>0</v>
      </c>
      <c r="SQE43">
        <f t="shared" si="247"/>
        <v>0</v>
      </c>
      <c r="SQF43">
        <f t="shared" si="247"/>
        <v>0</v>
      </c>
      <c r="SQG43">
        <f t="shared" si="247"/>
        <v>0</v>
      </c>
      <c r="SQH43">
        <f t="shared" si="247"/>
        <v>0</v>
      </c>
      <c r="SQI43">
        <f t="shared" si="247"/>
        <v>0</v>
      </c>
      <c r="SQJ43">
        <f t="shared" si="247"/>
        <v>0</v>
      </c>
      <c r="SQK43">
        <f t="shared" si="247"/>
        <v>0</v>
      </c>
      <c r="SQL43">
        <f t="shared" si="247"/>
        <v>0</v>
      </c>
      <c r="SQM43">
        <f t="shared" si="247"/>
        <v>0</v>
      </c>
      <c r="SQN43">
        <f t="shared" si="247"/>
        <v>0</v>
      </c>
      <c r="SQO43">
        <f t="shared" si="247"/>
        <v>0</v>
      </c>
      <c r="SQP43">
        <f t="shared" si="247"/>
        <v>0</v>
      </c>
      <c r="SQQ43">
        <f t="shared" si="247"/>
        <v>0</v>
      </c>
      <c r="SQR43">
        <f t="shared" si="247"/>
        <v>0</v>
      </c>
      <c r="SQS43">
        <f t="shared" si="247"/>
        <v>0</v>
      </c>
      <c r="SQT43">
        <f t="shared" si="247"/>
        <v>0</v>
      </c>
      <c r="SQU43">
        <f t="shared" si="247"/>
        <v>0</v>
      </c>
      <c r="SQV43">
        <f t="shared" si="247"/>
        <v>0</v>
      </c>
      <c r="SQW43">
        <f t="shared" si="247"/>
        <v>0</v>
      </c>
      <c r="SQX43">
        <f t="shared" si="248"/>
        <v>0</v>
      </c>
      <c r="SQY43">
        <f t="shared" si="248"/>
        <v>0</v>
      </c>
      <c r="SQZ43">
        <f t="shared" si="248"/>
        <v>0</v>
      </c>
      <c r="SRA43">
        <f t="shared" si="248"/>
        <v>0</v>
      </c>
      <c r="SRB43">
        <f t="shared" si="248"/>
        <v>0</v>
      </c>
      <c r="SRC43">
        <f t="shared" si="248"/>
        <v>0</v>
      </c>
      <c r="SRD43">
        <f t="shared" si="248"/>
        <v>0</v>
      </c>
      <c r="SRE43">
        <f t="shared" si="248"/>
        <v>0</v>
      </c>
      <c r="SRF43">
        <f t="shared" si="248"/>
        <v>0</v>
      </c>
      <c r="SRG43">
        <f t="shared" si="248"/>
        <v>0</v>
      </c>
      <c r="SRH43">
        <f t="shared" si="248"/>
        <v>0</v>
      </c>
      <c r="SRI43">
        <f t="shared" si="248"/>
        <v>0</v>
      </c>
      <c r="SRJ43">
        <f t="shared" si="248"/>
        <v>0</v>
      </c>
      <c r="SRK43">
        <f t="shared" si="248"/>
        <v>0</v>
      </c>
      <c r="SRL43">
        <f t="shared" si="248"/>
        <v>0</v>
      </c>
      <c r="SRM43">
        <f t="shared" si="248"/>
        <v>0</v>
      </c>
      <c r="SRN43">
        <f t="shared" si="248"/>
        <v>0</v>
      </c>
      <c r="SRO43">
        <f t="shared" si="248"/>
        <v>0</v>
      </c>
      <c r="SRP43">
        <f t="shared" si="248"/>
        <v>0</v>
      </c>
      <c r="SRQ43">
        <f t="shared" si="248"/>
        <v>0</v>
      </c>
      <c r="SRR43">
        <f t="shared" si="248"/>
        <v>0</v>
      </c>
      <c r="SRS43">
        <f t="shared" si="248"/>
        <v>0</v>
      </c>
      <c r="SRT43">
        <f t="shared" si="248"/>
        <v>0</v>
      </c>
      <c r="SRU43">
        <f t="shared" si="248"/>
        <v>0</v>
      </c>
      <c r="SRV43">
        <f t="shared" si="248"/>
        <v>0</v>
      </c>
      <c r="SRW43">
        <f t="shared" si="248"/>
        <v>0</v>
      </c>
      <c r="SRX43">
        <f t="shared" si="248"/>
        <v>0</v>
      </c>
      <c r="SRY43">
        <f t="shared" si="248"/>
        <v>0</v>
      </c>
      <c r="SRZ43">
        <f t="shared" si="248"/>
        <v>0</v>
      </c>
      <c r="SSA43">
        <f t="shared" si="248"/>
        <v>0</v>
      </c>
      <c r="SSB43">
        <f t="shared" si="248"/>
        <v>0</v>
      </c>
      <c r="SSC43">
        <f t="shared" si="248"/>
        <v>0</v>
      </c>
      <c r="SSD43">
        <f t="shared" si="248"/>
        <v>0</v>
      </c>
      <c r="SSE43">
        <f t="shared" si="248"/>
        <v>0</v>
      </c>
      <c r="SSF43">
        <f t="shared" si="248"/>
        <v>0</v>
      </c>
      <c r="SSG43">
        <f t="shared" si="248"/>
        <v>0</v>
      </c>
      <c r="SSH43">
        <f t="shared" si="248"/>
        <v>0</v>
      </c>
      <c r="SSI43">
        <f t="shared" si="248"/>
        <v>0</v>
      </c>
      <c r="SSJ43">
        <f t="shared" si="248"/>
        <v>0</v>
      </c>
      <c r="SSK43">
        <f t="shared" si="248"/>
        <v>0</v>
      </c>
      <c r="SSL43">
        <f t="shared" si="248"/>
        <v>0</v>
      </c>
      <c r="SSM43">
        <f t="shared" si="248"/>
        <v>0</v>
      </c>
      <c r="SSN43">
        <f t="shared" si="248"/>
        <v>0</v>
      </c>
      <c r="SSO43">
        <f t="shared" si="248"/>
        <v>0</v>
      </c>
      <c r="SSP43">
        <f t="shared" si="248"/>
        <v>0</v>
      </c>
      <c r="SSQ43">
        <f t="shared" si="248"/>
        <v>0</v>
      </c>
      <c r="SSR43">
        <f t="shared" si="248"/>
        <v>0</v>
      </c>
      <c r="SSS43">
        <f t="shared" si="248"/>
        <v>0</v>
      </c>
      <c r="SST43">
        <f t="shared" si="248"/>
        <v>0</v>
      </c>
      <c r="SSU43">
        <f t="shared" si="248"/>
        <v>0</v>
      </c>
      <c r="SSV43">
        <f t="shared" si="248"/>
        <v>0</v>
      </c>
      <c r="SSW43">
        <f t="shared" si="248"/>
        <v>0</v>
      </c>
      <c r="SSX43">
        <f t="shared" si="248"/>
        <v>0</v>
      </c>
      <c r="SSY43">
        <f t="shared" si="248"/>
        <v>0</v>
      </c>
      <c r="SSZ43">
        <f t="shared" si="248"/>
        <v>0</v>
      </c>
      <c r="STA43">
        <f t="shared" si="248"/>
        <v>0</v>
      </c>
      <c r="STB43">
        <f t="shared" si="248"/>
        <v>0</v>
      </c>
      <c r="STC43">
        <f t="shared" si="248"/>
        <v>0</v>
      </c>
      <c r="STD43">
        <f t="shared" si="248"/>
        <v>0</v>
      </c>
      <c r="STE43">
        <f t="shared" si="248"/>
        <v>0</v>
      </c>
      <c r="STF43">
        <f t="shared" si="248"/>
        <v>0</v>
      </c>
      <c r="STG43">
        <f t="shared" si="248"/>
        <v>0</v>
      </c>
      <c r="STH43">
        <f t="shared" si="248"/>
        <v>0</v>
      </c>
      <c r="STI43">
        <f t="shared" si="248"/>
        <v>0</v>
      </c>
      <c r="STJ43">
        <f t="shared" si="249"/>
        <v>0</v>
      </c>
      <c r="STK43">
        <f t="shared" si="249"/>
        <v>0</v>
      </c>
      <c r="STL43">
        <f t="shared" si="249"/>
        <v>0</v>
      </c>
      <c r="STM43">
        <f t="shared" si="249"/>
        <v>0</v>
      </c>
      <c r="STN43">
        <f t="shared" si="249"/>
        <v>0</v>
      </c>
      <c r="STO43">
        <f t="shared" si="249"/>
        <v>0</v>
      </c>
      <c r="STP43">
        <f t="shared" si="249"/>
        <v>0</v>
      </c>
      <c r="STQ43">
        <f t="shared" si="249"/>
        <v>0</v>
      </c>
      <c r="STR43">
        <f t="shared" si="249"/>
        <v>0</v>
      </c>
      <c r="STS43">
        <f t="shared" si="249"/>
        <v>0</v>
      </c>
      <c r="STT43">
        <f t="shared" si="249"/>
        <v>0</v>
      </c>
      <c r="STU43">
        <f t="shared" si="249"/>
        <v>0</v>
      </c>
      <c r="STV43">
        <f t="shared" si="249"/>
        <v>0</v>
      </c>
      <c r="STW43">
        <f t="shared" si="249"/>
        <v>0</v>
      </c>
      <c r="STX43">
        <f t="shared" si="249"/>
        <v>0</v>
      </c>
      <c r="STY43">
        <f t="shared" si="249"/>
        <v>0</v>
      </c>
      <c r="STZ43">
        <f t="shared" si="249"/>
        <v>0</v>
      </c>
      <c r="SUA43">
        <f t="shared" si="249"/>
        <v>0</v>
      </c>
      <c r="SUB43">
        <f t="shared" si="249"/>
        <v>0</v>
      </c>
      <c r="SUC43">
        <f t="shared" si="249"/>
        <v>0</v>
      </c>
      <c r="SUD43">
        <f t="shared" si="249"/>
        <v>0</v>
      </c>
      <c r="SUE43">
        <f t="shared" si="249"/>
        <v>0</v>
      </c>
      <c r="SUF43">
        <f t="shared" si="249"/>
        <v>0</v>
      </c>
      <c r="SUG43">
        <f t="shared" si="249"/>
        <v>0</v>
      </c>
      <c r="SUH43">
        <f t="shared" si="249"/>
        <v>0</v>
      </c>
      <c r="SUI43">
        <f t="shared" si="249"/>
        <v>0</v>
      </c>
      <c r="SUJ43">
        <f t="shared" si="249"/>
        <v>0</v>
      </c>
      <c r="SUK43">
        <f t="shared" si="249"/>
        <v>0</v>
      </c>
      <c r="SUL43">
        <f t="shared" si="249"/>
        <v>0</v>
      </c>
      <c r="SUM43">
        <f t="shared" si="249"/>
        <v>0</v>
      </c>
      <c r="SUN43">
        <f t="shared" si="249"/>
        <v>0</v>
      </c>
      <c r="SUO43">
        <f t="shared" si="249"/>
        <v>0</v>
      </c>
      <c r="SUP43">
        <f t="shared" si="249"/>
        <v>0</v>
      </c>
      <c r="SUQ43">
        <f t="shared" si="249"/>
        <v>0</v>
      </c>
      <c r="SUR43">
        <f t="shared" si="249"/>
        <v>0</v>
      </c>
      <c r="SUS43">
        <f t="shared" si="249"/>
        <v>0</v>
      </c>
      <c r="SUT43">
        <f t="shared" si="249"/>
        <v>0</v>
      </c>
      <c r="SUU43">
        <f t="shared" si="249"/>
        <v>0</v>
      </c>
      <c r="SUV43">
        <f t="shared" si="249"/>
        <v>0</v>
      </c>
      <c r="SUW43">
        <f t="shared" si="249"/>
        <v>0</v>
      </c>
      <c r="SUX43">
        <f t="shared" si="249"/>
        <v>0</v>
      </c>
      <c r="SUY43">
        <f t="shared" si="249"/>
        <v>0</v>
      </c>
      <c r="SUZ43">
        <f t="shared" si="249"/>
        <v>0</v>
      </c>
      <c r="SVA43">
        <f t="shared" si="249"/>
        <v>0</v>
      </c>
      <c r="SVB43">
        <f t="shared" si="249"/>
        <v>0</v>
      </c>
      <c r="SVC43">
        <f t="shared" si="249"/>
        <v>0</v>
      </c>
      <c r="SVD43">
        <f t="shared" si="249"/>
        <v>0</v>
      </c>
      <c r="SVE43">
        <f t="shared" si="249"/>
        <v>0</v>
      </c>
      <c r="SVF43">
        <f t="shared" si="249"/>
        <v>0</v>
      </c>
      <c r="SVG43">
        <f t="shared" si="249"/>
        <v>0</v>
      </c>
      <c r="SVH43">
        <f t="shared" si="249"/>
        <v>0</v>
      </c>
      <c r="SVI43">
        <f t="shared" si="249"/>
        <v>0</v>
      </c>
      <c r="SVJ43">
        <f t="shared" si="249"/>
        <v>0</v>
      </c>
      <c r="SVK43">
        <f t="shared" si="249"/>
        <v>0</v>
      </c>
      <c r="SVL43">
        <f t="shared" si="249"/>
        <v>0</v>
      </c>
      <c r="SVM43">
        <f t="shared" si="249"/>
        <v>0</v>
      </c>
      <c r="SVN43">
        <f t="shared" si="249"/>
        <v>0</v>
      </c>
      <c r="SVO43">
        <f t="shared" si="249"/>
        <v>0</v>
      </c>
      <c r="SVP43">
        <f t="shared" si="249"/>
        <v>0</v>
      </c>
      <c r="SVQ43">
        <f t="shared" si="249"/>
        <v>0</v>
      </c>
      <c r="SVR43">
        <f t="shared" si="249"/>
        <v>0</v>
      </c>
      <c r="SVS43">
        <f t="shared" si="249"/>
        <v>0</v>
      </c>
      <c r="SVT43">
        <f t="shared" si="249"/>
        <v>0</v>
      </c>
      <c r="SVU43">
        <f t="shared" si="249"/>
        <v>0</v>
      </c>
      <c r="SVV43">
        <f t="shared" si="250"/>
        <v>0</v>
      </c>
      <c r="SVW43">
        <f t="shared" si="250"/>
        <v>0</v>
      </c>
      <c r="SVX43">
        <f t="shared" si="250"/>
        <v>0</v>
      </c>
      <c r="SVY43">
        <f t="shared" si="250"/>
        <v>0</v>
      </c>
      <c r="SVZ43">
        <f t="shared" si="250"/>
        <v>0</v>
      </c>
      <c r="SWA43">
        <f t="shared" si="250"/>
        <v>0</v>
      </c>
      <c r="SWB43">
        <f t="shared" si="250"/>
        <v>0</v>
      </c>
      <c r="SWC43">
        <f t="shared" si="250"/>
        <v>0</v>
      </c>
      <c r="SWD43">
        <f t="shared" si="250"/>
        <v>0</v>
      </c>
      <c r="SWE43">
        <f t="shared" si="250"/>
        <v>0</v>
      </c>
      <c r="SWF43">
        <f t="shared" si="250"/>
        <v>0</v>
      </c>
      <c r="SWG43">
        <f t="shared" si="250"/>
        <v>0</v>
      </c>
      <c r="SWH43">
        <f t="shared" si="250"/>
        <v>0</v>
      </c>
      <c r="SWI43">
        <f t="shared" si="250"/>
        <v>0</v>
      </c>
      <c r="SWJ43">
        <f t="shared" si="250"/>
        <v>0</v>
      </c>
      <c r="SWK43">
        <f t="shared" si="250"/>
        <v>0</v>
      </c>
      <c r="SWL43">
        <f t="shared" si="250"/>
        <v>0</v>
      </c>
      <c r="SWM43">
        <f t="shared" si="250"/>
        <v>0</v>
      </c>
      <c r="SWN43">
        <f t="shared" si="250"/>
        <v>0</v>
      </c>
      <c r="SWO43">
        <f t="shared" si="250"/>
        <v>0</v>
      </c>
      <c r="SWP43">
        <f t="shared" si="250"/>
        <v>0</v>
      </c>
      <c r="SWQ43">
        <f t="shared" si="250"/>
        <v>0</v>
      </c>
      <c r="SWR43">
        <f t="shared" si="250"/>
        <v>0</v>
      </c>
      <c r="SWS43">
        <f t="shared" si="250"/>
        <v>0</v>
      </c>
      <c r="SWT43">
        <f t="shared" si="250"/>
        <v>0</v>
      </c>
      <c r="SWU43">
        <f t="shared" si="250"/>
        <v>0</v>
      </c>
      <c r="SWV43">
        <f t="shared" si="250"/>
        <v>0</v>
      </c>
      <c r="SWW43">
        <f t="shared" si="250"/>
        <v>0</v>
      </c>
      <c r="SWX43">
        <f t="shared" si="250"/>
        <v>0</v>
      </c>
      <c r="SWY43">
        <f t="shared" si="250"/>
        <v>0</v>
      </c>
      <c r="SWZ43">
        <f t="shared" si="250"/>
        <v>0</v>
      </c>
      <c r="SXA43">
        <f t="shared" si="250"/>
        <v>0</v>
      </c>
      <c r="SXB43">
        <f t="shared" si="250"/>
        <v>0</v>
      </c>
      <c r="SXC43">
        <f t="shared" si="250"/>
        <v>0</v>
      </c>
      <c r="SXD43">
        <f t="shared" si="250"/>
        <v>0</v>
      </c>
      <c r="SXE43">
        <f t="shared" si="250"/>
        <v>0</v>
      </c>
      <c r="SXF43">
        <f t="shared" si="250"/>
        <v>0</v>
      </c>
      <c r="SXG43">
        <f t="shared" si="250"/>
        <v>0</v>
      </c>
      <c r="SXH43">
        <f t="shared" si="250"/>
        <v>0</v>
      </c>
      <c r="SXI43">
        <f t="shared" si="250"/>
        <v>0</v>
      </c>
      <c r="SXJ43">
        <f t="shared" si="250"/>
        <v>0</v>
      </c>
      <c r="SXK43">
        <f t="shared" si="250"/>
        <v>0</v>
      </c>
      <c r="SXL43">
        <f t="shared" si="250"/>
        <v>0</v>
      </c>
      <c r="SXM43">
        <f t="shared" si="250"/>
        <v>0</v>
      </c>
      <c r="SXN43">
        <f t="shared" si="250"/>
        <v>0</v>
      </c>
      <c r="SXO43">
        <f t="shared" si="250"/>
        <v>0</v>
      </c>
      <c r="SXP43">
        <f t="shared" si="250"/>
        <v>0</v>
      </c>
      <c r="SXQ43">
        <f t="shared" si="250"/>
        <v>0</v>
      </c>
      <c r="SXR43">
        <f t="shared" si="250"/>
        <v>0</v>
      </c>
      <c r="SXS43">
        <f t="shared" si="250"/>
        <v>0</v>
      </c>
      <c r="SXT43">
        <f t="shared" si="250"/>
        <v>0</v>
      </c>
      <c r="SXU43">
        <f t="shared" si="250"/>
        <v>0</v>
      </c>
      <c r="SXV43">
        <f t="shared" si="250"/>
        <v>0</v>
      </c>
      <c r="SXW43">
        <f t="shared" si="250"/>
        <v>0</v>
      </c>
      <c r="SXX43">
        <f t="shared" si="250"/>
        <v>0</v>
      </c>
      <c r="SXY43">
        <f t="shared" si="250"/>
        <v>0</v>
      </c>
      <c r="SXZ43">
        <f t="shared" si="250"/>
        <v>0</v>
      </c>
      <c r="SYA43">
        <f t="shared" si="250"/>
        <v>0</v>
      </c>
      <c r="SYB43">
        <f t="shared" si="250"/>
        <v>0</v>
      </c>
      <c r="SYC43">
        <f t="shared" si="250"/>
        <v>0</v>
      </c>
      <c r="SYD43">
        <f t="shared" si="250"/>
        <v>0</v>
      </c>
      <c r="SYE43">
        <f t="shared" si="250"/>
        <v>0</v>
      </c>
      <c r="SYF43">
        <f t="shared" si="250"/>
        <v>0</v>
      </c>
      <c r="SYG43">
        <f t="shared" si="250"/>
        <v>0</v>
      </c>
      <c r="SYH43">
        <f t="shared" si="251"/>
        <v>0</v>
      </c>
      <c r="SYI43">
        <f t="shared" si="251"/>
        <v>0</v>
      </c>
      <c r="SYJ43">
        <f t="shared" si="251"/>
        <v>0</v>
      </c>
      <c r="SYK43">
        <f t="shared" si="251"/>
        <v>0</v>
      </c>
      <c r="SYL43">
        <f t="shared" si="251"/>
        <v>0</v>
      </c>
      <c r="SYM43">
        <f t="shared" si="251"/>
        <v>0</v>
      </c>
      <c r="SYN43">
        <f t="shared" si="251"/>
        <v>0</v>
      </c>
      <c r="SYO43">
        <f t="shared" si="251"/>
        <v>0</v>
      </c>
      <c r="SYP43">
        <f t="shared" si="251"/>
        <v>0</v>
      </c>
      <c r="SYQ43">
        <f t="shared" si="251"/>
        <v>0</v>
      </c>
      <c r="SYR43">
        <f t="shared" si="251"/>
        <v>0</v>
      </c>
      <c r="SYS43">
        <f t="shared" si="251"/>
        <v>0</v>
      </c>
      <c r="SYT43">
        <f t="shared" si="251"/>
        <v>0</v>
      </c>
      <c r="SYU43">
        <f t="shared" si="251"/>
        <v>0</v>
      </c>
      <c r="SYV43">
        <f t="shared" si="251"/>
        <v>0</v>
      </c>
      <c r="SYW43">
        <f t="shared" si="251"/>
        <v>0</v>
      </c>
      <c r="SYX43">
        <f t="shared" si="251"/>
        <v>0</v>
      </c>
      <c r="SYY43">
        <f t="shared" si="251"/>
        <v>0</v>
      </c>
      <c r="SYZ43">
        <f t="shared" si="251"/>
        <v>0</v>
      </c>
      <c r="SZA43">
        <f t="shared" si="251"/>
        <v>0</v>
      </c>
      <c r="SZB43">
        <f t="shared" si="251"/>
        <v>0</v>
      </c>
      <c r="SZC43">
        <f t="shared" si="251"/>
        <v>0</v>
      </c>
      <c r="SZD43">
        <f t="shared" si="251"/>
        <v>0</v>
      </c>
      <c r="SZE43">
        <f t="shared" si="251"/>
        <v>0</v>
      </c>
      <c r="SZF43">
        <f t="shared" si="251"/>
        <v>0</v>
      </c>
      <c r="SZG43">
        <f t="shared" si="251"/>
        <v>0</v>
      </c>
      <c r="SZH43">
        <f t="shared" si="251"/>
        <v>0</v>
      </c>
      <c r="SZI43">
        <f t="shared" si="251"/>
        <v>0</v>
      </c>
      <c r="SZJ43">
        <f t="shared" si="251"/>
        <v>0</v>
      </c>
      <c r="SZK43">
        <f t="shared" si="251"/>
        <v>0</v>
      </c>
      <c r="SZL43">
        <f t="shared" si="251"/>
        <v>0</v>
      </c>
      <c r="SZM43">
        <f t="shared" si="251"/>
        <v>0</v>
      </c>
      <c r="SZN43">
        <f t="shared" si="251"/>
        <v>0</v>
      </c>
      <c r="SZO43">
        <f t="shared" si="251"/>
        <v>0</v>
      </c>
      <c r="SZP43">
        <f t="shared" si="251"/>
        <v>0</v>
      </c>
      <c r="SZQ43">
        <f t="shared" si="251"/>
        <v>0</v>
      </c>
      <c r="SZR43">
        <f t="shared" si="251"/>
        <v>0</v>
      </c>
      <c r="SZS43">
        <f t="shared" si="251"/>
        <v>0</v>
      </c>
      <c r="SZT43">
        <f t="shared" si="251"/>
        <v>0</v>
      </c>
      <c r="SZU43">
        <f t="shared" si="251"/>
        <v>0</v>
      </c>
      <c r="SZV43">
        <f t="shared" si="251"/>
        <v>0</v>
      </c>
      <c r="SZW43">
        <f t="shared" si="251"/>
        <v>0</v>
      </c>
      <c r="SZX43">
        <f t="shared" si="251"/>
        <v>0</v>
      </c>
      <c r="SZY43">
        <f t="shared" si="251"/>
        <v>0</v>
      </c>
      <c r="SZZ43">
        <f t="shared" si="251"/>
        <v>0</v>
      </c>
      <c r="TAA43">
        <f t="shared" si="251"/>
        <v>0</v>
      </c>
      <c r="TAB43">
        <f t="shared" si="251"/>
        <v>0</v>
      </c>
      <c r="TAC43">
        <f t="shared" si="251"/>
        <v>0</v>
      </c>
      <c r="TAD43">
        <f t="shared" si="251"/>
        <v>0</v>
      </c>
      <c r="TAE43">
        <f t="shared" si="251"/>
        <v>0</v>
      </c>
      <c r="TAF43">
        <f t="shared" si="251"/>
        <v>0</v>
      </c>
      <c r="TAG43">
        <f t="shared" si="251"/>
        <v>0</v>
      </c>
      <c r="TAH43">
        <f t="shared" si="251"/>
        <v>0</v>
      </c>
      <c r="TAI43">
        <f t="shared" si="251"/>
        <v>0</v>
      </c>
      <c r="TAJ43">
        <f t="shared" si="251"/>
        <v>0</v>
      </c>
      <c r="TAK43">
        <f t="shared" si="251"/>
        <v>0</v>
      </c>
      <c r="TAL43">
        <f t="shared" si="251"/>
        <v>0</v>
      </c>
      <c r="TAM43">
        <f t="shared" si="251"/>
        <v>0</v>
      </c>
      <c r="TAN43">
        <f t="shared" si="251"/>
        <v>0</v>
      </c>
      <c r="TAO43">
        <f t="shared" si="251"/>
        <v>0</v>
      </c>
      <c r="TAP43">
        <f t="shared" si="251"/>
        <v>0</v>
      </c>
      <c r="TAQ43">
        <f t="shared" si="251"/>
        <v>0</v>
      </c>
      <c r="TAR43">
        <f t="shared" si="251"/>
        <v>0</v>
      </c>
      <c r="TAS43">
        <f t="shared" si="251"/>
        <v>0</v>
      </c>
      <c r="TAT43">
        <f t="shared" si="252"/>
        <v>0</v>
      </c>
      <c r="TAU43">
        <f t="shared" si="252"/>
        <v>0</v>
      </c>
      <c r="TAV43">
        <f t="shared" si="252"/>
        <v>0</v>
      </c>
      <c r="TAW43">
        <f t="shared" si="252"/>
        <v>0</v>
      </c>
      <c r="TAX43">
        <f t="shared" si="252"/>
        <v>0</v>
      </c>
      <c r="TAY43">
        <f t="shared" si="252"/>
        <v>0</v>
      </c>
      <c r="TAZ43">
        <f t="shared" si="252"/>
        <v>0</v>
      </c>
      <c r="TBA43">
        <f t="shared" si="252"/>
        <v>0</v>
      </c>
      <c r="TBB43">
        <f t="shared" si="252"/>
        <v>0</v>
      </c>
      <c r="TBC43">
        <f t="shared" si="252"/>
        <v>0</v>
      </c>
      <c r="TBD43">
        <f t="shared" si="252"/>
        <v>0</v>
      </c>
      <c r="TBE43">
        <f t="shared" si="252"/>
        <v>0</v>
      </c>
      <c r="TBF43">
        <f t="shared" si="252"/>
        <v>0</v>
      </c>
      <c r="TBG43">
        <f t="shared" si="252"/>
        <v>0</v>
      </c>
      <c r="TBH43">
        <f t="shared" si="252"/>
        <v>0</v>
      </c>
      <c r="TBI43">
        <f t="shared" si="252"/>
        <v>0</v>
      </c>
      <c r="TBJ43">
        <f t="shared" si="252"/>
        <v>0</v>
      </c>
      <c r="TBK43">
        <f t="shared" si="252"/>
        <v>0</v>
      </c>
      <c r="TBL43">
        <f t="shared" si="252"/>
        <v>0</v>
      </c>
      <c r="TBM43">
        <f t="shared" si="252"/>
        <v>0</v>
      </c>
      <c r="TBN43">
        <f t="shared" si="252"/>
        <v>0</v>
      </c>
      <c r="TBO43">
        <f t="shared" si="252"/>
        <v>0</v>
      </c>
      <c r="TBP43">
        <f t="shared" si="252"/>
        <v>0</v>
      </c>
      <c r="TBQ43">
        <f t="shared" si="252"/>
        <v>0</v>
      </c>
      <c r="TBR43">
        <f t="shared" si="252"/>
        <v>0</v>
      </c>
      <c r="TBS43">
        <f t="shared" si="252"/>
        <v>0</v>
      </c>
      <c r="TBT43">
        <f t="shared" si="252"/>
        <v>0</v>
      </c>
      <c r="TBU43">
        <f t="shared" si="252"/>
        <v>0</v>
      </c>
      <c r="TBV43">
        <f t="shared" si="252"/>
        <v>0</v>
      </c>
      <c r="TBW43">
        <f t="shared" si="252"/>
        <v>0</v>
      </c>
      <c r="TBX43">
        <f t="shared" si="252"/>
        <v>0</v>
      </c>
      <c r="TBY43">
        <f t="shared" si="252"/>
        <v>0</v>
      </c>
      <c r="TBZ43">
        <f t="shared" si="252"/>
        <v>0</v>
      </c>
      <c r="TCA43">
        <f t="shared" si="252"/>
        <v>0</v>
      </c>
      <c r="TCB43">
        <f t="shared" si="252"/>
        <v>0</v>
      </c>
      <c r="TCC43">
        <f t="shared" si="252"/>
        <v>0</v>
      </c>
      <c r="TCD43">
        <f t="shared" si="252"/>
        <v>0</v>
      </c>
      <c r="TCE43">
        <f t="shared" si="252"/>
        <v>0</v>
      </c>
      <c r="TCF43">
        <f t="shared" si="252"/>
        <v>0</v>
      </c>
      <c r="TCG43">
        <f t="shared" si="252"/>
        <v>0</v>
      </c>
      <c r="TCH43">
        <f t="shared" si="252"/>
        <v>0</v>
      </c>
      <c r="TCI43">
        <f t="shared" si="252"/>
        <v>0</v>
      </c>
      <c r="TCJ43">
        <f t="shared" si="252"/>
        <v>0</v>
      </c>
      <c r="TCK43">
        <f t="shared" si="252"/>
        <v>0</v>
      </c>
      <c r="TCL43">
        <f t="shared" si="252"/>
        <v>0</v>
      </c>
      <c r="TCM43">
        <f t="shared" si="252"/>
        <v>0</v>
      </c>
      <c r="TCN43">
        <f t="shared" si="252"/>
        <v>0</v>
      </c>
      <c r="TCO43">
        <f t="shared" si="252"/>
        <v>0</v>
      </c>
      <c r="TCP43">
        <f t="shared" si="252"/>
        <v>0</v>
      </c>
      <c r="TCQ43">
        <f t="shared" si="252"/>
        <v>0</v>
      </c>
      <c r="TCR43">
        <f t="shared" si="252"/>
        <v>0</v>
      </c>
      <c r="TCS43">
        <f t="shared" si="252"/>
        <v>0</v>
      </c>
      <c r="TCT43">
        <f t="shared" si="252"/>
        <v>0</v>
      </c>
      <c r="TCU43">
        <f t="shared" si="252"/>
        <v>0</v>
      </c>
      <c r="TCV43">
        <f t="shared" si="252"/>
        <v>0</v>
      </c>
      <c r="TCW43">
        <f t="shared" si="252"/>
        <v>0</v>
      </c>
      <c r="TCX43">
        <f t="shared" si="252"/>
        <v>0</v>
      </c>
      <c r="TCY43">
        <f t="shared" si="252"/>
        <v>0</v>
      </c>
      <c r="TCZ43">
        <f t="shared" si="252"/>
        <v>0</v>
      </c>
      <c r="TDA43">
        <f t="shared" si="252"/>
        <v>0</v>
      </c>
      <c r="TDB43">
        <f t="shared" si="252"/>
        <v>0</v>
      </c>
      <c r="TDC43">
        <f t="shared" si="252"/>
        <v>0</v>
      </c>
      <c r="TDD43">
        <f t="shared" si="252"/>
        <v>0</v>
      </c>
      <c r="TDE43">
        <f t="shared" si="252"/>
        <v>0</v>
      </c>
      <c r="TDF43">
        <f t="shared" si="253"/>
        <v>0</v>
      </c>
      <c r="TDG43">
        <f t="shared" si="253"/>
        <v>0</v>
      </c>
      <c r="TDH43">
        <f t="shared" si="253"/>
        <v>0</v>
      </c>
      <c r="TDI43">
        <f t="shared" si="253"/>
        <v>0</v>
      </c>
      <c r="TDJ43">
        <f t="shared" si="253"/>
        <v>0</v>
      </c>
      <c r="TDK43">
        <f t="shared" si="253"/>
        <v>0</v>
      </c>
      <c r="TDL43">
        <f t="shared" si="253"/>
        <v>0</v>
      </c>
      <c r="TDM43">
        <f t="shared" si="253"/>
        <v>0</v>
      </c>
      <c r="TDN43">
        <f t="shared" si="253"/>
        <v>0</v>
      </c>
      <c r="TDO43">
        <f t="shared" si="253"/>
        <v>0</v>
      </c>
      <c r="TDP43">
        <f t="shared" si="253"/>
        <v>0</v>
      </c>
      <c r="TDQ43">
        <f t="shared" si="253"/>
        <v>0</v>
      </c>
      <c r="TDR43">
        <f t="shared" si="253"/>
        <v>0</v>
      </c>
      <c r="TDS43">
        <f t="shared" si="253"/>
        <v>0</v>
      </c>
      <c r="TDT43">
        <f t="shared" si="253"/>
        <v>0</v>
      </c>
      <c r="TDU43">
        <f t="shared" si="253"/>
        <v>0</v>
      </c>
      <c r="TDV43">
        <f t="shared" si="253"/>
        <v>0</v>
      </c>
      <c r="TDW43">
        <f t="shared" si="253"/>
        <v>0</v>
      </c>
      <c r="TDX43">
        <f t="shared" si="253"/>
        <v>0</v>
      </c>
      <c r="TDY43">
        <f t="shared" si="253"/>
        <v>0</v>
      </c>
      <c r="TDZ43">
        <f t="shared" si="253"/>
        <v>0</v>
      </c>
      <c r="TEA43">
        <f t="shared" si="253"/>
        <v>0</v>
      </c>
      <c r="TEB43">
        <f t="shared" si="253"/>
        <v>0</v>
      </c>
      <c r="TEC43">
        <f t="shared" si="253"/>
        <v>0</v>
      </c>
      <c r="TED43">
        <f t="shared" si="253"/>
        <v>0</v>
      </c>
      <c r="TEE43">
        <f t="shared" si="253"/>
        <v>0</v>
      </c>
      <c r="TEF43">
        <f t="shared" si="253"/>
        <v>0</v>
      </c>
      <c r="TEG43">
        <f t="shared" si="253"/>
        <v>0</v>
      </c>
      <c r="TEH43">
        <f t="shared" si="253"/>
        <v>0</v>
      </c>
      <c r="TEI43">
        <f t="shared" si="253"/>
        <v>0</v>
      </c>
      <c r="TEJ43">
        <f t="shared" si="253"/>
        <v>0</v>
      </c>
      <c r="TEK43">
        <f t="shared" si="253"/>
        <v>0</v>
      </c>
      <c r="TEL43">
        <f t="shared" si="253"/>
        <v>0</v>
      </c>
      <c r="TEM43">
        <f t="shared" si="253"/>
        <v>0</v>
      </c>
      <c r="TEN43">
        <f t="shared" si="253"/>
        <v>0</v>
      </c>
      <c r="TEO43">
        <f t="shared" si="253"/>
        <v>0</v>
      </c>
      <c r="TEP43">
        <f t="shared" si="253"/>
        <v>0</v>
      </c>
      <c r="TEQ43">
        <f t="shared" si="253"/>
        <v>0</v>
      </c>
      <c r="TER43">
        <f t="shared" si="253"/>
        <v>0</v>
      </c>
      <c r="TES43">
        <f t="shared" si="253"/>
        <v>0</v>
      </c>
      <c r="TET43">
        <f t="shared" si="253"/>
        <v>0</v>
      </c>
      <c r="TEU43">
        <f t="shared" si="253"/>
        <v>0</v>
      </c>
      <c r="TEV43">
        <f t="shared" si="253"/>
        <v>0</v>
      </c>
      <c r="TEW43">
        <f t="shared" si="253"/>
        <v>0</v>
      </c>
      <c r="TEX43">
        <f t="shared" si="253"/>
        <v>0</v>
      </c>
      <c r="TEY43">
        <f t="shared" si="253"/>
        <v>0</v>
      </c>
      <c r="TEZ43">
        <f t="shared" si="253"/>
        <v>0</v>
      </c>
      <c r="TFA43">
        <f t="shared" si="253"/>
        <v>0</v>
      </c>
      <c r="TFB43">
        <f t="shared" si="253"/>
        <v>0</v>
      </c>
      <c r="TFC43">
        <f t="shared" si="253"/>
        <v>0</v>
      </c>
      <c r="TFD43">
        <f t="shared" si="253"/>
        <v>0</v>
      </c>
      <c r="TFE43">
        <f t="shared" si="253"/>
        <v>0</v>
      </c>
      <c r="TFF43">
        <f t="shared" si="253"/>
        <v>0</v>
      </c>
      <c r="TFG43">
        <f t="shared" si="253"/>
        <v>0</v>
      </c>
      <c r="TFH43">
        <f t="shared" si="253"/>
        <v>0</v>
      </c>
      <c r="TFI43">
        <f t="shared" si="253"/>
        <v>0</v>
      </c>
      <c r="TFJ43">
        <f t="shared" si="253"/>
        <v>0</v>
      </c>
      <c r="TFK43">
        <f t="shared" si="253"/>
        <v>0</v>
      </c>
      <c r="TFL43">
        <f t="shared" si="253"/>
        <v>0</v>
      </c>
      <c r="TFM43">
        <f t="shared" si="253"/>
        <v>0</v>
      </c>
      <c r="TFN43">
        <f t="shared" si="253"/>
        <v>0</v>
      </c>
      <c r="TFO43">
        <f t="shared" si="253"/>
        <v>0</v>
      </c>
      <c r="TFP43">
        <f t="shared" si="253"/>
        <v>0</v>
      </c>
      <c r="TFQ43">
        <f t="shared" si="253"/>
        <v>0</v>
      </c>
      <c r="TFR43">
        <f t="shared" si="254"/>
        <v>0</v>
      </c>
      <c r="TFS43">
        <f t="shared" si="254"/>
        <v>0</v>
      </c>
      <c r="TFT43">
        <f t="shared" si="254"/>
        <v>0</v>
      </c>
      <c r="TFU43">
        <f t="shared" si="254"/>
        <v>0</v>
      </c>
      <c r="TFV43">
        <f t="shared" si="254"/>
        <v>0</v>
      </c>
      <c r="TFW43">
        <f t="shared" si="254"/>
        <v>0</v>
      </c>
      <c r="TFX43">
        <f t="shared" si="254"/>
        <v>0</v>
      </c>
      <c r="TFY43">
        <f t="shared" si="254"/>
        <v>0</v>
      </c>
      <c r="TFZ43">
        <f t="shared" si="254"/>
        <v>0</v>
      </c>
      <c r="TGA43">
        <f t="shared" si="254"/>
        <v>0</v>
      </c>
      <c r="TGB43">
        <f t="shared" si="254"/>
        <v>0</v>
      </c>
      <c r="TGC43">
        <f t="shared" si="254"/>
        <v>0</v>
      </c>
      <c r="TGD43">
        <f t="shared" si="254"/>
        <v>0</v>
      </c>
      <c r="TGE43">
        <f t="shared" si="254"/>
        <v>0</v>
      </c>
      <c r="TGF43">
        <f t="shared" si="254"/>
        <v>0</v>
      </c>
      <c r="TGG43">
        <f t="shared" si="254"/>
        <v>0</v>
      </c>
      <c r="TGH43">
        <f t="shared" si="254"/>
        <v>0</v>
      </c>
      <c r="TGI43">
        <f t="shared" si="254"/>
        <v>0</v>
      </c>
      <c r="TGJ43">
        <f t="shared" si="254"/>
        <v>0</v>
      </c>
      <c r="TGK43">
        <f t="shared" si="254"/>
        <v>0</v>
      </c>
      <c r="TGL43">
        <f t="shared" si="254"/>
        <v>0</v>
      </c>
      <c r="TGM43">
        <f t="shared" si="254"/>
        <v>0</v>
      </c>
      <c r="TGN43">
        <f t="shared" si="254"/>
        <v>0</v>
      </c>
      <c r="TGO43">
        <f t="shared" si="254"/>
        <v>0</v>
      </c>
      <c r="TGP43">
        <f t="shared" si="254"/>
        <v>0</v>
      </c>
      <c r="TGQ43">
        <f t="shared" si="254"/>
        <v>0</v>
      </c>
      <c r="TGR43">
        <f t="shared" si="254"/>
        <v>0</v>
      </c>
      <c r="TGS43">
        <f t="shared" si="254"/>
        <v>0</v>
      </c>
      <c r="TGT43">
        <f t="shared" si="254"/>
        <v>0</v>
      </c>
      <c r="TGU43">
        <f t="shared" si="254"/>
        <v>0</v>
      </c>
      <c r="TGV43">
        <f t="shared" si="254"/>
        <v>0</v>
      </c>
      <c r="TGW43">
        <f t="shared" si="254"/>
        <v>0</v>
      </c>
      <c r="TGX43">
        <f t="shared" si="254"/>
        <v>0</v>
      </c>
      <c r="TGY43">
        <f t="shared" si="254"/>
        <v>0</v>
      </c>
      <c r="TGZ43">
        <f t="shared" si="254"/>
        <v>0</v>
      </c>
      <c r="THA43">
        <f t="shared" si="254"/>
        <v>0</v>
      </c>
      <c r="THB43">
        <f t="shared" si="254"/>
        <v>0</v>
      </c>
      <c r="THC43">
        <f t="shared" si="254"/>
        <v>0</v>
      </c>
      <c r="THD43">
        <f t="shared" si="254"/>
        <v>0</v>
      </c>
      <c r="THE43">
        <f t="shared" si="254"/>
        <v>0</v>
      </c>
      <c r="THF43">
        <f t="shared" si="254"/>
        <v>0</v>
      </c>
      <c r="THG43">
        <f t="shared" si="254"/>
        <v>0</v>
      </c>
      <c r="THH43">
        <f t="shared" si="254"/>
        <v>0</v>
      </c>
      <c r="THI43">
        <f t="shared" si="254"/>
        <v>0</v>
      </c>
      <c r="THJ43">
        <f t="shared" si="254"/>
        <v>0</v>
      </c>
      <c r="THK43">
        <f t="shared" si="254"/>
        <v>0</v>
      </c>
      <c r="THL43">
        <f t="shared" si="254"/>
        <v>0</v>
      </c>
      <c r="THM43">
        <f t="shared" si="254"/>
        <v>0</v>
      </c>
      <c r="THN43">
        <f t="shared" si="254"/>
        <v>0</v>
      </c>
      <c r="THO43">
        <f t="shared" si="254"/>
        <v>0</v>
      </c>
      <c r="THP43">
        <f t="shared" si="254"/>
        <v>0</v>
      </c>
      <c r="THQ43">
        <f t="shared" si="254"/>
        <v>0</v>
      </c>
      <c r="THR43">
        <f t="shared" si="254"/>
        <v>0</v>
      </c>
      <c r="THS43">
        <f t="shared" si="254"/>
        <v>0</v>
      </c>
      <c r="THT43">
        <f t="shared" si="254"/>
        <v>0</v>
      </c>
      <c r="THU43">
        <f t="shared" si="254"/>
        <v>0</v>
      </c>
      <c r="THV43">
        <f t="shared" si="254"/>
        <v>0</v>
      </c>
      <c r="THW43">
        <f t="shared" si="254"/>
        <v>0</v>
      </c>
      <c r="THX43">
        <f t="shared" si="254"/>
        <v>0</v>
      </c>
      <c r="THY43">
        <f t="shared" si="254"/>
        <v>0</v>
      </c>
      <c r="THZ43">
        <f t="shared" si="254"/>
        <v>0</v>
      </c>
      <c r="TIA43">
        <f t="shared" si="254"/>
        <v>0</v>
      </c>
      <c r="TIB43">
        <f t="shared" si="254"/>
        <v>0</v>
      </c>
      <c r="TIC43">
        <f t="shared" si="254"/>
        <v>0</v>
      </c>
      <c r="TID43">
        <f t="shared" si="255"/>
        <v>0</v>
      </c>
      <c r="TIE43">
        <f t="shared" si="255"/>
        <v>0</v>
      </c>
      <c r="TIF43">
        <f t="shared" si="255"/>
        <v>0</v>
      </c>
      <c r="TIG43">
        <f t="shared" si="255"/>
        <v>0</v>
      </c>
      <c r="TIH43">
        <f t="shared" si="255"/>
        <v>0</v>
      </c>
      <c r="TII43">
        <f t="shared" si="255"/>
        <v>0</v>
      </c>
      <c r="TIJ43">
        <f t="shared" si="255"/>
        <v>0</v>
      </c>
      <c r="TIK43">
        <f t="shared" si="255"/>
        <v>0</v>
      </c>
      <c r="TIL43">
        <f t="shared" si="255"/>
        <v>0</v>
      </c>
      <c r="TIM43">
        <f t="shared" si="255"/>
        <v>0</v>
      </c>
      <c r="TIN43">
        <f t="shared" si="255"/>
        <v>0</v>
      </c>
      <c r="TIO43">
        <f t="shared" si="255"/>
        <v>0</v>
      </c>
      <c r="TIP43">
        <f t="shared" si="255"/>
        <v>0</v>
      </c>
      <c r="TIQ43">
        <f t="shared" si="255"/>
        <v>0</v>
      </c>
      <c r="TIR43">
        <f t="shared" si="255"/>
        <v>0</v>
      </c>
      <c r="TIS43">
        <f t="shared" si="255"/>
        <v>0</v>
      </c>
      <c r="TIT43">
        <f t="shared" si="255"/>
        <v>0</v>
      </c>
      <c r="TIU43">
        <f t="shared" si="255"/>
        <v>0</v>
      </c>
      <c r="TIV43">
        <f t="shared" si="255"/>
        <v>0</v>
      </c>
      <c r="TIW43">
        <f t="shared" si="255"/>
        <v>0</v>
      </c>
      <c r="TIX43">
        <f t="shared" si="255"/>
        <v>0</v>
      </c>
      <c r="TIY43">
        <f t="shared" si="255"/>
        <v>0</v>
      </c>
      <c r="TIZ43">
        <f t="shared" si="255"/>
        <v>0</v>
      </c>
      <c r="TJA43">
        <f t="shared" si="255"/>
        <v>0</v>
      </c>
      <c r="TJB43">
        <f t="shared" si="255"/>
        <v>0</v>
      </c>
      <c r="TJC43">
        <f t="shared" si="255"/>
        <v>0</v>
      </c>
      <c r="TJD43">
        <f t="shared" si="255"/>
        <v>0</v>
      </c>
      <c r="TJE43">
        <f t="shared" si="255"/>
        <v>0</v>
      </c>
      <c r="TJF43">
        <f t="shared" si="255"/>
        <v>0</v>
      </c>
      <c r="TJG43">
        <f t="shared" si="255"/>
        <v>0</v>
      </c>
      <c r="TJH43">
        <f t="shared" si="255"/>
        <v>0</v>
      </c>
      <c r="TJI43">
        <f t="shared" si="255"/>
        <v>0</v>
      </c>
      <c r="TJJ43">
        <f t="shared" si="255"/>
        <v>0</v>
      </c>
      <c r="TJK43">
        <f t="shared" si="255"/>
        <v>0</v>
      </c>
      <c r="TJL43">
        <f t="shared" si="255"/>
        <v>0</v>
      </c>
      <c r="TJM43">
        <f t="shared" si="255"/>
        <v>0</v>
      </c>
      <c r="TJN43">
        <f t="shared" si="255"/>
        <v>0</v>
      </c>
      <c r="TJO43">
        <f t="shared" si="255"/>
        <v>0</v>
      </c>
      <c r="TJP43">
        <f t="shared" si="255"/>
        <v>0</v>
      </c>
      <c r="TJQ43">
        <f t="shared" si="255"/>
        <v>0</v>
      </c>
      <c r="TJR43">
        <f t="shared" si="255"/>
        <v>0</v>
      </c>
      <c r="TJS43">
        <f t="shared" si="255"/>
        <v>0</v>
      </c>
      <c r="TJT43">
        <f t="shared" si="255"/>
        <v>0</v>
      </c>
      <c r="TJU43">
        <f t="shared" si="255"/>
        <v>0</v>
      </c>
      <c r="TJV43">
        <f t="shared" si="255"/>
        <v>0</v>
      </c>
      <c r="TJW43">
        <f t="shared" si="255"/>
        <v>0</v>
      </c>
      <c r="TJX43">
        <f t="shared" si="255"/>
        <v>0</v>
      </c>
      <c r="TJY43">
        <f t="shared" si="255"/>
        <v>0</v>
      </c>
      <c r="TJZ43">
        <f t="shared" si="255"/>
        <v>0</v>
      </c>
      <c r="TKA43">
        <f t="shared" si="255"/>
        <v>0</v>
      </c>
      <c r="TKB43">
        <f t="shared" si="255"/>
        <v>0</v>
      </c>
      <c r="TKC43">
        <f t="shared" si="255"/>
        <v>0</v>
      </c>
      <c r="TKD43">
        <f t="shared" si="255"/>
        <v>0</v>
      </c>
      <c r="TKE43">
        <f t="shared" si="255"/>
        <v>0</v>
      </c>
      <c r="TKF43">
        <f t="shared" si="255"/>
        <v>0</v>
      </c>
      <c r="TKG43">
        <f t="shared" si="255"/>
        <v>0</v>
      </c>
      <c r="TKH43">
        <f t="shared" si="255"/>
        <v>0</v>
      </c>
      <c r="TKI43">
        <f t="shared" si="255"/>
        <v>0</v>
      </c>
      <c r="TKJ43">
        <f t="shared" si="255"/>
        <v>0</v>
      </c>
      <c r="TKK43">
        <f t="shared" si="255"/>
        <v>0</v>
      </c>
      <c r="TKL43">
        <f t="shared" si="255"/>
        <v>0</v>
      </c>
      <c r="TKM43">
        <f t="shared" si="255"/>
        <v>0</v>
      </c>
      <c r="TKN43">
        <f t="shared" si="255"/>
        <v>0</v>
      </c>
      <c r="TKO43">
        <f t="shared" si="255"/>
        <v>0</v>
      </c>
      <c r="TKP43">
        <f t="shared" si="256"/>
        <v>0</v>
      </c>
      <c r="TKQ43">
        <f t="shared" si="256"/>
        <v>0</v>
      </c>
      <c r="TKR43">
        <f t="shared" si="256"/>
        <v>0</v>
      </c>
      <c r="TKS43">
        <f t="shared" si="256"/>
        <v>0</v>
      </c>
      <c r="TKT43">
        <f t="shared" si="256"/>
        <v>0</v>
      </c>
      <c r="TKU43">
        <f t="shared" si="256"/>
        <v>0</v>
      </c>
      <c r="TKV43">
        <f t="shared" si="256"/>
        <v>0</v>
      </c>
      <c r="TKW43">
        <f t="shared" si="256"/>
        <v>0</v>
      </c>
      <c r="TKX43">
        <f t="shared" si="256"/>
        <v>0</v>
      </c>
      <c r="TKY43">
        <f t="shared" si="256"/>
        <v>0</v>
      </c>
      <c r="TKZ43">
        <f t="shared" si="256"/>
        <v>0</v>
      </c>
      <c r="TLA43">
        <f t="shared" si="256"/>
        <v>0</v>
      </c>
      <c r="TLB43">
        <f t="shared" si="256"/>
        <v>0</v>
      </c>
      <c r="TLC43">
        <f t="shared" si="256"/>
        <v>0</v>
      </c>
      <c r="TLD43">
        <f t="shared" si="256"/>
        <v>0</v>
      </c>
      <c r="TLE43">
        <f t="shared" si="256"/>
        <v>0</v>
      </c>
      <c r="TLF43">
        <f t="shared" si="256"/>
        <v>0</v>
      </c>
      <c r="TLG43">
        <f t="shared" si="256"/>
        <v>0</v>
      </c>
      <c r="TLH43">
        <f t="shared" si="256"/>
        <v>0</v>
      </c>
      <c r="TLI43">
        <f t="shared" si="256"/>
        <v>0</v>
      </c>
      <c r="TLJ43">
        <f t="shared" si="256"/>
        <v>0</v>
      </c>
      <c r="TLK43">
        <f t="shared" si="256"/>
        <v>0</v>
      </c>
      <c r="TLL43">
        <f t="shared" si="256"/>
        <v>0</v>
      </c>
      <c r="TLM43">
        <f t="shared" si="256"/>
        <v>0</v>
      </c>
      <c r="TLN43">
        <f t="shared" si="256"/>
        <v>0</v>
      </c>
      <c r="TLO43">
        <f t="shared" si="256"/>
        <v>0</v>
      </c>
      <c r="TLP43">
        <f t="shared" si="256"/>
        <v>0</v>
      </c>
      <c r="TLQ43">
        <f t="shared" si="256"/>
        <v>0</v>
      </c>
      <c r="TLR43">
        <f t="shared" si="256"/>
        <v>0</v>
      </c>
      <c r="TLS43">
        <f t="shared" si="256"/>
        <v>0</v>
      </c>
      <c r="TLT43">
        <f t="shared" si="256"/>
        <v>0</v>
      </c>
      <c r="TLU43">
        <f t="shared" si="256"/>
        <v>0</v>
      </c>
      <c r="TLV43">
        <f t="shared" si="256"/>
        <v>0</v>
      </c>
      <c r="TLW43">
        <f t="shared" si="256"/>
        <v>0</v>
      </c>
      <c r="TLX43">
        <f t="shared" si="256"/>
        <v>0</v>
      </c>
      <c r="TLY43">
        <f t="shared" si="256"/>
        <v>0</v>
      </c>
      <c r="TLZ43">
        <f t="shared" si="256"/>
        <v>0</v>
      </c>
      <c r="TMA43">
        <f t="shared" si="256"/>
        <v>0</v>
      </c>
      <c r="TMB43">
        <f t="shared" si="256"/>
        <v>0</v>
      </c>
      <c r="TMC43">
        <f t="shared" si="256"/>
        <v>0</v>
      </c>
      <c r="TMD43">
        <f t="shared" si="256"/>
        <v>0</v>
      </c>
      <c r="TME43">
        <f t="shared" si="256"/>
        <v>0</v>
      </c>
      <c r="TMF43">
        <f t="shared" si="256"/>
        <v>0</v>
      </c>
      <c r="TMG43">
        <f t="shared" si="256"/>
        <v>0</v>
      </c>
      <c r="TMH43">
        <f t="shared" si="256"/>
        <v>0</v>
      </c>
      <c r="TMI43">
        <f t="shared" si="256"/>
        <v>0</v>
      </c>
      <c r="TMJ43">
        <f t="shared" si="256"/>
        <v>0</v>
      </c>
      <c r="TMK43">
        <f t="shared" si="256"/>
        <v>0</v>
      </c>
      <c r="TML43">
        <f t="shared" si="256"/>
        <v>0</v>
      </c>
      <c r="TMM43">
        <f t="shared" si="256"/>
        <v>0</v>
      </c>
      <c r="TMN43">
        <f t="shared" si="256"/>
        <v>0</v>
      </c>
      <c r="TMO43">
        <f t="shared" si="256"/>
        <v>0</v>
      </c>
      <c r="TMP43">
        <f t="shared" si="256"/>
        <v>0</v>
      </c>
      <c r="TMQ43">
        <f t="shared" si="256"/>
        <v>0</v>
      </c>
      <c r="TMR43">
        <f t="shared" si="256"/>
        <v>0</v>
      </c>
      <c r="TMS43">
        <f t="shared" si="256"/>
        <v>0</v>
      </c>
      <c r="TMT43">
        <f t="shared" si="256"/>
        <v>0</v>
      </c>
      <c r="TMU43">
        <f t="shared" si="256"/>
        <v>0</v>
      </c>
      <c r="TMV43">
        <f t="shared" si="256"/>
        <v>0</v>
      </c>
      <c r="TMW43">
        <f t="shared" si="256"/>
        <v>0</v>
      </c>
      <c r="TMX43">
        <f t="shared" si="256"/>
        <v>0</v>
      </c>
      <c r="TMY43">
        <f t="shared" si="256"/>
        <v>0</v>
      </c>
      <c r="TMZ43">
        <f t="shared" si="256"/>
        <v>0</v>
      </c>
      <c r="TNA43">
        <f t="shared" si="256"/>
        <v>0</v>
      </c>
      <c r="TNB43">
        <f t="shared" si="257"/>
        <v>0</v>
      </c>
      <c r="TNC43">
        <f t="shared" si="257"/>
        <v>0</v>
      </c>
      <c r="TND43">
        <f t="shared" si="257"/>
        <v>0</v>
      </c>
      <c r="TNE43">
        <f t="shared" si="257"/>
        <v>0</v>
      </c>
      <c r="TNF43">
        <f t="shared" si="257"/>
        <v>0</v>
      </c>
      <c r="TNG43">
        <f t="shared" si="257"/>
        <v>0</v>
      </c>
      <c r="TNH43">
        <f t="shared" si="257"/>
        <v>0</v>
      </c>
      <c r="TNI43">
        <f t="shared" si="257"/>
        <v>0</v>
      </c>
      <c r="TNJ43">
        <f t="shared" si="257"/>
        <v>0</v>
      </c>
      <c r="TNK43">
        <f t="shared" si="257"/>
        <v>0</v>
      </c>
      <c r="TNL43">
        <f t="shared" si="257"/>
        <v>0</v>
      </c>
      <c r="TNM43">
        <f t="shared" si="257"/>
        <v>0</v>
      </c>
      <c r="TNN43">
        <f t="shared" si="257"/>
        <v>0</v>
      </c>
      <c r="TNO43">
        <f t="shared" si="257"/>
        <v>0</v>
      </c>
      <c r="TNP43">
        <f t="shared" si="257"/>
        <v>0</v>
      </c>
      <c r="TNQ43">
        <f t="shared" si="257"/>
        <v>0</v>
      </c>
      <c r="TNR43">
        <f t="shared" si="257"/>
        <v>0</v>
      </c>
      <c r="TNS43">
        <f t="shared" si="257"/>
        <v>0</v>
      </c>
      <c r="TNT43">
        <f t="shared" si="257"/>
        <v>0</v>
      </c>
      <c r="TNU43">
        <f t="shared" si="257"/>
        <v>0</v>
      </c>
      <c r="TNV43">
        <f t="shared" si="257"/>
        <v>0</v>
      </c>
      <c r="TNW43">
        <f t="shared" si="257"/>
        <v>0</v>
      </c>
      <c r="TNX43">
        <f t="shared" si="257"/>
        <v>0</v>
      </c>
      <c r="TNY43">
        <f t="shared" si="257"/>
        <v>0</v>
      </c>
      <c r="TNZ43">
        <f t="shared" si="257"/>
        <v>0</v>
      </c>
      <c r="TOA43">
        <f t="shared" si="257"/>
        <v>0</v>
      </c>
      <c r="TOB43">
        <f t="shared" si="257"/>
        <v>0</v>
      </c>
      <c r="TOC43">
        <f t="shared" si="257"/>
        <v>0</v>
      </c>
      <c r="TOD43">
        <f t="shared" si="257"/>
        <v>0</v>
      </c>
      <c r="TOE43">
        <f t="shared" si="257"/>
        <v>0</v>
      </c>
      <c r="TOF43">
        <f t="shared" si="257"/>
        <v>0</v>
      </c>
      <c r="TOG43">
        <f t="shared" si="257"/>
        <v>0</v>
      </c>
      <c r="TOH43">
        <f t="shared" si="257"/>
        <v>0</v>
      </c>
      <c r="TOI43">
        <f t="shared" si="257"/>
        <v>0</v>
      </c>
      <c r="TOJ43">
        <f t="shared" si="257"/>
        <v>0</v>
      </c>
      <c r="TOK43">
        <f t="shared" si="257"/>
        <v>0</v>
      </c>
      <c r="TOL43">
        <f t="shared" si="257"/>
        <v>0</v>
      </c>
      <c r="TOM43">
        <f t="shared" si="257"/>
        <v>0</v>
      </c>
      <c r="TON43">
        <f t="shared" si="257"/>
        <v>0</v>
      </c>
      <c r="TOO43">
        <f t="shared" si="257"/>
        <v>0</v>
      </c>
      <c r="TOP43">
        <f t="shared" si="257"/>
        <v>0</v>
      </c>
      <c r="TOQ43">
        <f t="shared" si="257"/>
        <v>0</v>
      </c>
      <c r="TOR43">
        <f t="shared" si="257"/>
        <v>0</v>
      </c>
      <c r="TOS43">
        <f t="shared" si="257"/>
        <v>0</v>
      </c>
      <c r="TOT43">
        <f t="shared" si="257"/>
        <v>0</v>
      </c>
      <c r="TOU43">
        <f t="shared" si="257"/>
        <v>0</v>
      </c>
      <c r="TOV43">
        <f t="shared" si="257"/>
        <v>0</v>
      </c>
      <c r="TOW43">
        <f t="shared" si="257"/>
        <v>0</v>
      </c>
      <c r="TOX43">
        <f t="shared" si="257"/>
        <v>0</v>
      </c>
      <c r="TOY43">
        <f t="shared" si="257"/>
        <v>0</v>
      </c>
      <c r="TOZ43">
        <f t="shared" si="257"/>
        <v>0</v>
      </c>
      <c r="TPA43">
        <f t="shared" si="257"/>
        <v>0</v>
      </c>
      <c r="TPB43">
        <f t="shared" si="257"/>
        <v>0</v>
      </c>
      <c r="TPC43">
        <f t="shared" si="257"/>
        <v>0</v>
      </c>
      <c r="TPD43">
        <f t="shared" si="257"/>
        <v>0</v>
      </c>
      <c r="TPE43">
        <f t="shared" si="257"/>
        <v>0</v>
      </c>
      <c r="TPF43">
        <f t="shared" si="257"/>
        <v>0</v>
      </c>
      <c r="TPG43">
        <f t="shared" si="257"/>
        <v>0</v>
      </c>
      <c r="TPH43">
        <f t="shared" si="257"/>
        <v>0</v>
      </c>
      <c r="TPI43">
        <f t="shared" si="257"/>
        <v>0</v>
      </c>
      <c r="TPJ43">
        <f t="shared" si="257"/>
        <v>0</v>
      </c>
      <c r="TPK43">
        <f t="shared" si="257"/>
        <v>0</v>
      </c>
      <c r="TPL43">
        <f t="shared" si="257"/>
        <v>0</v>
      </c>
      <c r="TPM43">
        <f t="shared" si="257"/>
        <v>0</v>
      </c>
      <c r="TPN43">
        <f t="shared" si="258"/>
        <v>0</v>
      </c>
      <c r="TPO43">
        <f t="shared" si="258"/>
        <v>0</v>
      </c>
      <c r="TPP43">
        <f t="shared" si="258"/>
        <v>0</v>
      </c>
      <c r="TPQ43">
        <f t="shared" si="258"/>
        <v>0</v>
      </c>
      <c r="TPR43">
        <f t="shared" si="258"/>
        <v>0</v>
      </c>
      <c r="TPS43">
        <f t="shared" si="258"/>
        <v>0</v>
      </c>
      <c r="TPT43">
        <f t="shared" si="258"/>
        <v>0</v>
      </c>
      <c r="TPU43">
        <f t="shared" si="258"/>
        <v>0</v>
      </c>
      <c r="TPV43">
        <f t="shared" si="258"/>
        <v>0</v>
      </c>
      <c r="TPW43">
        <f t="shared" si="258"/>
        <v>0</v>
      </c>
      <c r="TPX43">
        <f t="shared" si="258"/>
        <v>0</v>
      </c>
      <c r="TPY43">
        <f t="shared" si="258"/>
        <v>0</v>
      </c>
      <c r="TPZ43">
        <f t="shared" si="258"/>
        <v>0</v>
      </c>
      <c r="TQA43">
        <f t="shared" si="258"/>
        <v>0</v>
      </c>
      <c r="TQB43">
        <f t="shared" si="258"/>
        <v>0</v>
      </c>
      <c r="TQC43">
        <f t="shared" si="258"/>
        <v>0</v>
      </c>
      <c r="TQD43">
        <f t="shared" si="258"/>
        <v>0</v>
      </c>
      <c r="TQE43">
        <f t="shared" si="258"/>
        <v>0</v>
      </c>
      <c r="TQF43">
        <f t="shared" si="258"/>
        <v>0</v>
      </c>
      <c r="TQG43">
        <f t="shared" si="258"/>
        <v>0</v>
      </c>
      <c r="TQH43">
        <f t="shared" si="258"/>
        <v>0</v>
      </c>
      <c r="TQI43">
        <f t="shared" si="258"/>
        <v>0</v>
      </c>
      <c r="TQJ43">
        <f t="shared" si="258"/>
        <v>0</v>
      </c>
      <c r="TQK43">
        <f t="shared" si="258"/>
        <v>0</v>
      </c>
      <c r="TQL43">
        <f t="shared" si="258"/>
        <v>0</v>
      </c>
      <c r="TQM43">
        <f t="shared" si="258"/>
        <v>0</v>
      </c>
      <c r="TQN43">
        <f t="shared" si="258"/>
        <v>0</v>
      </c>
      <c r="TQO43">
        <f t="shared" si="258"/>
        <v>0</v>
      </c>
      <c r="TQP43">
        <f t="shared" si="258"/>
        <v>0</v>
      </c>
      <c r="TQQ43">
        <f t="shared" si="258"/>
        <v>0</v>
      </c>
      <c r="TQR43">
        <f t="shared" si="258"/>
        <v>0</v>
      </c>
      <c r="TQS43">
        <f t="shared" si="258"/>
        <v>0</v>
      </c>
      <c r="TQT43">
        <f t="shared" si="258"/>
        <v>0</v>
      </c>
      <c r="TQU43">
        <f t="shared" si="258"/>
        <v>0</v>
      </c>
      <c r="TQV43">
        <f t="shared" si="258"/>
        <v>0</v>
      </c>
      <c r="TQW43">
        <f t="shared" si="258"/>
        <v>0</v>
      </c>
      <c r="TQX43">
        <f t="shared" si="258"/>
        <v>0</v>
      </c>
      <c r="TQY43">
        <f t="shared" si="258"/>
        <v>0</v>
      </c>
      <c r="TQZ43">
        <f t="shared" si="258"/>
        <v>0</v>
      </c>
      <c r="TRA43">
        <f t="shared" si="258"/>
        <v>0</v>
      </c>
      <c r="TRB43">
        <f t="shared" si="258"/>
        <v>0</v>
      </c>
      <c r="TRC43">
        <f t="shared" si="258"/>
        <v>0</v>
      </c>
      <c r="TRD43">
        <f t="shared" si="258"/>
        <v>0</v>
      </c>
      <c r="TRE43">
        <f t="shared" si="258"/>
        <v>0</v>
      </c>
      <c r="TRF43">
        <f t="shared" si="258"/>
        <v>0</v>
      </c>
      <c r="TRG43">
        <f t="shared" si="258"/>
        <v>0</v>
      </c>
      <c r="TRH43">
        <f t="shared" si="258"/>
        <v>0</v>
      </c>
      <c r="TRI43">
        <f t="shared" si="258"/>
        <v>0</v>
      </c>
      <c r="TRJ43">
        <f t="shared" si="258"/>
        <v>0</v>
      </c>
      <c r="TRK43">
        <f t="shared" si="258"/>
        <v>0</v>
      </c>
      <c r="TRL43">
        <f t="shared" si="258"/>
        <v>0</v>
      </c>
      <c r="TRM43">
        <f t="shared" si="258"/>
        <v>0</v>
      </c>
      <c r="TRN43">
        <f t="shared" si="258"/>
        <v>0</v>
      </c>
      <c r="TRO43">
        <f t="shared" si="258"/>
        <v>0</v>
      </c>
      <c r="TRP43">
        <f t="shared" si="258"/>
        <v>0</v>
      </c>
      <c r="TRQ43">
        <f t="shared" si="258"/>
        <v>0</v>
      </c>
      <c r="TRR43">
        <f t="shared" si="258"/>
        <v>0</v>
      </c>
      <c r="TRS43">
        <f t="shared" si="258"/>
        <v>0</v>
      </c>
      <c r="TRT43">
        <f t="shared" si="258"/>
        <v>0</v>
      </c>
      <c r="TRU43">
        <f t="shared" si="258"/>
        <v>0</v>
      </c>
      <c r="TRV43">
        <f t="shared" si="258"/>
        <v>0</v>
      </c>
      <c r="TRW43">
        <f t="shared" si="258"/>
        <v>0</v>
      </c>
      <c r="TRX43">
        <f t="shared" si="258"/>
        <v>0</v>
      </c>
      <c r="TRY43">
        <f t="shared" si="258"/>
        <v>0</v>
      </c>
      <c r="TRZ43">
        <f t="shared" si="259"/>
        <v>0</v>
      </c>
      <c r="TSA43">
        <f t="shared" si="259"/>
        <v>0</v>
      </c>
      <c r="TSB43">
        <f t="shared" si="259"/>
        <v>0</v>
      </c>
      <c r="TSC43">
        <f t="shared" si="259"/>
        <v>0</v>
      </c>
      <c r="TSD43">
        <f t="shared" si="259"/>
        <v>0</v>
      </c>
      <c r="TSE43">
        <f t="shared" si="259"/>
        <v>0</v>
      </c>
      <c r="TSF43">
        <f t="shared" si="259"/>
        <v>0</v>
      </c>
      <c r="TSG43">
        <f t="shared" si="259"/>
        <v>0</v>
      </c>
      <c r="TSH43">
        <f t="shared" si="259"/>
        <v>0</v>
      </c>
      <c r="TSI43">
        <f t="shared" si="259"/>
        <v>0</v>
      </c>
      <c r="TSJ43">
        <f t="shared" si="259"/>
        <v>0</v>
      </c>
      <c r="TSK43">
        <f t="shared" si="259"/>
        <v>0</v>
      </c>
      <c r="TSL43">
        <f t="shared" si="259"/>
        <v>0</v>
      </c>
      <c r="TSM43">
        <f t="shared" si="259"/>
        <v>0</v>
      </c>
      <c r="TSN43">
        <f t="shared" si="259"/>
        <v>0</v>
      </c>
      <c r="TSO43">
        <f t="shared" si="259"/>
        <v>0</v>
      </c>
      <c r="TSP43">
        <f t="shared" si="259"/>
        <v>0</v>
      </c>
      <c r="TSQ43">
        <f t="shared" si="259"/>
        <v>0</v>
      </c>
      <c r="TSR43">
        <f t="shared" si="259"/>
        <v>0</v>
      </c>
      <c r="TSS43">
        <f t="shared" si="259"/>
        <v>0</v>
      </c>
      <c r="TST43">
        <f t="shared" si="259"/>
        <v>0</v>
      </c>
      <c r="TSU43">
        <f t="shared" si="259"/>
        <v>0</v>
      </c>
      <c r="TSV43">
        <f t="shared" si="259"/>
        <v>0</v>
      </c>
      <c r="TSW43">
        <f t="shared" si="259"/>
        <v>0</v>
      </c>
      <c r="TSX43">
        <f t="shared" si="259"/>
        <v>0</v>
      </c>
      <c r="TSY43">
        <f t="shared" si="259"/>
        <v>0</v>
      </c>
      <c r="TSZ43">
        <f t="shared" si="259"/>
        <v>0</v>
      </c>
      <c r="TTA43">
        <f t="shared" si="259"/>
        <v>0</v>
      </c>
      <c r="TTB43">
        <f t="shared" si="259"/>
        <v>0</v>
      </c>
      <c r="TTC43">
        <f t="shared" si="259"/>
        <v>0</v>
      </c>
      <c r="TTD43">
        <f t="shared" si="259"/>
        <v>0</v>
      </c>
      <c r="TTE43">
        <f t="shared" si="259"/>
        <v>0</v>
      </c>
      <c r="TTF43">
        <f t="shared" si="259"/>
        <v>0</v>
      </c>
      <c r="TTG43">
        <f t="shared" si="259"/>
        <v>0</v>
      </c>
      <c r="TTH43">
        <f t="shared" si="259"/>
        <v>0</v>
      </c>
      <c r="TTI43">
        <f t="shared" si="259"/>
        <v>0</v>
      </c>
      <c r="TTJ43">
        <f t="shared" si="259"/>
        <v>0</v>
      </c>
      <c r="TTK43">
        <f t="shared" si="259"/>
        <v>0</v>
      </c>
      <c r="TTL43">
        <f t="shared" si="259"/>
        <v>0</v>
      </c>
      <c r="TTM43">
        <f t="shared" si="259"/>
        <v>0</v>
      </c>
      <c r="TTN43">
        <f t="shared" si="259"/>
        <v>0</v>
      </c>
      <c r="TTO43">
        <f t="shared" si="259"/>
        <v>0</v>
      </c>
      <c r="TTP43">
        <f t="shared" si="259"/>
        <v>0</v>
      </c>
      <c r="TTQ43">
        <f t="shared" si="259"/>
        <v>0</v>
      </c>
      <c r="TTR43">
        <f t="shared" si="259"/>
        <v>0</v>
      </c>
      <c r="TTS43">
        <f t="shared" si="259"/>
        <v>0</v>
      </c>
      <c r="TTT43">
        <f t="shared" si="259"/>
        <v>0</v>
      </c>
      <c r="TTU43">
        <f t="shared" si="259"/>
        <v>0</v>
      </c>
      <c r="TTV43">
        <f t="shared" si="259"/>
        <v>0</v>
      </c>
      <c r="TTW43">
        <f t="shared" si="259"/>
        <v>0</v>
      </c>
      <c r="TTX43">
        <f t="shared" si="259"/>
        <v>0</v>
      </c>
      <c r="TTY43">
        <f t="shared" si="259"/>
        <v>0</v>
      </c>
      <c r="TTZ43">
        <f t="shared" si="259"/>
        <v>0</v>
      </c>
      <c r="TUA43">
        <f t="shared" si="259"/>
        <v>0</v>
      </c>
      <c r="TUB43">
        <f t="shared" si="259"/>
        <v>0</v>
      </c>
      <c r="TUC43">
        <f t="shared" si="259"/>
        <v>0</v>
      </c>
      <c r="TUD43">
        <f t="shared" si="259"/>
        <v>0</v>
      </c>
      <c r="TUE43">
        <f t="shared" si="259"/>
        <v>0</v>
      </c>
      <c r="TUF43">
        <f t="shared" si="259"/>
        <v>0</v>
      </c>
      <c r="TUG43">
        <f t="shared" si="259"/>
        <v>0</v>
      </c>
      <c r="TUH43">
        <f t="shared" si="259"/>
        <v>0</v>
      </c>
      <c r="TUI43">
        <f t="shared" si="259"/>
        <v>0</v>
      </c>
      <c r="TUJ43">
        <f t="shared" si="259"/>
        <v>0</v>
      </c>
      <c r="TUK43">
        <f t="shared" si="259"/>
        <v>0</v>
      </c>
      <c r="TUL43">
        <f t="shared" si="260"/>
        <v>0</v>
      </c>
      <c r="TUM43">
        <f t="shared" si="260"/>
        <v>0</v>
      </c>
      <c r="TUN43">
        <f t="shared" si="260"/>
        <v>0</v>
      </c>
      <c r="TUO43">
        <f t="shared" si="260"/>
        <v>0</v>
      </c>
      <c r="TUP43">
        <f t="shared" si="260"/>
        <v>0</v>
      </c>
      <c r="TUQ43">
        <f t="shared" si="260"/>
        <v>0</v>
      </c>
      <c r="TUR43">
        <f t="shared" si="260"/>
        <v>0</v>
      </c>
      <c r="TUS43">
        <f t="shared" si="260"/>
        <v>0</v>
      </c>
      <c r="TUT43">
        <f t="shared" si="260"/>
        <v>0</v>
      </c>
      <c r="TUU43">
        <f t="shared" si="260"/>
        <v>0</v>
      </c>
      <c r="TUV43">
        <f t="shared" si="260"/>
        <v>0</v>
      </c>
      <c r="TUW43">
        <f t="shared" si="260"/>
        <v>0</v>
      </c>
      <c r="TUX43">
        <f t="shared" si="260"/>
        <v>0</v>
      </c>
      <c r="TUY43">
        <f t="shared" si="260"/>
        <v>0</v>
      </c>
      <c r="TUZ43">
        <f t="shared" si="260"/>
        <v>0</v>
      </c>
      <c r="TVA43">
        <f t="shared" si="260"/>
        <v>0</v>
      </c>
      <c r="TVB43">
        <f t="shared" si="260"/>
        <v>0</v>
      </c>
      <c r="TVC43">
        <f t="shared" si="260"/>
        <v>0</v>
      </c>
      <c r="TVD43">
        <f t="shared" si="260"/>
        <v>0</v>
      </c>
      <c r="TVE43">
        <f t="shared" si="260"/>
        <v>0</v>
      </c>
      <c r="TVF43">
        <f t="shared" si="260"/>
        <v>0</v>
      </c>
      <c r="TVG43">
        <f t="shared" si="260"/>
        <v>0</v>
      </c>
      <c r="TVH43">
        <f t="shared" si="260"/>
        <v>0</v>
      </c>
      <c r="TVI43">
        <f t="shared" si="260"/>
        <v>0</v>
      </c>
      <c r="TVJ43">
        <f t="shared" si="260"/>
        <v>0</v>
      </c>
      <c r="TVK43">
        <f t="shared" si="260"/>
        <v>0</v>
      </c>
      <c r="TVL43">
        <f t="shared" si="260"/>
        <v>0</v>
      </c>
      <c r="TVM43">
        <f t="shared" si="260"/>
        <v>0</v>
      </c>
      <c r="TVN43">
        <f t="shared" si="260"/>
        <v>0</v>
      </c>
      <c r="TVO43">
        <f t="shared" si="260"/>
        <v>0</v>
      </c>
      <c r="TVP43">
        <f t="shared" si="260"/>
        <v>0</v>
      </c>
      <c r="TVQ43">
        <f t="shared" si="260"/>
        <v>0</v>
      </c>
      <c r="TVR43">
        <f t="shared" si="260"/>
        <v>0</v>
      </c>
      <c r="TVS43">
        <f t="shared" si="260"/>
        <v>0</v>
      </c>
      <c r="TVT43">
        <f t="shared" si="260"/>
        <v>0</v>
      </c>
      <c r="TVU43">
        <f t="shared" si="260"/>
        <v>0</v>
      </c>
      <c r="TVV43">
        <f t="shared" si="260"/>
        <v>0</v>
      </c>
      <c r="TVW43">
        <f t="shared" si="260"/>
        <v>0</v>
      </c>
      <c r="TVX43">
        <f t="shared" si="260"/>
        <v>0</v>
      </c>
      <c r="TVY43">
        <f t="shared" si="260"/>
        <v>0</v>
      </c>
      <c r="TVZ43">
        <f t="shared" si="260"/>
        <v>0</v>
      </c>
      <c r="TWA43">
        <f t="shared" si="260"/>
        <v>0</v>
      </c>
      <c r="TWB43">
        <f t="shared" si="260"/>
        <v>0</v>
      </c>
      <c r="TWC43">
        <f t="shared" si="260"/>
        <v>0</v>
      </c>
      <c r="TWD43">
        <f t="shared" si="260"/>
        <v>0</v>
      </c>
      <c r="TWE43">
        <f t="shared" si="260"/>
        <v>0</v>
      </c>
      <c r="TWF43">
        <f t="shared" si="260"/>
        <v>0</v>
      </c>
      <c r="TWG43">
        <f t="shared" si="260"/>
        <v>0</v>
      </c>
      <c r="TWH43">
        <f t="shared" si="260"/>
        <v>0</v>
      </c>
      <c r="TWI43">
        <f t="shared" si="260"/>
        <v>0</v>
      </c>
      <c r="TWJ43">
        <f t="shared" si="260"/>
        <v>0</v>
      </c>
      <c r="TWK43">
        <f t="shared" si="260"/>
        <v>0</v>
      </c>
      <c r="TWL43">
        <f t="shared" si="260"/>
        <v>0</v>
      </c>
      <c r="TWM43">
        <f t="shared" si="260"/>
        <v>0</v>
      </c>
      <c r="TWN43">
        <f t="shared" si="260"/>
        <v>0</v>
      </c>
      <c r="TWO43">
        <f t="shared" si="260"/>
        <v>0</v>
      </c>
      <c r="TWP43">
        <f t="shared" si="260"/>
        <v>0</v>
      </c>
      <c r="TWQ43">
        <f t="shared" si="260"/>
        <v>0</v>
      </c>
      <c r="TWR43">
        <f t="shared" si="260"/>
        <v>0</v>
      </c>
      <c r="TWS43">
        <f t="shared" si="260"/>
        <v>0</v>
      </c>
      <c r="TWT43">
        <f t="shared" si="260"/>
        <v>0</v>
      </c>
      <c r="TWU43">
        <f t="shared" si="260"/>
        <v>0</v>
      </c>
      <c r="TWV43">
        <f t="shared" si="260"/>
        <v>0</v>
      </c>
      <c r="TWW43">
        <f t="shared" si="260"/>
        <v>0</v>
      </c>
      <c r="TWX43">
        <f t="shared" si="261"/>
        <v>0</v>
      </c>
      <c r="TWY43">
        <f t="shared" si="261"/>
        <v>0</v>
      </c>
      <c r="TWZ43">
        <f t="shared" si="261"/>
        <v>0</v>
      </c>
      <c r="TXA43">
        <f t="shared" si="261"/>
        <v>0</v>
      </c>
      <c r="TXB43">
        <f t="shared" si="261"/>
        <v>0</v>
      </c>
      <c r="TXC43">
        <f t="shared" si="261"/>
        <v>0</v>
      </c>
      <c r="TXD43">
        <f t="shared" si="261"/>
        <v>0</v>
      </c>
      <c r="TXE43">
        <f t="shared" si="261"/>
        <v>0</v>
      </c>
      <c r="TXF43">
        <f t="shared" si="261"/>
        <v>0</v>
      </c>
      <c r="TXG43">
        <f t="shared" si="261"/>
        <v>0</v>
      </c>
      <c r="TXH43">
        <f t="shared" si="261"/>
        <v>0</v>
      </c>
      <c r="TXI43">
        <f t="shared" si="261"/>
        <v>0</v>
      </c>
      <c r="TXJ43">
        <f t="shared" si="261"/>
        <v>0</v>
      </c>
      <c r="TXK43">
        <f t="shared" si="261"/>
        <v>0</v>
      </c>
      <c r="TXL43">
        <f t="shared" si="261"/>
        <v>0</v>
      </c>
      <c r="TXM43">
        <f t="shared" si="261"/>
        <v>0</v>
      </c>
      <c r="TXN43">
        <f t="shared" si="261"/>
        <v>0</v>
      </c>
      <c r="TXO43">
        <f t="shared" si="261"/>
        <v>0</v>
      </c>
      <c r="TXP43">
        <f t="shared" si="261"/>
        <v>0</v>
      </c>
      <c r="TXQ43">
        <f t="shared" si="261"/>
        <v>0</v>
      </c>
      <c r="TXR43">
        <f t="shared" si="261"/>
        <v>0</v>
      </c>
      <c r="TXS43">
        <f t="shared" si="261"/>
        <v>0</v>
      </c>
      <c r="TXT43">
        <f t="shared" si="261"/>
        <v>0</v>
      </c>
      <c r="TXU43">
        <f t="shared" si="261"/>
        <v>0</v>
      </c>
      <c r="TXV43">
        <f t="shared" si="261"/>
        <v>0</v>
      </c>
      <c r="TXW43">
        <f t="shared" si="261"/>
        <v>0</v>
      </c>
      <c r="TXX43">
        <f t="shared" si="261"/>
        <v>0</v>
      </c>
      <c r="TXY43">
        <f t="shared" si="261"/>
        <v>0</v>
      </c>
      <c r="TXZ43">
        <f t="shared" si="261"/>
        <v>0</v>
      </c>
      <c r="TYA43">
        <f t="shared" si="261"/>
        <v>0</v>
      </c>
      <c r="TYB43">
        <f t="shared" si="261"/>
        <v>0</v>
      </c>
      <c r="TYC43">
        <f t="shared" si="261"/>
        <v>0</v>
      </c>
      <c r="TYD43">
        <f t="shared" si="261"/>
        <v>0</v>
      </c>
      <c r="TYE43">
        <f t="shared" si="261"/>
        <v>0</v>
      </c>
      <c r="TYF43">
        <f t="shared" si="261"/>
        <v>0</v>
      </c>
      <c r="TYG43">
        <f t="shared" si="261"/>
        <v>0</v>
      </c>
      <c r="TYH43">
        <f t="shared" si="261"/>
        <v>0</v>
      </c>
      <c r="TYI43">
        <f t="shared" si="261"/>
        <v>0</v>
      </c>
      <c r="TYJ43">
        <f t="shared" si="261"/>
        <v>0</v>
      </c>
      <c r="TYK43">
        <f t="shared" si="261"/>
        <v>0</v>
      </c>
      <c r="TYL43">
        <f t="shared" si="261"/>
        <v>0</v>
      </c>
      <c r="TYM43">
        <f t="shared" si="261"/>
        <v>0</v>
      </c>
      <c r="TYN43">
        <f t="shared" si="261"/>
        <v>0</v>
      </c>
      <c r="TYO43">
        <f t="shared" si="261"/>
        <v>0</v>
      </c>
      <c r="TYP43">
        <f t="shared" si="261"/>
        <v>0</v>
      </c>
      <c r="TYQ43">
        <f t="shared" si="261"/>
        <v>0</v>
      </c>
      <c r="TYR43">
        <f t="shared" si="261"/>
        <v>0</v>
      </c>
      <c r="TYS43">
        <f t="shared" si="261"/>
        <v>0</v>
      </c>
      <c r="TYT43">
        <f t="shared" si="261"/>
        <v>0</v>
      </c>
      <c r="TYU43">
        <f t="shared" si="261"/>
        <v>0</v>
      </c>
      <c r="TYV43">
        <f t="shared" si="261"/>
        <v>0</v>
      </c>
      <c r="TYW43">
        <f t="shared" si="261"/>
        <v>0</v>
      </c>
      <c r="TYX43">
        <f t="shared" si="261"/>
        <v>0</v>
      </c>
      <c r="TYY43">
        <f t="shared" si="261"/>
        <v>0</v>
      </c>
      <c r="TYZ43">
        <f t="shared" si="261"/>
        <v>0</v>
      </c>
      <c r="TZA43">
        <f t="shared" si="261"/>
        <v>0</v>
      </c>
      <c r="TZB43">
        <f t="shared" si="261"/>
        <v>0</v>
      </c>
      <c r="TZC43">
        <f t="shared" si="261"/>
        <v>0</v>
      </c>
      <c r="TZD43">
        <f t="shared" si="261"/>
        <v>0</v>
      </c>
      <c r="TZE43">
        <f t="shared" si="261"/>
        <v>0</v>
      </c>
      <c r="TZF43">
        <f t="shared" si="261"/>
        <v>0</v>
      </c>
      <c r="TZG43">
        <f t="shared" si="261"/>
        <v>0</v>
      </c>
      <c r="TZH43">
        <f t="shared" si="261"/>
        <v>0</v>
      </c>
      <c r="TZI43">
        <f t="shared" si="261"/>
        <v>0</v>
      </c>
      <c r="TZJ43">
        <f t="shared" si="262"/>
        <v>0</v>
      </c>
      <c r="TZK43">
        <f t="shared" si="262"/>
        <v>0</v>
      </c>
      <c r="TZL43">
        <f t="shared" si="262"/>
        <v>0</v>
      </c>
      <c r="TZM43">
        <f t="shared" si="262"/>
        <v>0</v>
      </c>
      <c r="TZN43">
        <f t="shared" si="262"/>
        <v>0</v>
      </c>
      <c r="TZO43">
        <f t="shared" si="262"/>
        <v>0</v>
      </c>
      <c r="TZP43">
        <f t="shared" si="262"/>
        <v>0</v>
      </c>
      <c r="TZQ43">
        <f t="shared" si="262"/>
        <v>0</v>
      </c>
      <c r="TZR43">
        <f t="shared" si="262"/>
        <v>0</v>
      </c>
      <c r="TZS43">
        <f t="shared" si="262"/>
        <v>0</v>
      </c>
      <c r="TZT43">
        <f t="shared" si="262"/>
        <v>0</v>
      </c>
      <c r="TZU43">
        <f t="shared" si="262"/>
        <v>0</v>
      </c>
      <c r="TZV43">
        <f t="shared" si="262"/>
        <v>0</v>
      </c>
      <c r="TZW43">
        <f t="shared" si="262"/>
        <v>0</v>
      </c>
      <c r="TZX43">
        <f t="shared" si="262"/>
        <v>0</v>
      </c>
      <c r="TZY43">
        <f t="shared" si="262"/>
        <v>0</v>
      </c>
      <c r="TZZ43">
        <f t="shared" si="262"/>
        <v>0</v>
      </c>
      <c r="UAA43">
        <f t="shared" si="262"/>
        <v>0</v>
      </c>
      <c r="UAB43">
        <f t="shared" si="262"/>
        <v>0</v>
      </c>
      <c r="UAC43">
        <f t="shared" si="262"/>
        <v>0</v>
      </c>
      <c r="UAD43">
        <f t="shared" si="262"/>
        <v>0</v>
      </c>
      <c r="UAE43">
        <f t="shared" si="262"/>
        <v>0</v>
      </c>
      <c r="UAF43">
        <f t="shared" si="262"/>
        <v>0</v>
      </c>
      <c r="UAG43">
        <f t="shared" si="262"/>
        <v>0</v>
      </c>
      <c r="UAH43">
        <f t="shared" si="262"/>
        <v>0</v>
      </c>
      <c r="UAI43">
        <f t="shared" si="262"/>
        <v>0</v>
      </c>
      <c r="UAJ43">
        <f t="shared" si="262"/>
        <v>0</v>
      </c>
      <c r="UAK43">
        <f t="shared" si="262"/>
        <v>0</v>
      </c>
      <c r="UAL43">
        <f t="shared" si="262"/>
        <v>0</v>
      </c>
      <c r="UAM43">
        <f t="shared" si="262"/>
        <v>0</v>
      </c>
      <c r="UAN43">
        <f t="shared" si="262"/>
        <v>0</v>
      </c>
      <c r="UAO43">
        <f t="shared" si="262"/>
        <v>0</v>
      </c>
      <c r="UAP43">
        <f t="shared" si="262"/>
        <v>0</v>
      </c>
      <c r="UAQ43">
        <f t="shared" si="262"/>
        <v>0</v>
      </c>
      <c r="UAR43">
        <f t="shared" si="262"/>
        <v>0</v>
      </c>
      <c r="UAS43">
        <f t="shared" si="262"/>
        <v>0</v>
      </c>
      <c r="UAT43">
        <f t="shared" si="262"/>
        <v>0</v>
      </c>
      <c r="UAU43">
        <f t="shared" si="262"/>
        <v>0</v>
      </c>
      <c r="UAV43">
        <f t="shared" si="262"/>
        <v>0</v>
      </c>
      <c r="UAW43">
        <f t="shared" si="262"/>
        <v>0</v>
      </c>
      <c r="UAX43">
        <f t="shared" si="262"/>
        <v>0</v>
      </c>
      <c r="UAY43">
        <f t="shared" si="262"/>
        <v>0</v>
      </c>
      <c r="UAZ43">
        <f t="shared" si="262"/>
        <v>0</v>
      </c>
      <c r="UBA43">
        <f t="shared" si="262"/>
        <v>0</v>
      </c>
      <c r="UBB43">
        <f t="shared" si="262"/>
        <v>0</v>
      </c>
      <c r="UBC43">
        <f t="shared" si="262"/>
        <v>0</v>
      </c>
      <c r="UBD43">
        <f t="shared" si="262"/>
        <v>0</v>
      </c>
      <c r="UBE43">
        <f t="shared" si="262"/>
        <v>0</v>
      </c>
      <c r="UBF43">
        <f t="shared" si="262"/>
        <v>0</v>
      </c>
      <c r="UBG43">
        <f t="shared" si="262"/>
        <v>0</v>
      </c>
      <c r="UBH43">
        <f t="shared" si="262"/>
        <v>0</v>
      </c>
      <c r="UBI43">
        <f t="shared" si="262"/>
        <v>0</v>
      </c>
      <c r="UBJ43">
        <f t="shared" si="262"/>
        <v>0</v>
      </c>
      <c r="UBK43">
        <f t="shared" si="262"/>
        <v>0</v>
      </c>
      <c r="UBL43">
        <f t="shared" si="262"/>
        <v>0</v>
      </c>
      <c r="UBM43">
        <f t="shared" si="262"/>
        <v>0</v>
      </c>
      <c r="UBN43">
        <f t="shared" si="262"/>
        <v>0</v>
      </c>
      <c r="UBO43">
        <f t="shared" si="262"/>
        <v>0</v>
      </c>
      <c r="UBP43">
        <f t="shared" si="262"/>
        <v>0</v>
      </c>
      <c r="UBQ43">
        <f t="shared" si="262"/>
        <v>0</v>
      </c>
      <c r="UBR43">
        <f t="shared" si="262"/>
        <v>0</v>
      </c>
      <c r="UBS43">
        <f t="shared" si="262"/>
        <v>0</v>
      </c>
      <c r="UBT43">
        <f t="shared" si="262"/>
        <v>0</v>
      </c>
      <c r="UBU43">
        <f t="shared" si="262"/>
        <v>0</v>
      </c>
      <c r="UBV43">
        <f t="shared" si="263"/>
        <v>0</v>
      </c>
      <c r="UBW43">
        <f t="shared" si="263"/>
        <v>0</v>
      </c>
      <c r="UBX43">
        <f t="shared" si="263"/>
        <v>0</v>
      </c>
      <c r="UBY43">
        <f t="shared" si="263"/>
        <v>0</v>
      </c>
      <c r="UBZ43">
        <f t="shared" si="263"/>
        <v>0</v>
      </c>
      <c r="UCA43">
        <f t="shared" si="263"/>
        <v>0</v>
      </c>
      <c r="UCB43">
        <f t="shared" si="263"/>
        <v>0</v>
      </c>
      <c r="UCC43">
        <f t="shared" si="263"/>
        <v>0</v>
      </c>
      <c r="UCD43">
        <f t="shared" si="263"/>
        <v>0</v>
      </c>
      <c r="UCE43">
        <f t="shared" si="263"/>
        <v>0</v>
      </c>
      <c r="UCF43">
        <f t="shared" si="263"/>
        <v>0</v>
      </c>
      <c r="UCG43">
        <f t="shared" si="263"/>
        <v>0</v>
      </c>
      <c r="UCH43">
        <f t="shared" si="263"/>
        <v>0</v>
      </c>
      <c r="UCI43">
        <f t="shared" si="263"/>
        <v>0</v>
      </c>
      <c r="UCJ43">
        <f t="shared" si="263"/>
        <v>0</v>
      </c>
      <c r="UCK43">
        <f t="shared" si="263"/>
        <v>0</v>
      </c>
      <c r="UCL43">
        <f t="shared" si="263"/>
        <v>0</v>
      </c>
      <c r="UCM43">
        <f t="shared" si="263"/>
        <v>0</v>
      </c>
      <c r="UCN43">
        <f t="shared" si="263"/>
        <v>0</v>
      </c>
      <c r="UCO43">
        <f t="shared" si="263"/>
        <v>0</v>
      </c>
      <c r="UCP43">
        <f t="shared" si="263"/>
        <v>0</v>
      </c>
      <c r="UCQ43">
        <f t="shared" si="263"/>
        <v>0</v>
      </c>
      <c r="UCR43">
        <f t="shared" si="263"/>
        <v>0</v>
      </c>
      <c r="UCS43">
        <f t="shared" si="263"/>
        <v>0</v>
      </c>
      <c r="UCT43">
        <f t="shared" si="263"/>
        <v>0</v>
      </c>
      <c r="UCU43">
        <f t="shared" si="263"/>
        <v>0</v>
      </c>
      <c r="UCV43">
        <f t="shared" si="263"/>
        <v>0</v>
      </c>
      <c r="UCW43">
        <f t="shared" si="263"/>
        <v>0</v>
      </c>
      <c r="UCX43">
        <f t="shared" si="263"/>
        <v>0</v>
      </c>
      <c r="UCY43">
        <f t="shared" si="263"/>
        <v>0</v>
      </c>
      <c r="UCZ43">
        <f t="shared" si="263"/>
        <v>0</v>
      </c>
      <c r="UDA43">
        <f t="shared" si="263"/>
        <v>0</v>
      </c>
      <c r="UDB43">
        <f t="shared" si="263"/>
        <v>0</v>
      </c>
      <c r="UDC43">
        <f t="shared" si="263"/>
        <v>0</v>
      </c>
      <c r="UDD43">
        <f t="shared" si="263"/>
        <v>0</v>
      </c>
      <c r="UDE43">
        <f t="shared" si="263"/>
        <v>0</v>
      </c>
      <c r="UDF43">
        <f t="shared" si="263"/>
        <v>0</v>
      </c>
      <c r="UDG43">
        <f t="shared" si="263"/>
        <v>0</v>
      </c>
      <c r="UDH43">
        <f t="shared" si="263"/>
        <v>0</v>
      </c>
      <c r="UDI43">
        <f t="shared" si="263"/>
        <v>0</v>
      </c>
      <c r="UDJ43">
        <f t="shared" si="263"/>
        <v>0</v>
      </c>
      <c r="UDK43">
        <f t="shared" si="263"/>
        <v>0</v>
      </c>
      <c r="UDL43">
        <f t="shared" si="263"/>
        <v>0</v>
      </c>
      <c r="UDM43">
        <f t="shared" si="263"/>
        <v>0</v>
      </c>
      <c r="UDN43">
        <f t="shared" si="263"/>
        <v>0</v>
      </c>
      <c r="UDO43">
        <f t="shared" si="263"/>
        <v>0</v>
      </c>
      <c r="UDP43">
        <f t="shared" si="263"/>
        <v>0</v>
      </c>
      <c r="UDQ43">
        <f t="shared" si="263"/>
        <v>0</v>
      </c>
      <c r="UDR43">
        <f t="shared" si="263"/>
        <v>0</v>
      </c>
      <c r="UDS43">
        <f t="shared" si="263"/>
        <v>0</v>
      </c>
      <c r="UDT43">
        <f t="shared" si="263"/>
        <v>0</v>
      </c>
      <c r="UDU43">
        <f t="shared" si="263"/>
        <v>0</v>
      </c>
      <c r="UDV43">
        <f t="shared" si="263"/>
        <v>0</v>
      </c>
      <c r="UDW43">
        <f t="shared" si="263"/>
        <v>0</v>
      </c>
      <c r="UDX43">
        <f t="shared" si="263"/>
        <v>0</v>
      </c>
      <c r="UDY43">
        <f t="shared" si="263"/>
        <v>0</v>
      </c>
      <c r="UDZ43">
        <f t="shared" si="263"/>
        <v>0</v>
      </c>
      <c r="UEA43">
        <f t="shared" si="263"/>
        <v>0</v>
      </c>
      <c r="UEB43">
        <f t="shared" si="263"/>
        <v>0</v>
      </c>
      <c r="UEC43">
        <f t="shared" si="263"/>
        <v>0</v>
      </c>
      <c r="UED43">
        <f t="shared" si="263"/>
        <v>0</v>
      </c>
      <c r="UEE43">
        <f t="shared" si="263"/>
        <v>0</v>
      </c>
      <c r="UEF43">
        <f t="shared" si="263"/>
        <v>0</v>
      </c>
      <c r="UEG43">
        <f t="shared" si="263"/>
        <v>0</v>
      </c>
      <c r="UEH43">
        <f t="shared" si="264"/>
        <v>0</v>
      </c>
      <c r="UEI43">
        <f t="shared" si="264"/>
        <v>0</v>
      </c>
      <c r="UEJ43">
        <f t="shared" si="264"/>
        <v>0</v>
      </c>
      <c r="UEK43">
        <f t="shared" si="264"/>
        <v>0</v>
      </c>
      <c r="UEL43">
        <f t="shared" si="264"/>
        <v>0</v>
      </c>
      <c r="UEM43">
        <f t="shared" si="264"/>
        <v>0</v>
      </c>
      <c r="UEN43">
        <f t="shared" si="264"/>
        <v>0</v>
      </c>
      <c r="UEO43">
        <f t="shared" si="264"/>
        <v>0</v>
      </c>
      <c r="UEP43">
        <f t="shared" si="264"/>
        <v>0</v>
      </c>
      <c r="UEQ43">
        <f t="shared" si="264"/>
        <v>0</v>
      </c>
      <c r="UER43">
        <f t="shared" si="264"/>
        <v>0</v>
      </c>
      <c r="UES43">
        <f t="shared" si="264"/>
        <v>0</v>
      </c>
      <c r="UET43">
        <f t="shared" si="264"/>
        <v>0</v>
      </c>
      <c r="UEU43">
        <f t="shared" si="264"/>
        <v>0</v>
      </c>
      <c r="UEV43">
        <f t="shared" si="264"/>
        <v>0</v>
      </c>
      <c r="UEW43">
        <f t="shared" si="264"/>
        <v>0</v>
      </c>
      <c r="UEX43">
        <f t="shared" si="264"/>
        <v>0</v>
      </c>
      <c r="UEY43">
        <f t="shared" si="264"/>
        <v>0</v>
      </c>
      <c r="UEZ43">
        <f t="shared" si="264"/>
        <v>0</v>
      </c>
      <c r="UFA43">
        <f t="shared" si="264"/>
        <v>0</v>
      </c>
      <c r="UFB43">
        <f t="shared" si="264"/>
        <v>0</v>
      </c>
      <c r="UFC43">
        <f t="shared" si="264"/>
        <v>0</v>
      </c>
      <c r="UFD43">
        <f t="shared" si="264"/>
        <v>0</v>
      </c>
      <c r="UFE43">
        <f t="shared" si="264"/>
        <v>0</v>
      </c>
      <c r="UFF43">
        <f t="shared" si="264"/>
        <v>0</v>
      </c>
      <c r="UFG43">
        <f t="shared" si="264"/>
        <v>0</v>
      </c>
      <c r="UFH43">
        <f t="shared" si="264"/>
        <v>0</v>
      </c>
      <c r="UFI43">
        <f t="shared" si="264"/>
        <v>0</v>
      </c>
      <c r="UFJ43">
        <f t="shared" si="264"/>
        <v>0</v>
      </c>
      <c r="UFK43">
        <f t="shared" si="264"/>
        <v>0</v>
      </c>
      <c r="UFL43">
        <f t="shared" si="264"/>
        <v>0</v>
      </c>
      <c r="UFM43">
        <f t="shared" si="264"/>
        <v>0</v>
      </c>
      <c r="UFN43">
        <f t="shared" si="264"/>
        <v>0</v>
      </c>
      <c r="UFO43">
        <f t="shared" si="264"/>
        <v>0</v>
      </c>
      <c r="UFP43">
        <f t="shared" si="264"/>
        <v>0</v>
      </c>
      <c r="UFQ43">
        <f t="shared" si="264"/>
        <v>0</v>
      </c>
      <c r="UFR43">
        <f t="shared" si="264"/>
        <v>0</v>
      </c>
      <c r="UFS43">
        <f t="shared" si="264"/>
        <v>0</v>
      </c>
      <c r="UFT43">
        <f t="shared" si="264"/>
        <v>0</v>
      </c>
      <c r="UFU43">
        <f t="shared" si="264"/>
        <v>0</v>
      </c>
      <c r="UFV43">
        <f t="shared" si="264"/>
        <v>0</v>
      </c>
      <c r="UFW43">
        <f t="shared" si="264"/>
        <v>0</v>
      </c>
      <c r="UFX43">
        <f t="shared" si="264"/>
        <v>0</v>
      </c>
      <c r="UFY43">
        <f t="shared" si="264"/>
        <v>0</v>
      </c>
      <c r="UFZ43">
        <f t="shared" si="264"/>
        <v>0</v>
      </c>
      <c r="UGA43">
        <f t="shared" si="264"/>
        <v>0</v>
      </c>
      <c r="UGB43">
        <f t="shared" si="264"/>
        <v>0</v>
      </c>
      <c r="UGC43">
        <f t="shared" si="264"/>
        <v>0</v>
      </c>
      <c r="UGD43">
        <f t="shared" si="264"/>
        <v>0</v>
      </c>
      <c r="UGE43">
        <f t="shared" si="264"/>
        <v>0</v>
      </c>
      <c r="UGF43">
        <f t="shared" si="264"/>
        <v>0</v>
      </c>
      <c r="UGG43">
        <f t="shared" si="264"/>
        <v>0</v>
      </c>
      <c r="UGH43">
        <f t="shared" si="264"/>
        <v>0</v>
      </c>
      <c r="UGI43">
        <f t="shared" si="264"/>
        <v>0</v>
      </c>
      <c r="UGJ43">
        <f t="shared" si="264"/>
        <v>0</v>
      </c>
      <c r="UGK43">
        <f t="shared" si="264"/>
        <v>0</v>
      </c>
      <c r="UGL43">
        <f t="shared" si="264"/>
        <v>0</v>
      </c>
      <c r="UGM43">
        <f t="shared" si="264"/>
        <v>0</v>
      </c>
      <c r="UGN43">
        <f t="shared" si="264"/>
        <v>0</v>
      </c>
      <c r="UGO43">
        <f t="shared" si="264"/>
        <v>0</v>
      </c>
      <c r="UGP43">
        <f t="shared" si="264"/>
        <v>0</v>
      </c>
      <c r="UGQ43">
        <f t="shared" si="264"/>
        <v>0</v>
      </c>
      <c r="UGR43">
        <f t="shared" si="264"/>
        <v>0</v>
      </c>
      <c r="UGS43">
        <f t="shared" si="264"/>
        <v>0</v>
      </c>
      <c r="UGT43">
        <f t="shared" si="265"/>
        <v>0</v>
      </c>
      <c r="UGU43">
        <f t="shared" si="265"/>
        <v>0</v>
      </c>
      <c r="UGV43">
        <f t="shared" si="265"/>
        <v>0</v>
      </c>
      <c r="UGW43">
        <f t="shared" si="265"/>
        <v>0</v>
      </c>
      <c r="UGX43">
        <f t="shared" si="265"/>
        <v>0</v>
      </c>
      <c r="UGY43">
        <f t="shared" si="265"/>
        <v>0</v>
      </c>
      <c r="UGZ43">
        <f t="shared" si="265"/>
        <v>0</v>
      </c>
      <c r="UHA43">
        <f t="shared" si="265"/>
        <v>0</v>
      </c>
      <c r="UHB43">
        <f t="shared" si="265"/>
        <v>0</v>
      </c>
      <c r="UHC43">
        <f t="shared" si="265"/>
        <v>0</v>
      </c>
      <c r="UHD43">
        <f t="shared" si="265"/>
        <v>0</v>
      </c>
      <c r="UHE43">
        <f t="shared" si="265"/>
        <v>0</v>
      </c>
      <c r="UHF43">
        <f t="shared" si="265"/>
        <v>0</v>
      </c>
      <c r="UHG43">
        <f t="shared" si="265"/>
        <v>0</v>
      </c>
      <c r="UHH43">
        <f t="shared" si="265"/>
        <v>0</v>
      </c>
      <c r="UHI43">
        <f t="shared" si="265"/>
        <v>0</v>
      </c>
      <c r="UHJ43">
        <f t="shared" si="265"/>
        <v>0</v>
      </c>
      <c r="UHK43">
        <f t="shared" si="265"/>
        <v>0</v>
      </c>
      <c r="UHL43">
        <f t="shared" si="265"/>
        <v>0</v>
      </c>
      <c r="UHM43">
        <f t="shared" si="265"/>
        <v>0</v>
      </c>
      <c r="UHN43">
        <f t="shared" si="265"/>
        <v>0</v>
      </c>
      <c r="UHO43">
        <f t="shared" si="265"/>
        <v>0</v>
      </c>
      <c r="UHP43">
        <f t="shared" si="265"/>
        <v>0</v>
      </c>
      <c r="UHQ43">
        <f t="shared" si="265"/>
        <v>0</v>
      </c>
      <c r="UHR43">
        <f t="shared" si="265"/>
        <v>0</v>
      </c>
      <c r="UHS43">
        <f t="shared" si="265"/>
        <v>0</v>
      </c>
      <c r="UHT43">
        <f t="shared" si="265"/>
        <v>0</v>
      </c>
      <c r="UHU43">
        <f t="shared" si="265"/>
        <v>0</v>
      </c>
      <c r="UHV43">
        <f t="shared" si="265"/>
        <v>0</v>
      </c>
      <c r="UHW43">
        <f t="shared" si="265"/>
        <v>0</v>
      </c>
      <c r="UHX43">
        <f t="shared" si="265"/>
        <v>0</v>
      </c>
      <c r="UHY43">
        <f t="shared" si="265"/>
        <v>0</v>
      </c>
      <c r="UHZ43">
        <f t="shared" si="265"/>
        <v>0</v>
      </c>
      <c r="UIA43">
        <f t="shared" si="265"/>
        <v>0</v>
      </c>
      <c r="UIB43">
        <f t="shared" si="265"/>
        <v>0</v>
      </c>
      <c r="UIC43">
        <f t="shared" si="265"/>
        <v>0</v>
      </c>
      <c r="UID43">
        <f t="shared" si="265"/>
        <v>0</v>
      </c>
      <c r="UIE43">
        <f t="shared" si="265"/>
        <v>0</v>
      </c>
      <c r="UIF43">
        <f t="shared" si="265"/>
        <v>0</v>
      </c>
      <c r="UIG43">
        <f t="shared" si="265"/>
        <v>0</v>
      </c>
      <c r="UIH43">
        <f t="shared" si="265"/>
        <v>0</v>
      </c>
      <c r="UII43">
        <f t="shared" si="265"/>
        <v>0</v>
      </c>
      <c r="UIJ43">
        <f t="shared" si="265"/>
        <v>0</v>
      </c>
      <c r="UIK43">
        <f t="shared" si="265"/>
        <v>0</v>
      </c>
      <c r="UIL43">
        <f t="shared" si="265"/>
        <v>0</v>
      </c>
      <c r="UIM43">
        <f t="shared" si="265"/>
        <v>0</v>
      </c>
      <c r="UIN43">
        <f t="shared" si="265"/>
        <v>0</v>
      </c>
      <c r="UIO43">
        <f t="shared" si="265"/>
        <v>0</v>
      </c>
      <c r="UIP43">
        <f t="shared" si="265"/>
        <v>0</v>
      </c>
      <c r="UIQ43">
        <f t="shared" si="265"/>
        <v>0</v>
      </c>
      <c r="UIR43">
        <f t="shared" si="265"/>
        <v>0</v>
      </c>
      <c r="UIS43">
        <f t="shared" si="265"/>
        <v>0</v>
      </c>
      <c r="UIT43">
        <f t="shared" si="265"/>
        <v>0</v>
      </c>
      <c r="UIU43">
        <f t="shared" si="265"/>
        <v>0</v>
      </c>
      <c r="UIV43">
        <f t="shared" si="265"/>
        <v>0</v>
      </c>
      <c r="UIW43">
        <f t="shared" si="265"/>
        <v>0</v>
      </c>
      <c r="UIX43">
        <f t="shared" si="265"/>
        <v>0</v>
      </c>
      <c r="UIY43">
        <f t="shared" si="265"/>
        <v>0</v>
      </c>
      <c r="UIZ43">
        <f t="shared" si="265"/>
        <v>0</v>
      </c>
      <c r="UJA43">
        <f t="shared" si="265"/>
        <v>0</v>
      </c>
      <c r="UJB43">
        <f t="shared" si="265"/>
        <v>0</v>
      </c>
      <c r="UJC43">
        <f t="shared" si="265"/>
        <v>0</v>
      </c>
      <c r="UJD43">
        <f t="shared" si="265"/>
        <v>0</v>
      </c>
      <c r="UJE43">
        <f t="shared" si="265"/>
        <v>0</v>
      </c>
      <c r="UJF43">
        <f t="shared" si="266"/>
        <v>0</v>
      </c>
      <c r="UJG43">
        <f t="shared" si="266"/>
        <v>0</v>
      </c>
      <c r="UJH43">
        <f t="shared" si="266"/>
        <v>0</v>
      </c>
      <c r="UJI43">
        <f t="shared" si="266"/>
        <v>0</v>
      </c>
      <c r="UJJ43">
        <f t="shared" si="266"/>
        <v>0</v>
      </c>
      <c r="UJK43">
        <f t="shared" si="266"/>
        <v>0</v>
      </c>
      <c r="UJL43">
        <f t="shared" si="266"/>
        <v>0</v>
      </c>
      <c r="UJM43">
        <f t="shared" si="266"/>
        <v>0</v>
      </c>
      <c r="UJN43">
        <f t="shared" si="266"/>
        <v>0</v>
      </c>
      <c r="UJO43">
        <f t="shared" si="266"/>
        <v>0</v>
      </c>
      <c r="UJP43">
        <f t="shared" si="266"/>
        <v>0</v>
      </c>
      <c r="UJQ43">
        <f t="shared" si="266"/>
        <v>0</v>
      </c>
      <c r="UJR43">
        <f t="shared" si="266"/>
        <v>0</v>
      </c>
      <c r="UJS43">
        <f t="shared" si="266"/>
        <v>0</v>
      </c>
      <c r="UJT43">
        <f t="shared" si="266"/>
        <v>0</v>
      </c>
      <c r="UJU43">
        <f t="shared" si="266"/>
        <v>0</v>
      </c>
      <c r="UJV43">
        <f t="shared" si="266"/>
        <v>0</v>
      </c>
      <c r="UJW43">
        <f t="shared" si="266"/>
        <v>0</v>
      </c>
      <c r="UJX43">
        <f t="shared" si="266"/>
        <v>0</v>
      </c>
      <c r="UJY43">
        <f t="shared" si="266"/>
        <v>0</v>
      </c>
      <c r="UJZ43">
        <f t="shared" si="266"/>
        <v>0</v>
      </c>
      <c r="UKA43">
        <f t="shared" si="266"/>
        <v>0</v>
      </c>
      <c r="UKB43">
        <f t="shared" si="266"/>
        <v>0</v>
      </c>
      <c r="UKC43">
        <f t="shared" si="266"/>
        <v>0</v>
      </c>
      <c r="UKD43">
        <f t="shared" si="266"/>
        <v>0</v>
      </c>
      <c r="UKE43">
        <f t="shared" si="266"/>
        <v>0</v>
      </c>
      <c r="UKF43">
        <f t="shared" si="266"/>
        <v>0</v>
      </c>
      <c r="UKG43">
        <f t="shared" si="266"/>
        <v>0</v>
      </c>
      <c r="UKH43">
        <f t="shared" si="266"/>
        <v>0</v>
      </c>
      <c r="UKI43">
        <f t="shared" si="266"/>
        <v>0</v>
      </c>
      <c r="UKJ43">
        <f t="shared" si="266"/>
        <v>0</v>
      </c>
      <c r="UKK43">
        <f t="shared" si="266"/>
        <v>0</v>
      </c>
      <c r="UKL43">
        <f t="shared" si="266"/>
        <v>0</v>
      </c>
      <c r="UKM43">
        <f t="shared" si="266"/>
        <v>0</v>
      </c>
      <c r="UKN43">
        <f t="shared" si="266"/>
        <v>0</v>
      </c>
      <c r="UKO43">
        <f t="shared" si="266"/>
        <v>0</v>
      </c>
      <c r="UKP43">
        <f t="shared" si="266"/>
        <v>0</v>
      </c>
      <c r="UKQ43">
        <f t="shared" si="266"/>
        <v>0</v>
      </c>
      <c r="UKR43">
        <f t="shared" si="266"/>
        <v>0</v>
      </c>
      <c r="UKS43">
        <f t="shared" si="266"/>
        <v>0</v>
      </c>
      <c r="UKT43">
        <f t="shared" si="266"/>
        <v>0</v>
      </c>
      <c r="UKU43">
        <f t="shared" si="266"/>
        <v>0</v>
      </c>
      <c r="UKV43">
        <f t="shared" si="266"/>
        <v>0</v>
      </c>
      <c r="UKW43">
        <f t="shared" si="266"/>
        <v>0</v>
      </c>
      <c r="UKX43">
        <f t="shared" si="266"/>
        <v>0</v>
      </c>
      <c r="UKY43">
        <f t="shared" si="266"/>
        <v>0</v>
      </c>
      <c r="UKZ43">
        <f t="shared" si="266"/>
        <v>0</v>
      </c>
      <c r="ULA43">
        <f t="shared" si="266"/>
        <v>0</v>
      </c>
      <c r="ULB43">
        <f t="shared" si="266"/>
        <v>0</v>
      </c>
      <c r="ULC43">
        <f t="shared" si="266"/>
        <v>0</v>
      </c>
      <c r="ULD43">
        <f t="shared" si="266"/>
        <v>0</v>
      </c>
      <c r="ULE43">
        <f t="shared" si="266"/>
        <v>0</v>
      </c>
      <c r="ULF43">
        <f t="shared" si="266"/>
        <v>0</v>
      </c>
      <c r="ULG43">
        <f t="shared" si="266"/>
        <v>0</v>
      </c>
      <c r="ULH43">
        <f t="shared" si="266"/>
        <v>0</v>
      </c>
      <c r="ULI43">
        <f t="shared" si="266"/>
        <v>0</v>
      </c>
      <c r="ULJ43">
        <f t="shared" si="266"/>
        <v>0</v>
      </c>
      <c r="ULK43">
        <f t="shared" si="266"/>
        <v>0</v>
      </c>
      <c r="ULL43">
        <f t="shared" si="266"/>
        <v>0</v>
      </c>
      <c r="ULM43">
        <f t="shared" si="266"/>
        <v>0</v>
      </c>
      <c r="ULN43">
        <f t="shared" si="266"/>
        <v>0</v>
      </c>
      <c r="ULO43">
        <f t="shared" si="266"/>
        <v>0</v>
      </c>
      <c r="ULP43">
        <f t="shared" si="266"/>
        <v>0</v>
      </c>
      <c r="ULQ43">
        <f t="shared" si="266"/>
        <v>0</v>
      </c>
      <c r="ULR43">
        <f t="shared" si="267"/>
        <v>0</v>
      </c>
      <c r="ULS43">
        <f t="shared" si="267"/>
        <v>0</v>
      </c>
      <c r="ULT43">
        <f t="shared" si="267"/>
        <v>0</v>
      </c>
      <c r="ULU43">
        <f t="shared" si="267"/>
        <v>0</v>
      </c>
      <c r="ULV43">
        <f t="shared" si="267"/>
        <v>0</v>
      </c>
      <c r="ULW43">
        <f t="shared" si="267"/>
        <v>0</v>
      </c>
      <c r="ULX43">
        <f t="shared" si="267"/>
        <v>0</v>
      </c>
      <c r="ULY43">
        <f t="shared" si="267"/>
        <v>0</v>
      </c>
      <c r="ULZ43">
        <f t="shared" si="267"/>
        <v>0</v>
      </c>
      <c r="UMA43">
        <f t="shared" si="267"/>
        <v>0</v>
      </c>
      <c r="UMB43">
        <f t="shared" si="267"/>
        <v>0</v>
      </c>
      <c r="UMC43">
        <f t="shared" si="267"/>
        <v>0</v>
      </c>
      <c r="UMD43">
        <f t="shared" si="267"/>
        <v>0</v>
      </c>
      <c r="UME43">
        <f t="shared" si="267"/>
        <v>0</v>
      </c>
      <c r="UMF43">
        <f t="shared" si="267"/>
        <v>0</v>
      </c>
      <c r="UMG43">
        <f t="shared" si="267"/>
        <v>0</v>
      </c>
      <c r="UMH43">
        <f t="shared" si="267"/>
        <v>0</v>
      </c>
      <c r="UMI43">
        <f t="shared" si="267"/>
        <v>0</v>
      </c>
      <c r="UMJ43">
        <f t="shared" si="267"/>
        <v>0</v>
      </c>
      <c r="UMK43">
        <f t="shared" si="267"/>
        <v>0</v>
      </c>
      <c r="UML43">
        <f t="shared" si="267"/>
        <v>0</v>
      </c>
      <c r="UMM43">
        <f t="shared" si="267"/>
        <v>0</v>
      </c>
      <c r="UMN43">
        <f t="shared" si="267"/>
        <v>0</v>
      </c>
      <c r="UMO43">
        <f t="shared" si="267"/>
        <v>0</v>
      </c>
      <c r="UMP43">
        <f t="shared" si="267"/>
        <v>0</v>
      </c>
      <c r="UMQ43">
        <f t="shared" si="267"/>
        <v>0</v>
      </c>
      <c r="UMR43">
        <f t="shared" si="267"/>
        <v>0</v>
      </c>
      <c r="UMS43">
        <f t="shared" si="267"/>
        <v>0</v>
      </c>
      <c r="UMT43">
        <f t="shared" si="267"/>
        <v>0</v>
      </c>
      <c r="UMU43">
        <f t="shared" si="267"/>
        <v>0</v>
      </c>
      <c r="UMV43">
        <f t="shared" si="267"/>
        <v>0</v>
      </c>
      <c r="UMW43">
        <f t="shared" si="267"/>
        <v>0</v>
      </c>
      <c r="UMX43">
        <f t="shared" si="267"/>
        <v>0</v>
      </c>
      <c r="UMY43">
        <f t="shared" si="267"/>
        <v>0</v>
      </c>
      <c r="UMZ43">
        <f t="shared" si="267"/>
        <v>0</v>
      </c>
      <c r="UNA43">
        <f t="shared" si="267"/>
        <v>0</v>
      </c>
      <c r="UNB43">
        <f t="shared" si="267"/>
        <v>0</v>
      </c>
      <c r="UNC43">
        <f t="shared" si="267"/>
        <v>0</v>
      </c>
      <c r="UND43">
        <f t="shared" si="267"/>
        <v>0</v>
      </c>
      <c r="UNE43">
        <f t="shared" si="267"/>
        <v>0</v>
      </c>
      <c r="UNF43">
        <f t="shared" si="267"/>
        <v>0</v>
      </c>
      <c r="UNG43">
        <f t="shared" si="267"/>
        <v>0</v>
      </c>
      <c r="UNH43">
        <f t="shared" si="267"/>
        <v>0</v>
      </c>
      <c r="UNI43">
        <f t="shared" si="267"/>
        <v>0</v>
      </c>
      <c r="UNJ43">
        <f t="shared" si="267"/>
        <v>0</v>
      </c>
      <c r="UNK43">
        <f t="shared" si="267"/>
        <v>0</v>
      </c>
      <c r="UNL43">
        <f t="shared" si="267"/>
        <v>0</v>
      </c>
      <c r="UNM43">
        <f t="shared" si="267"/>
        <v>0</v>
      </c>
      <c r="UNN43">
        <f t="shared" si="267"/>
        <v>0</v>
      </c>
      <c r="UNO43">
        <f t="shared" si="267"/>
        <v>0</v>
      </c>
      <c r="UNP43">
        <f t="shared" si="267"/>
        <v>0</v>
      </c>
      <c r="UNQ43">
        <f t="shared" si="267"/>
        <v>0</v>
      </c>
      <c r="UNR43">
        <f t="shared" si="267"/>
        <v>0</v>
      </c>
      <c r="UNS43">
        <f t="shared" si="267"/>
        <v>0</v>
      </c>
      <c r="UNT43">
        <f t="shared" si="267"/>
        <v>0</v>
      </c>
      <c r="UNU43">
        <f t="shared" si="267"/>
        <v>0</v>
      </c>
      <c r="UNV43">
        <f t="shared" si="267"/>
        <v>0</v>
      </c>
      <c r="UNW43">
        <f t="shared" si="267"/>
        <v>0</v>
      </c>
      <c r="UNX43">
        <f t="shared" si="267"/>
        <v>0</v>
      </c>
      <c r="UNY43">
        <f t="shared" si="267"/>
        <v>0</v>
      </c>
      <c r="UNZ43">
        <f t="shared" si="267"/>
        <v>0</v>
      </c>
      <c r="UOA43">
        <f t="shared" si="267"/>
        <v>0</v>
      </c>
      <c r="UOB43">
        <f t="shared" si="267"/>
        <v>0</v>
      </c>
      <c r="UOC43">
        <f t="shared" si="267"/>
        <v>0</v>
      </c>
      <c r="UOD43">
        <f t="shared" si="268"/>
        <v>0</v>
      </c>
      <c r="UOE43">
        <f t="shared" si="268"/>
        <v>0</v>
      </c>
      <c r="UOF43">
        <f t="shared" si="268"/>
        <v>0</v>
      </c>
      <c r="UOG43">
        <f t="shared" si="268"/>
        <v>0</v>
      </c>
      <c r="UOH43">
        <f t="shared" si="268"/>
        <v>0</v>
      </c>
      <c r="UOI43">
        <f t="shared" si="268"/>
        <v>0</v>
      </c>
      <c r="UOJ43">
        <f t="shared" si="268"/>
        <v>0</v>
      </c>
      <c r="UOK43">
        <f t="shared" si="268"/>
        <v>0</v>
      </c>
      <c r="UOL43">
        <f t="shared" si="268"/>
        <v>0</v>
      </c>
      <c r="UOM43">
        <f t="shared" si="268"/>
        <v>0</v>
      </c>
      <c r="UON43">
        <f t="shared" si="268"/>
        <v>0</v>
      </c>
      <c r="UOO43">
        <f t="shared" si="268"/>
        <v>0</v>
      </c>
      <c r="UOP43">
        <f t="shared" si="268"/>
        <v>0</v>
      </c>
      <c r="UOQ43">
        <f t="shared" si="268"/>
        <v>0</v>
      </c>
      <c r="UOR43">
        <f t="shared" si="268"/>
        <v>0</v>
      </c>
      <c r="UOS43">
        <f t="shared" si="268"/>
        <v>0</v>
      </c>
      <c r="UOT43">
        <f t="shared" si="268"/>
        <v>0</v>
      </c>
      <c r="UOU43">
        <f t="shared" si="268"/>
        <v>0</v>
      </c>
      <c r="UOV43">
        <f t="shared" si="268"/>
        <v>0</v>
      </c>
      <c r="UOW43">
        <f t="shared" si="268"/>
        <v>0</v>
      </c>
      <c r="UOX43">
        <f t="shared" si="268"/>
        <v>0</v>
      </c>
      <c r="UOY43">
        <f t="shared" si="268"/>
        <v>0</v>
      </c>
      <c r="UOZ43">
        <f t="shared" si="268"/>
        <v>0</v>
      </c>
      <c r="UPA43">
        <f t="shared" si="268"/>
        <v>0</v>
      </c>
      <c r="UPB43">
        <f t="shared" si="268"/>
        <v>0</v>
      </c>
      <c r="UPC43">
        <f t="shared" si="268"/>
        <v>0</v>
      </c>
      <c r="UPD43">
        <f t="shared" si="268"/>
        <v>0</v>
      </c>
      <c r="UPE43">
        <f t="shared" si="268"/>
        <v>0</v>
      </c>
      <c r="UPF43">
        <f t="shared" si="268"/>
        <v>0</v>
      </c>
      <c r="UPG43">
        <f t="shared" si="268"/>
        <v>0</v>
      </c>
      <c r="UPH43">
        <f t="shared" si="268"/>
        <v>0</v>
      </c>
      <c r="UPI43">
        <f t="shared" si="268"/>
        <v>0</v>
      </c>
      <c r="UPJ43">
        <f t="shared" si="268"/>
        <v>0</v>
      </c>
      <c r="UPK43">
        <f t="shared" si="268"/>
        <v>0</v>
      </c>
      <c r="UPL43">
        <f t="shared" si="268"/>
        <v>0</v>
      </c>
      <c r="UPM43">
        <f t="shared" si="268"/>
        <v>0</v>
      </c>
      <c r="UPN43">
        <f t="shared" si="268"/>
        <v>0</v>
      </c>
      <c r="UPO43">
        <f t="shared" si="268"/>
        <v>0</v>
      </c>
      <c r="UPP43">
        <f t="shared" si="268"/>
        <v>0</v>
      </c>
      <c r="UPQ43">
        <f t="shared" si="268"/>
        <v>0</v>
      </c>
      <c r="UPR43">
        <f t="shared" si="268"/>
        <v>0</v>
      </c>
      <c r="UPS43">
        <f t="shared" si="268"/>
        <v>0</v>
      </c>
      <c r="UPT43">
        <f t="shared" si="268"/>
        <v>0</v>
      </c>
      <c r="UPU43">
        <f t="shared" si="268"/>
        <v>0</v>
      </c>
      <c r="UPV43">
        <f t="shared" si="268"/>
        <v>0</v>
      </c>
      <c r="UPW43">
        <f t="shared" si="268"/>
        <v>0</v>
      </c>
      <c r="UPX43">
        <f t="shared" si="268"/>
        <v>0</v>
      </c>
      <c r="UPY43">
        <f t="shared" si="268"/>
        <v>0</v>
      </c>
      <c r="UPZ43">
        <f t="shared" si="268"/>
        <v>0</v>
      </c>
      <c r="UQA43">
        <f t="shared" si="268"/>
        <v>0</v>
      </c>
      <c r="UQB43">
        <f t="shared" si="268"/>
        <v>0</v>
      </c>
      <c r="UQC43">
        <f t="shared" si="268"/>
        <v>0</v>
      </c>
      <c r="UQD43">
        <f t="shared" si="268"/>
        <v>0</v>
      </c>
      <c r="UQE43">
        <f t="shared" si="268"/>
        <v>0</v>
      </c>
      <c r="UQF43">
        <f t="shared" si="268"/>
        <v>0</v>
      </c>
      <c r="UQG43">
        <f t="shared" si="268"/>
        <v>0</v>
      </c>
      <c r="UQH43">
        <f t="shared" si="268"/>
        <v>0</v>
      </c>
      <c r="UQI43">
        <f t="shared" si="268"/>
        <v>0</v>
      </c>
      <c r="UQJ43">
        <f t="shared" si="268"/>
        <v>0</v>
      </c>
      <c r="UQK43">
        <f t="shared" si="268"/>
        <v>0</v>
      </c>
      <c r="UQL43">
        <f t="shared" si="268"/>
        <v>0</v>
      </c>
      <c r="UQM43">
        <f t="shared" si="268"/>
        <v>0</v>
      </c>
      <c r="UQN43">
        <f t="shared" si="268"/>
        <v>0</v>
      </c>
      <c r="UQO43">
        <f t="shared" si="268"/>
        <v>0</v>
      </c>
      <c r="UQP43">
        <f t="shared" si="269"/>
        <v>0</v>
      </c>
      <c r="UQQ43">
        <f t="shared" si="269"/>
        <v>0</v>
      </c>
      <c r="UQR43">
        <f t="shared" si="269"/>
        <v>0</v>
      </c>
      <c r="UQS43">
        <f t="shared" si="269"/>
        <v>0</v>
      </c>
      <c r="UQT43">
        <f t="shared" si="269"/>
        <v>0</v>
      </c>
      <c r="UQU43">
        <f t="shared" si="269"/>
        <v>0</v>
      </c>
      <c r="UQV43">
        <f t="shared" si="269"/>
        <v>0</v>
      </c>
      <c r="UQW43">
        <f t="shared" si="269"/>
        <v>0</v>
      </c>
      <c r="UQX43">
        <f t="shared" si="269"/>
        <v>0</v>
      </c>
      <c r="UQY43">
        <f t="shared" si="269"/>
        <v>0</v>
      </c>
      <c r="UQZ43">
        <f t="shared" si="269"/>
        <v>0</v>
      </c>
      <c r="URA43">
        <f t="shared" si="269"/>
        <v>0</v>
      </c>
      <c r="URB43">
        <f t="shared" si="269"/>
        <v>0</v>
      </c>
      <c r="URC43">
        <f t="shared" si="269"/>
        <v>0</v>
      </c>
      <c r="URD43">
        <f t="shared" si="269"/>
        <v>0</v>
      </c>
      <c r="URE43">
        <f t="shared" si="269"/>
        <v>0</v>
      </c>
      <c r="URF43">
        <f t="shared" si="269"/>
        <v>0</v>
      </c>
      <c r="URG43">
        <f t="shared" si="269"/>
        <v>0</v>
      </c>
      <c r="URH43">
        <f t="shared" si="269"/>
        <v>0</v>
      </c>
      <c r="URI43">
        <f t="shared" si="269"/>
        <v>0</v>
      </c>
      <c r="URJ43">
        <f t="shared" si="269"/>
        <v>0</v>
      </c>
      <c r="URK43">
        <f t="shared" si="269"/>
        <v>0</v>
      </c>
      <c r="URL43">
        <f t="shared" si="269"/>
        <v>0</v>
      </c>
      <c r="URM43">
        <f t="shared" si="269"/>
        <v>0</v>
      </c>
      <c r="URN43">
        <f t="shared" si="269"/>
        <v>0</v>
      </c>
      <c r="URO43">
        <f t="shared" si="269"/>
        <v>0</v>
      </c>
      <c r="URP43">
        <f t="shared" si="269"/>
        <v>0</v>
      </c>
      <c r="URQ43">
        <f t="shared" si="269"/>
        <v>0</v>
      </c>
      <c r="URR43">
        <f t="shared" si="269"/>
        <v>0</v>
      </c>
      <c r="URS43">
        <f t="shared" si="269"/>
        <v>0</v>
      </c>
      <c r="URT43">
        <f t="shared" si="269"/>
        <v>0</v>
      </c>
      <c r="URU43">
        <f t="shared" si="269"/>
        <v>0</v>
      </c>
      <c r="URV43">
        <f t="shared" si="269"/>
        <v>0</v>
      </c>
      <c r="URW43">
        <f t="shared" si="269"/>
        <v>0</v>
      </c>
      <c r="URX43">
        <f t="shared" si="269"/>
        <v>0</v>
      </c>
      <c r="URY43">
        <f t="shared" si="269"/>
        <v>0</v>
      </c>
      <c r="URZ43">
        <f t="shared" si="269"/>
        <v>0</v>
      </c>
      <c r="USA43">
        <f t="shared" si="269"/>
        <v>0</v>
      </c>
      <c r="USB43">
        <f t="shared" si="269"/>
        <v>0</v>
      </c>
      <c r="USC43">
        <f t="shared" si="269"/>
        <v>0</v>
      </c>
      <c r="USD43">
        <f t="shared" si="269"/>
        <v>0</v>
      </c>
      <c r="USE43">
        <f t="shared" si="269"/>
        <v>0</v>
      </c>
      <c r="USF43">
        <f t="shared" si="269"/>
        <v>0</v>
      </c>
      <c r="USG43">
        <f t="shared" si="269"/>
        <v>0</v>
      </c>
      <c r="USH43">
        <f t="shared" si="269"/>
        <v>0</v>
      </c>
      <c r="USI43">
        <f t="shared" si="269"/>
        <v>0</v>
      </c>
      <c r="USJ43">
        <f t="shared" si="269"/>
        <v>0</v>
      </c>
      <c r="USK43">
        <f t="shared" si="269"/>
        <v>0</v>
      </c>
      <c r="USL43">
        <f t="shared" si="269"/>
        <v>0</v>
      </c>
      <c r="USM43">
        <f t="shared" si="269"/>
        <v>0</v>
      </c>
      <c r="USN43">
        <f t="shared" si="269"/>
        <v>0</v>
      </c>
      <c r="USO43">
        <f t="shared" si="269"/>
        <v>0</v>
      </c>
      <c r="USP43">
        <f t="shared" si="269"/>
        <v>0</v>
      </c>
      <c r="USQ43">
        <f t="shared" si="269"/>
        <v>0</v>
      </c>
      <c r="USR43">
        <f t="shared" si="269"/>
        <v>0</v>
      </c>
      <c r="USS43">
        <f t="shared" si="269"/>
        <v>0</v>
      </c>
      <c r="UST43">
        <f t="shared" si="269"/>
        <v>0</v>
      </c>
      <c r="USU43">
        <f t="shared" si="269"/>
        <v>0</v>
      </c>
      <c r="USV43">
        <f t="shared" si="269"/>
        <v>0</v>
      </c>
      <c r="USW43">
        <f t="shared" si="269"/>
        <v>0</v>
      </c>
      <c r="USX43">
        <f t="shared" si="269"/>
        <v>0</v>
      </c>
      <c r="USY43">
        <f t="shared" si="269"/>
        <v>0</v>
      </c>
      <c r="USZ43">
        <f t="shared" si="269"/>
        <v>0</v>
      </c>
      <c r="UTA43">
        <f t="shared" si="269"/>
        <v>0</v>
      </c>
      <c r="UTB43">
        <f t="shared" si="270"/>
        <v>0</v>
      </c>
      <c r="UTC43">
        <f t="shared" si="270"/>
        <v>0</v>
      </c>
      <c r="UTD43">
        <f t="shared" si="270"/>
        <v>0</v>
      </c>
      <c r="UTE43">
        <f t="shared" si="270"/>
        <v>0</v>
      </c>
      <c r="UTF43">
        <f t="shared" si="270"/>
        <v>0</v>
      </c>
      <c r="UTG43">
        <f t="shared" si="270"/>
        <v>0</v>
      </c>
      <c r="UTH43">
        <f t="shared" si="270"/>
        <v>0</v>
      </c>
      <c r="UTI43">
        <f t="shared" si="270"/>
        <v>0</v>
      </c>
      <c r="UTJ43">
        <f t="shared" si="270"/>
        <v>0</v>
      </c>
      <c r="UTK43">
        <f t="shared" si="270"/>
        <v>0</v>
      </c>
      <c r="UTL43">
        <f t="shared" si="270"/>
        <v>0</v>
      </c>
      <c r="UTM43">
        <f t="shared" si="270"/>
        <v>0</v>
      </c>
      <c r="UTN43">
        <f t="shared" si="270"/>
        <v>0</v>
      </c>
      <c r="UTO43">
        <f t="shared" si="270"/>
        <v>0</v>
      </c>
      <c r="UTP43">
        <f t="shared" si="270"/>
        <v>0</v>
      </c>
      <c r="UTQ43">
        <f t="shared" si="270"/>
        <v>0</v>
      </c>
      <c r="UTR43">
        <f t="shared" si="270"/>
        <v>0</v>
      </c>
      <c r="UTS43">
        <f t="shared" si="270"/>
        <v>0</v>
      </c>
      <c r="UTT43">
        <f t="shared" si="270"/>
        <v>0</v>
      </c>
      <c r="UTU43">
        <f t="shared" si="270"/>
        <v>0</v>
      </c>
      <c r="UTV43">
        <f t="shared" si="270"/>
        <v>0</v>
      </c>
      <c r="UTW43">
        <f t="shared" si="270"/>
        <v>0</v>
      </c>
      <c r="UTX43">
        <f t="shared" si="270"/>
        <v>0</v>
      </c>
      <c r="UTY43">
        <f t="shared" si="270"/>
        <v>0</v>
      </c>
      <c r="UTZ43">
        <f t="shared" si="270"/>
        <v>0</v>
      </c>
      <c r="UUA43">
        <f t="shared" si="270"/>
        <v>0</v>
      </c>
      <c r="UUB43">
        <f t="shared" si="270"/>
        <v>0</v>
      </c>
      <c r="UUC43">
        <f t="shared" si="270"/>
        <v>0</v>
      </c>
      <c r="UUD43">
        <f t="shared" si="270"/>
        <v>0</v>
      </c>
      <c r="UUE43">
        <f t="shared" si="270"/>
        <v>0</v>
      </c>
      <c r="UUF43">
        <f t="shared" si="270"/>
        <v>0</v>
      </c>
      <c r="UUG43">
        <f t="shared" si="270"/>
        <v>0</v>
      </c>
      <c r="UUH43">
        <f t="shared" si="270"/>
        <v>0</v>
      </c>
      <c r="UUI43">
        <f t="shared" si="270"/>
        <v>0</v>
      </c>
      <c r="UUJ43">
        <f t="shared" si="270"/>
        <v>0</v>
      </c>
      <c r="UUK43">
        <f t="shared" si="270"/>
        <v>0</v>
      </c>
      <c r="UUL43">
        <f t="shared" si="270"/>
        <v>0</v>
      </c>
      <c r="UUM43">
        <f t="shared" si="270"/>
        <v>0</v>
      </c>
      <c r="UUN43">
        <f t="shared" si="270"/>
        <v>0</v>
      </c>
      <c r="UUO43">
        <f t="shared" si="270"/>
        <v>0</v>
      </c>
      <c r="UUP43">
        <f t="shared" si="270"/>
        <v>0</v>
      </c>
      <c r="UUQ43">
        <f t="shared" si="270"/>
        <v>0</v>
      </c>
      <c r="UUR43">
        <f t="shared" si="270"/>
        <v>0</v>
      </c>
      <c r="UUS43">
        <f t="shared" si="270"/>
        <v>0</v>
      </c>
      <c r="UUT43">
        <f t="shared" si="270"/>
        <v>0</v>
      </c>
      <c r="UUU43">
        <f t="shared" si="270"/>
        <v>0</v>
      </c>
      <c r="UUV43">
        <f t="shared" si="270"/>
        <v>0</v>
      </c>
      <c r="UUW43">
        <f t="shared" si="270"/>
        <v>0</v>
      </c>
      <c r="UUX43">
        <f t="shared" si="270"/>
        <v>0</v>
      </c>
      <c r="UUY43">
        <f t="shared" si="270"/>
        <v>0</v>
      </c>
      <c r="UUZ43">
        <f t="shared" si="270"/>
        <v>0</v>
      </c>
      <c r="UVA43">
        <f t="shared" si="270"/>
        <v>0</v>
      </c>
      <c r="UVB43">
        <f t="shared" si="270"/>
        <v>0</v>
      </c>
      <c r="UVC43">
        <f t="shared" si="270"/>
        <v>0</v>
      </c>
      <c r="UVD43">
        <f t="shared" si="270"/>
        <v>0</v>
      </c>
      <c r="UVE43">
        <f t="shared" si="270"/>
        <v>0</v>
      </c>
      <c r="UVF43">
        <f t="shared" si="270"/>
        <v>0</v>
      </c>
      <c r="UVG43">
        <f t="shared" si="270"/>
        <v>0</v>
      </c>
      <c r="UVH43">
        <f t="shared" si="270"/>
        <v>0</v>
      </c>
      <c r="UVI43">
        <f t="shared" si="270"/>
        <v>0</v>
      </c>
      <c r="UVJ43">
        <f t="shared" si="270"/>
        <v>0</v>
      </c>
      <c r="UVK43">
        <f t="shared" si="270"/>
        <v>0</v>
      </c>
      <c r="UVL43">
        <f t="shared" si="270"/>
        <v>0</v>
      </c>
      <c r="UVM43">
        <f t="shared" si="270"/>
        <v>0</v>
      </c>
      <c r="UVN43">
        <f t="shared" si="271"/>
        <v>0</v>
      </c>
      <c r="UVO43">
        <f t="shared" si="271"/>
        <v>0</v>
      </c>
      <c r="UVP43">
        <f t="shared" si="271"/>
        <v>0</v>
      </c>
      <c r="UVQ43">
        <f t="shared" si="271"/>
        <v>0</v>
      </c>
      <c r="UVR43">
        <f t="shared" si="271"/>
        <v>0</v>
      </c>
      <c r="UVS43">
        <f t="shared" si="271"/>
        <v>0</v>
      </c>
      <c r="UVT43">
        <f t="shared" si="271"/>
        <v>0</v>
      </c>
      <c r="UVU43">
        <f t="shared" si="271"/>
        <v>0</v>
      </c>
      <c r="UVV43">
        <f t="shared" si="271"/>
        <v>0</v>
      </c>
      <c r="UVW43">
        <f t="shared" si="271"/>
        <v>0</v>
      </c>
      <c r="UVX43">
        <f t="shared" si="271"/>
        <v>0</v>
      </c>
      <c r="UVY43">
        <f t="shared" si="271"/>
        <v>0</v>
      </c>
      <c r="UVZ43">
        <f t="shared" si="271"/>
        <v>0</v>
      </c>
      <c r="UWA43">
        <f t="shared" si="271"/>
        <v>0</v>
      </c>
      <c r="UWB43">
        <f t="shared" si="271"/>
        <v>0</v>
      </c>
      <c r="UWC43">
        <f t="shared" si="271"/>
        <v>0</v>
      </c>
      <c r="UWD43">
        <f t="shared" si="271"/>
        <v>0</v>
      </c>
      <c r="UWE43">
        <f t="shared" si="271"/>
        <v>0</v>
      </c>
      <c r="UWF43">
        <f t="shared" si="271"/>
        <v>0</v>
      </c>
      <c r="UWG43">
        <f t="shared" si="271"/>
        <v>0</v>
      </c>
      <c r="UWH43">
        <f t="shared" si="271"/>
        <v>0</v>
      </c>
      <c r="UWI43">
        <f t="shared" si="271"/>
        <v>0</v>
      </c>
      <c r="UWJ43">
        <f t="shared" si="271"/>
        <v>0</v>
      </c>
      <c r="UWK43">
        <f t="shared" si="271"/>
        <v>0</v>
      </c>
      <c r="UWL43">
        <f t="shared" si="271"/>
        <v>0</v>
      </c>
      <c r="UWM43">
        <f t="shared" si="271"/>
        <v>0</v>
      </c>
      <c r="UWN43">
        <f t="shared" si="271"/>
        <v>0</v>
      </c>
      <c r="UWO43">
        <f t="shared" si="271"/>
        <v>0</v>
      </c>
      <c r="UWP43">
        <f t="shared" si="271"/>
        <v>0</v>
      </c>
      <c r="UWQ43">
        <f t="shared" si="271"/>
        <v>0</v>
      </c>
      <c r="UWR43">
        <f t="shared" si="271"/>
        <v>0</v>
      </c>
      <c r="UWS43">
        <f t="shared" si="271"/>
        <v>0</v>
      </c>
      <c r="UWT43">
        <f t="shared" si="271"/>
        <v>0</v>
      </c>
      <c r="UWU43">
        <f t="shared" si="271"/>
        <v>0</v>
      </c>
      <c r="UWV43">
        <f t="shared" si="271"/>
        <v>0</v>
      </c>
      <c r="UWW43">
        <f t="shared" si="271"/>
        <v>0</v>
      </c>
      <c r="UWX43">
        <f t="shared" si="271"/>
        <v>0</v>
      </c>
      <c r="UWY43">
        <f t="shared" si="271"/>
        <v>0</v>
      </c>
      <c r="UWZ43">
        <f t="shared" si="271"/>
        <v>0</v>
      </c>
      <c r="UXA43">
        <f t="shared" si="271"/>
        <v>0</v>
      </c>
      <c r="UXB43">
        <f t="shared" si="271"/>
        <v>0</v>
      </c>
      <c r="UXC43">
        <f t="shared" si="271"/>
        <v>0</v>
      </c>
      <c r="UXD43">
        <f t="shared" si="271"/>
        <v>0</v>
      </c>
      <c r="UXE43">
        <f t="shared" si="271"/>
        <v>0</v>
      </c>
      <c r="UXF43">
        <f t="shared" si="271"/>
        <v>0</v>
      </c>
      <c r="UXG43">
        <f t="shared" si="271"/>
        <v>0</v>
      </c>
      <c r="UXH43">
        <f t="shared" si="271"/>
        <v>0</v>
      </c>
      <c r="UXI43">
        <f t="shared" si="271"/>
        <v>0</v>
      </c>
      <c r="UXJ43">
        <f t="shared" si="271"/>
        <v>0</v>
      </c>
      <c r="UXK43">
        <f t="shared" si="271"/>
        <v>0</v>
      </c>
      <c r="UXL43">
        <f t="shared" si="271"/>
        <v>0</v>
      </c>
      <c r="UXM43">
        <f t="shared" si="271"/>
        <v>0</v>
      </c>
      <c r="UXN43">
        <f t="shared" si="271"/>
        <v>0</v>
      </c>
      <c r="UXO43">
        <f t="shared" si="271"/>
        <v>0</v>
      </c>
      <c r="UXP43">
        <f t="shared" si="271"/>
        <v>0</v>
      </c>
      <c r="UXQ43">
        <f t="shared" si="271"/>
        <v>0</v>
      </c>
      <c r="UXR43">
        <f t="shared" si="271"/>
        <v>0</v>
      </c>
      <c r="UXS43">
        <f t="shared" si="271"/>
        <v>0</v>
      </c>
      <c r="UXT43">
        <f t="shared" si="271"/>
        <v>0</v>
      </c>
      <c r="UXU43">
        <f t="shared" si="271"/>
        <v>0</v>
      </c>
      <c r="UXV43">
        <f t="shared" si="271"/>
        <v>0</v>
      </c>
      <c r="UXW43">
        <f t="shared" si="271"/>
        <v>0</v>
      </c>
      <c r="UXX43">
        <f t="shared" si="271"/>
        <v>0</v>
      </c>
      <c r="UXY43">
        <f t="shared" si="271"/>
        <v>0</v>
      </c>
      <c r="UXZ43">
        <f t="shared" si="272"/>
        <v>0</v>
      </c>
      <c r="UYA43">
        <f t="shared" si="272"/>
        <v>0</v>
      </c>
      <c r="UYB43">
        <f t="shared" si="272"/>
        <v>0</v>
      </c>
      <c r="UYC43">
        <f t="shared" si="272"/>
        <v>0</v>
      </c>
      <c r="UYD43">
        <f t="shared" si="272"/>
        <v>0</v>
      </c>
      <c r="UYE43">
        <f t="shared" si="272"/>
        <v>0</v>
      </c>
      <c r="UYF43">
        <f t="shared" si="272"/>
        <v>0</v>
      </c>
      <c r="UYG43">
        <f t="shared" si="272"/>
        <v>0</v>
      </c>
      <c r="UYH43">
        <f t="shared" si="272"/>
        <v>0</v>
      </c>
      <c r="UYI43">
        <f t="shared" si="272"/>
        <v>0</v>
      </c>
      <c r="UYJ43">
        <f t="shared" si="272"/>
        <v>0</v>
      </c>
      <c r="UYK43">
        <f t="shared" si="272"/>
        <v>0</v>
      </c>
      <c r="UYL43">
        <f t="shared" si="272"/>
        <v>0</v>
      </c>
      <c r="UYM43">
        <f t="shared" si="272"/>
        <v>0</v>
      </c>
      <c r="UYN43">
        <f t="shared" si="272"/>
        <v>0</v>
      </c>
      <c r="UYO43">
        <f t="shared" si="272"/>
        <v>0</v>
      </c>
      <c r="UYP43">
        <f t="shared" si="272"/>
        <v>0</v>
      </c>
      <c r="UYQ43">
        <f t="shared" si="272"/>
        <v>0</v>
      </c>
      <c r="UYR43">
        <f t="shared" si="272"/>
        <v>0</v>
      </c>
      <c r="UYS43">
        <f t="shared" si="272"/>
        <v>0</v>
      </c>
      <c r="UYT43">
        <f t="shared" si="272"/>
        <v>0</v>
      </c>
      <c r="UYU43">
        <f t="shared" si="272"/>
        <v>0</v>
      </c>
      <c r="UYV43">
        <f t="shared" si="272"/>
        <v>0</v>
      </c>
      <c r="UYW43">
        <f t="shared" si="272"/>
        <v>0</v>
      </c>
      <c r="UYX43">
        <f t="shared" si="272"/>
        <v>0</v>
      </c>
      <c r="UYY43">
        <f t="shared" si="272"/>
        <v>0</v>
      </c>
      <c r="UYZ43">
        <f t="shared" si="272"/>
        <v>0</v>
      </c>
      <c r="UZA43">
        <f t="shared" si="272"/>
        <v>0</v>
      </c>
      <c r="UZB43">
        <f t="shared" si="272"/>
        <v>0</v>
      </c>
      <c r="UZC43">
        <f t="shared" si="272"/>
        <v>0</v>
      </c>
      <c r="UZD43">
        <f t="shared" si="272"/>
        <v>0</v>
      </c>
      <c r="UZE43">
        <f t="shared" si="272"/>
        <v>0</v>
      </c>
      <c r="UZF43">
        <f t="shared" si="272"/>
        <v>0</v>
      </c>
      <c r="UZG43">
        <f t="shared" si="272"/>
        <v>0</v>
      </c>
      <c r="UZH43">
        <f t="shared" si="272"/>
        <v>0</v>
      </c>
      <c r="UZI43">
        <f t="shared" si="272"/>
        <v>0</v>
      </c>
      <c r="UZJ43">
        <f t="shared" si="272"/>
        <v>0</v>
      </c>
      <c r="UZK43">
        <f t="shared" si="272"/>
        <v>0</v>
      </c>
      <c r="UZL43">
        <f t="shared" si="272"/>
        <v>0</v>
      </c>
      <c r="UZM43">
        <f t="shared" si="272"/>
        <v>0</v>
      </c>
      <c r="UZN43">
        <f t="shared" si="272"/>
        <v>0</v>
      </c>
      <c r="UZO43">
        <f t="shared" si="272"/>
        <v>0</v>
      </c>
      <c r="UZP43">
        <f t="shared" si="272"/>
        <v>0</v>
      </c>
      <c r="UZQ43">
        <f t="shared" si="272"/>
        <v>0</v>
      </c>
      <c r="UZR43">
        <f t="shared" si="272"/>
        <v>0</v>
      </c>
      <c r="UZS43">
        <f t="shared" si="272"/>
        <v>0</v>
      </c>
      <c r="UZT43">
        <f t="shared" si="272"/>
        <v>0</v>
      </c>
      <c r="UZU43">
        <f t="shared" si="272"/>
        <v>0</v>
      </c>
      <c r="UZV43">
        <f t="shared" si="272"/>
        <v>0</v>
      </c>
      <c r="UZW43">
        <f t="shared" si="272"/>
        <v>0</v>
      </c>
      <c r="UZX43">
        <f t="shared" si="272"/>
        <v>0</v>
      </c>
      <c r="UZY43">
        <f t="shared" si="272"/>
        <v>0</v>
      </c>
      <c r="UZZ43">
        <f t="shared" si="272"/>
        <v>0</v>
      </c>
      <c r="VAA43">
        <f t="shared" si="272"/>
        <v>0</v>
      </c>
      <c r="VAB43">
        <f t="shared" si="272"/>
        <v>0</v>
      </c>
      <c r="VAC43">
        <f t="shared" si="272"/>
        <v>0</v>
      </c>
      <c r="VAD43">
        <f t="shared" si="272"/>
        <v>0</v>
      </c>
      <c r="VAE43">
        <f t="shared" si="272"/>
        <v>0</v>
      </c>
      <c r="VAF43">
        <f t="shared" si="272"/>
        <v>0</v>
      </c>
      <c r="VAG43">
        <f t="shared" si="272"/>
        <v>0</v>
      </c>
      <c r="VAH43">
        <f t="shared" si="272"/>
        <v>0</v>
      </c>
      <c r="VAI43">
        <f t="shared" si="272"/>
        <v>0</v>
      </c>
      <c r="VAJ43">
        <f t="shared" si="272"/>
        <v>0</v>
      </c>
      <c r="VAK43">
        <f t="shared" si="272"/>
        <v>0</v>
      </c>
      <c r="VAL43">
        <f t="shared" si="273"/>
        <v>0</v>
      </c>
      <c r="VAM43">
        <f t="shared" si="273"/>
        <v>0</v>
      </c>
      <c r="VAN43">
        <f t="shared" si="273"/>
        <v>0</v>
      </c>
      <c r="VAO43">
        <f t="shared" si="273"/>
        <v>0</v>
      </c>
      <c r="VAP43">
        <f t="shared" si="273"/>
        <v>0</v>
      </c>
      <c r="VAQ43">
        <f t="shared" si="273"/>
        <v>0</v>
      </c>
      <c r="VAR43">
        <f t="shared" si="273"/>
        <v>0</v>
      </c>
      <c r="VAS43">
        <f t="shared" si="273"/>
        <v>0</v>
      </c>
      <c r="VAT43">
        <f t="shared" si="273"/>
        <v>0</v>
      </c>
      <c r="VAU43">
        <f t="shared" si="273"/>
        <v>0</v>
      </c>
      <c r="VAV43">
        <f t="shared" si="273"/>
        <v>0</v>
      </c>
      <c r="VAW43">
        <f t="shared" si="273"/>
        <v>0</v>
      </c>
      <c r="VAX43">
        <f t="shared" si="273"/>
        <v>0</v>
      </c>
      <c r="VAY43">
        <f t="shared" si="273"/>
        <v>0</v>
      </c>
      <c r="VAZ43">
        <f t="shared" si="273"/>
        <v>0</v>
      </c>
      <c r="VBA43">
        <f t="shared" si="273"/>
        <v>0</v>
      </c>
      <c r="VBB43">
        <f t="shared" si="273"/>
        <v>0</v>
      </c>
      <c r="VBC43">
        <f t="shared" si="273"/>
        <v>0</v>
      </c>
      <c r="VBD43">
        <f t="shared" si="273"/>
        <v>0</v>
      </c>
      <c r="VBE43">
        <f t="shared" si="273"/>
        <v>0</v>
      </c>
      <c r="VBF43">
        <f t="shared" si="273"/>
        <v>0</v>
      </c>
      <c r="VBG43">
        <f t="shared" si="273"/>
        <v>0</v>
      </c>
      <c r="VBH43">
        <f t="shared" si="273"/>
        <v>0</v>
      </c>
      <c r="VBI43">
        <f t="shared" si="273"/>
        <v>0</v>
      </c>
      <c r="VBJ43">
        <f t="shared" si="273"/>
        <v>0</v>
      </c>
      <c r="VBK43">
        <f t="shared" si="273"/>
        <v>0</v>
      </c>
      <c r="VBL43">
        <f t="shared" si="273"/>
        <v>0</v>
      </c>
      <c r="VBM43">
        <f t="shared" si="273"/>
        <v>0</v>
      </c>
      <c r="VBN43">
        <f t="shared" si="273"/>
        <v>0</v>
      </c>
      <c r="VBO43">
        <f t="shared" si="273"/>
        <v>0</v>
      </c>
      <c r="VBP43">
        <f t="shared" si="273"/>
        <v>0</v>
      </c>
      <c r="VBQ43">
        <f t="shared" si="273"/>
        <v>0</v>
      </c>
      <c r="VBR43">
        <f t="shared" si="273"/>
        <v>0</v>
      </c>
      <c r="VBS43">
        <f t="shared" si="273"/>
        <v>0</v>
      </c>
      <c r="VBT43">
        <f t="shared" si="273"/>
        <v>0</v>
      </c>
      <c r="VBU43">
        <f t="shared" si="273"/>
        <v>0</v>
      </c>
      <c r="VBV43">
        <f t="shared" si="273"/>
        <v>0</v>
      </c>
      <c r="VBW43">
        <f t="shared" si="273"/>
        <v>0</v>
      </c>
      <c r="VBX43">
        <f t="shared" si="273"/>
        <v>0</v>
      </c>
      <c r="VBY43">
        <f t="shared" si="273"/>
        <v>0</v>
      </c>
      <c r="VBZ43">
        <f t="shared" si="273"/>
        <v>0</v>
      </c>
      <c r="VCA43">
        <f t="shared" si="273"/>
        <v>0</v>
      </c>
      <c r="VCB43">
        <f t="shared" si="273"/>
        <v>0</v>
      </c>
      <c r="VCC43">
        <f t="shared" si="273"/>
        <v>0</v>
      </c>
      <c r="VCD43">
        <f t="shared" si="273"/>
        <v>0</v>
      </c>
      <c r="VCE43">
        <f t="shared" si="273"/>
        <v>0</v>
      </c>
      <c r="VCF43">
        <f t="shared" si="273"/>
        <v>0</v>
      </c>
      <c r="VCG43">
        <f t="shared" si="273"/>
        <v>0</v>
      </c>
      <c r="VCH43">
        <f t="shared" si="273"/>
        <v>0</v>
      </c>
      <c r="VCI43">
        <f t="shared" si="273"/>
        <v>0</v>
      </c>
      <c r="VCJ43">
        <f t="shared" si="273"/>
        <v>0</v>
      </c>
      <c r="VCK43">
        <f t="shared" si="273"/>
        <v>0</v>
      </c>
      <c r="VCL43">
        <f t="shared" si="273"/>
        <v>0</v>
      </c>
      <c r="VCM43">
        <f t="shared" si="273"/>
        <v>0</v>
      </c>
      <c r="VCN43">
        <f t="shared" si="273"/>
        <v>0</v>
      </c>
      <c r="VCO43">
        <f t="shared" si="273"/>
        <v>0</v>
      </c>
      <c r="VCP43">
        <f t="shared" si="273"/>
        <v>0</v>
      </c>
      <c r="VCQ43">
        <f t="shared" si="273"/>
        <v>0</v>
      </c>
      <c r="VCR43">
        <f t="shared" si="273"/>
        <v>0</v>
      </c>
      <c r="VCS43">
        <f t="shared" si="273"/>
        <v>0</v>
      </c>
      <c r="VCT43">
        <f t="shared" si="273"/>
        <v>0</v>
      </c>
      <c r="VCU43">
        <f t="shared" si="273"/>
        <v>0</v>
      </c>
      <c r="VCV43">
        <f t="shared" si="273"/>
        <v>0</v>
      </c>
      <c r="VCW43">
        <f t="shared" si="273"/>
        <v>0</v>
      </c>
      <c r="VCX43">
        <f t="shared" si="274"/>
        <v>0</v>
      </c>
      <c r="VCY43">
        <f t="shared" si="274"/>
        <v>0</v>
      </c>
      <c r="VCZ43">
        <f t="shared" si="274"/>
        <v>0</v>
      </c>
      <c r="VDA43">
        <f t="shared" si="274"/>
        <v>0</v>
      </c>
      <c r="VDB43">
        <f t="shared" si="274"/>
        <v>0</v>
      </c>
      <c r="VDC43">
        <f t="shared" si="274"/>
        <v>0</v>
      </c>
      <c r="VDD43">
        <f t="shared" si="274"/>
        <v>0</v>
      </c>
      <c r="VDE43">
        <f t="shared" si="274"/>
        <v>0</v>
      </c>
      <c r="VDF43">
        <f t="shared" si="274"/>
        <v>0</v>
      </c>
      <c r="VDG43">
        <f t="shared" si="274"/>
        <v>0</v>
      </c>
      <c r="VDH43">
        <f t="shared" si="274"/>
        <v>0</v>
      </c>
      <c r="VDI43">
        <f t="shared" si="274"/>
        <v>0</v>
      </c>
      <c r="VDJ43">
        <f t="shared" si="274"/>
        <v>0</v>
      </c>
      <c r="VDK43">
        <f t="shared" si="274"/>
        <v>0</v>
      </c>
      <c r="VDL43">
        <f t="shared" si="274"/>
        <v>0</v>
      </c>
      <c r="VDM43">
        <f t="shared" si="274"/>
        <v>0</v>
      </c>
      <c r="VDN43">
        <f t="shared" si="274"/>
        <v>0</v>
      </c>
      <c r="VDO43">
        <f t="shared" si="274"/>
        <v>0</v>
      </c>
      <c r="VDP43">
        <f t="shared" si="274"/>
        <v>0</v>
      </c>
      <c r="VDQ43">
        <f t="shared" si="274"/>
        <v>0</v>
      </c>
      <c r="VDR43">
        <f t="shared" si="274"/>
        <v>0</v>
      </c>
      <c r="VDS43">
        <f t="shared" si="274"/>
        <v>0</v>
      </c>
      <c r="VDT43">
        <f t="shared" si="274"/>
        <v>0</v>
      </c>
      <c r="VDU43">
        <f t="shared" si="274"/>
        <v>0</v>
      </c>
      <c r="VDV43">
        <f t="shared" si="274"/>
        <v>0</v>
      </c>
      <c r="VDW43">
        <f t="shared" si="274"/>
        <v>0</v>
      </c>
      <c r="VDX43">
        <f t="shared" si="274"/>
        <v>0</v>
      </c>
      <c r="VDY43">
        <f t="shared" si="274"/>
        <v>0</v>
      </c>
      <c r="VDZ43">
        <f t="shared" si="274"/>
        <v>0</v>
      </c>
      <c r="VEA43">
        <f t="shared" si="274"/>
        <v>0</v>
      </c>
      <c r="VEB43">
        <f t="shared" si="274"/>
        <v>0</v>
      </c>
      <c r="VEC43">
        <f t="shared" si="274"/>
        <v>0</v>
      </c>
      <c r="VED43">
        <f t="shared" si="274"/>
        <v>0</v>
      </c>
      <c r="VEE43">
        <f t="shared" si="274"/>
        <v>0</v>
      </c>
      <c r="VEF43">
        <f t="shared" si="274"/>
        <v>0</v>
      </c>
      <c r="VEG43">
        <f t="shared" si="274"/>
        <v>0</v>
      </c>
      <c r="VEH43">
        <f t="shared" si="274"/>
        <v>0</v>
      </c>
      <c r="VEI43">
        <f t="shared" si="274"/>
        <v>0</v>
      </c>
      <c r="VEJ43">
        <f t="shared" si="274"/>
        <v>0</v>
      </c>
      <c r="VEK43">
        <f t="shared" si="274"/>
        <v>0</v>
      </c>
      <c r="VEL43">
        <f t="shared" si="274"/>
        <v>0</v>
      </c>
      <c r="VEM43">
        <f t="shared" si="274"/>
        <v>0</v>
      </c>
      <c r="VEN43">
        <f t="shared" si="274"/>
        <v>0</v>
      </c>
      <c r="VEO43">
        <f t="shared" si="274"/>
        <v>0</v>
      </c>
      <c r="VEP43">
        <f t="shared" si="274"/>
        <v>0</v>
      </c>
      <c r="VEQ43">
        <f t="shared" si="274"/>
        <v>0</v>
      </c>
      <c r="VER43">
        <f t="shared" si="274"/>
        <v>0</v>
      </c>
      <c r="VES43">
        <f t="shared" si="274"/>
        <v>0</v>
      </c>
      <c r="VET43">
        <f t="shared" si="274"/>
        <v>0</v>
      </c>
      <c r="VEU43">
        <f t="shared" si="274"/>
        <v>0</v>
      </c>
      <c r="VEV43">
        <f t="shared" si="274"/>
        <v>0</v>
      </c>
      <c r="VEW43">
        <f t="shared" si="274"/>
        <v>0</v>
      </c>
      <c r="VEX43">
        <f t="shared" si="274"/>
        <v>0</v>
      </c>
      <c r="VEY43">
        <f t="shared" si="274"/>
        <v>0</v>
      </c>
      <c r="VEZ43">
        <f t="shared" si="274"/>
        <v>0</v>
      </c>
      <c r="VFA43">
        <f t="shared" si="274"/>
        <v>0</v>
      </c>
      <c r="VFB43">
        <f t="shared" si="274"/>
        <v>0</v>
      </c>
      <c r="VFC43">
        <f t="shared" si="274"/>
        <v>0</v>
      </c>
      <c r="VFD43">
        <f t="shared" si="274"/>
        <v>0</v>
      </c>
      <c r="VFE43">
        <f t="shared" si="274"/>
        <v>0</v>
      </c>
      <c r="VFF43">
        <f t="shared" si="274"/>
        <v>0</v>
      </c>
      <c r="VFG43">
        <f t="shared" si="274"/>
        <v>0</v>
      </c>
      <c r="VFH43">
        <f t="shared" si="274"/>
        <v>0</v>
      </c>
      <c r="VFI43">
        <f t="shared" si="274"/>
        <v>0</v>
      </c>
      <c r="VFJ43">
        <f t="shared" si="275"/>
        <v>0</v>
      </c>
      <c r="VFK43">
        <f t="shared" si="275"/>
        <v>0</v>
      </c>
      <c r="VFL43">
        <f t="shared" si="275"/>
        <v>0</v>
      </c>
      <c r="VFM43">
        <f t="shared" si="275"/>
        <v>0</v>
      </c>
      <c r="VFN43">
        <f t="shared" si="275"/>
        <v>0</v>
      </c>
      <c r="VFO43">
        <f t="shared" si="275"/>
        <v>0</v>
      </c>
      <c r="VFP43">
        <f t="shared" si="275"/>
        <v>0</v>
      </c>
      <c r="VFQ43">
        <f t="shared" si="275"/>
        <v>0</v>
      </c>
      <c r="VFR43">
        <f t="shared" si="275"/>
        <v>0</v>
      </c>
      <c r="VFS43">
        <f t="shared" si="275"/>
        <v>0</v>
      </c>
      <c r="VFT43">
        <f t="shared" si="275"/>
        <v>0</v>
      </c>
      <c r="VFU43">
        <f t="shared" si="275"/>
        <v>0</v>
      </c>
      <c r="VFV43">
        <f t="shared" si="275"/>
        <v>0</v>
      </c>
      <c r="VFW43">
        <f t="shared" si="275"/>
        <v>0</v>
      </c>
      <c r="VFX43">
        <f t="shared" si="275"/>
        <v>0</v>
      </c>
      <c r="VFY43">
        <f t="shared" si="275"/>
        <v>0</v>
      </c>
      <c r="VFZ43">
        <f t="shared" si="275"/>
        <v>0</v>
      </c>
      <c r="VGA43">
        <f t="shared" si="275"/>
        <v>0</v>
      </c>
      <c r="VGB43">
        <f t="shared" si="275"/>
        <v>0</v>
      </c>
      <c r="VGC43">
        <f t="shared" si="275"/>
        <v>0</v>
      </c>
      <c r="VGD43">
        <f t="shared" si="275"/>
        <v>0</v>
      </c>
      <c r="VGE43">
        <f t="shared" si="275"/>
        <v>0</v>
      </c>
      <c r="VGF43">
        <f t="shared" si="275"/>
        <v>0</v>
      </c>
      <c r="VGG43">
        <f t="shared" si="275"/>
        <v>0</v>
      </c>
      <c r="VGH43">
        <f t="shared" si="275"/>
        <v>0</v>
      </c>
      <c r="VGI43">
        <f t="shared" si="275"/>
        <v>0</v>
      </c>
      <c r="VGJ43">
        <f t="shared" si="275"/>
        <v>0</v>
      </c>
      <c r="VGK43">
        <f t="shared" si="275"/>
        <v>0</v>
      </c>
      <c r="VGL43">
        <f t="shared" si="275"/>
        <v>0</v>
      </c>
      <c r="VGM43">
        <f t="shared" si="275"/>
        <v>0</v>
      </c>
      <c r="VGN43">
        <f t="shared" si="275"/>
        <v>0</v>
      </c>
      <c r="VGO43">
        <f t="shared" si="275"/>
        <v>0</v>
      </c>
      <c r="VGP43">
        <f t="shared" si="275"/>
        <v>0</v>
      </c>
      <c r="VGQ43">
        <f t="shared" si="275"/>
        <v>0</v>
      </c>
      <c r="VGR43">
        <f t="shared" si="275"/>
        <v>0</v>
      </c>
      <c r="VGS43">
        <f t="shared" si="275"/>
        <v>0</v>
      </c>
      <c r="VGT43">
        <f t="shared" si="275"/>
        <v>0</v>
      </c>
      <c r="VGU43">
        <f t="shared" si="275"/>
        <v>0</v>
      </c>
      <c r="VGV43">
        <f t="shared" si="275"/>
        <v>0</v>
      </c>
      <c r="VGW43">
        <f t="shared" si="275"/>
        <v>0</v>
      </c>
      <c r="VGX43">
        <f t="shared" si="275"/>
        <v>0</v>
      </c>
      <c r="VGY43">
        <f t="shared" si="275"/>
        <v>0</v>
      </c>
      <c r="VGZ43">
        <f t="shared" si="275"/>
        <v>0</v>
      </c>
      <c r="VHA43">
        <f t="shared" si="275"/>
        <v>0</v>
      </c>
      <c r="VHB43">
        <f t="shared" si="275"/>
        <v>0</v>
      </c>
      <c r="VHC43">
        <f t="shared" si="275"/>
        <v>0</v>
      </c>
      <c r="VHD43">
        <f t="shared" si="275"/>
        <v>0</v>
      </c>
      <c r="VHE43">
        <f t="shared" si="275"/>
        <v>0</v>
      </c>
      <c r="VHF43">
        <f t="shared" si="275"/>
        <v>0</v>
      </c>
      <c r="VHG43">
        <f t="shared" si="275"/>
        <v>0</v>
      </c>
      <c r="VHH43">
        <f t="shared" si="275"/>
        <v>0</v>
      </c>
      <c r="VHI43">
        <f t="shared" si="275"/>
        <v>0</v>
      </c>
      <c r="VHJ43">
        <f t="shared" si="275"/>
        <v>0</v>
      </c>
      <c r="VHK43">
        <f t="shared" si="275"/>
        <v>0</v>
      </c>
      <c r="VHL43">
        <f t="shared" si="275"/>
        <v>0</v>
      </c>
      <c r="VHM43">
        <f t="shared" si="275"/>
        <v>0</v>
      </c>
      <c r="VHN43">
        <f t="shared" si="275"/>
        <v>0</v>
      </c>
      <c r="VHO43">
        <f t="shared" si="275"/>
        <v>0</v>
      </c>
      <c r="VHP43">
        <f t="shared" si="275"/>
        <v>0</v>
      </c>
      <c r="VHQ43">
        <f t="shared" si="275"/>
        <v>0</v>
      </c>
      <c r="VHR43">
        <f t="shared" si="275"/>
        <v>0</v>
      </c>
      <c r="VHS43">
        <f t="shared" si="275"/>
        <v>0</v>
      </c>
      <c r="VHT43">
        <f t="shared" si="275"/>
        <v>0</v>
      </c>
      <c r="VHU43">
        <f t="shared" si="275"/>
        <v>0</v>
      </c>
      <c r="VHV43">
        <f t="shared" si="276"/>
        <v>0</v>
      </c>
      <c r="VHW43">
        <f t="shared" si="276"/>
        <v>0</v>
      </c>
      <c r="VHX43">
        <f t="shared" si="276"/>
        <v>0</v>
      </c>
      <c r="VHY43">
        <f t="shared" si="276"/>
        <v>0</v>
      </c>
      <c r="VHZ43">
        <f t="shared" si="276"/>
        <v>0</v>
      </c>
      <c r="VIA43">
        <f t="shared" si="276"/>
        <v>0</v>
      </c>
      <c r="VIB43">
        <f t="shared" si="276"/>
        <v>0</v>
      </c>
      <c r="VIC43">
        <f t="shared" si="276"/>
        <v>0</v>
      </c>
      <c r="VID43">
        <f t="shared" si="276"/>
        <v>0</v>
      </c>
      <c r="VIE43">
        <f t="shared" si="276"/>
        <v>0</v>
      </c>
      <c r="VIF43">
        <f t="shared" si="276"/>
        <v>0</v>
      </c>
      <c r="VIG43">
        <f t="shared" si="276"/>
        <v>0</v>
      </c>
      <c r="VIH43">
        <f t="shared" si="276"/>
        <v>0</v>
      </c>
      <c r="VII43">
        <f t="shared" si="276"/>
        <v>0</v>
      </c>
      <c r="VIJ43">
        <f t="shared" si="276"/>
        <v>0</v>
      </c>
      <c r="VIK43">
        <f t="shared" si="276"/>
        <v>0</v>
      </c>
      <c r="VIL43">
        <f t="shared" si="276"/>
        <v>0</v>
      </c>
      <c r="VIM43">
        <f t="shared" si="276"/>
        <v>0</v>
      </c>
      <c r="VIN43">
        <f t="shared" si="276"/>
        <v>0</v>
      </c>
      <c r="VIO43">
        <f t="shared" si="276"/>
        <v>0</v>
      </c>
      <c r="VIP43">
        <f t="shared" si="276"/>
        <v>0</v>
      </c>
      <c r="VIQ43">
        <f t="shared" si="276"/>
        <v>0</v>
      </c>
      <c r="VIR43">
        <f t="shared" si="276"/>
        <v>0</v>
      </c>
      <c r="VIS43">
        <f t="shared" si="276"/>
        <v>0</v>
      </c>
      <c r="VIT43">
        <f t="shared" si="276"/>
        <v>0</v>
      </c>
      <c r="VIU43">
        <f t="shared" si="276"/>
        <v>0</v>
      </c>
      <c r="VIV43">
        <f t="shared" si="276"/>
        <v>0</v>
      </c>
      <c r="VIW43">
        <f t="shared" si="276"/>
        <v>0</v>
      </c>
      <c r="VIX43">
        <f t="shared" si="276"/>
        <v>0</v>
      </c>
      <c r="VIY43">
        <f t="shared" si="276"/>
        <v>0</v>
      </c>
      <c r="VIZ43">
        <f t="shared" si="276"/>
        <v>0</v>
      </c>
      <c r="VJA43">
        <f t="shared" si="276"/>
        <v>0</v>
      </c>
      <c r="VJB43">
        <f t="shared" si="276"/>
        <v>0</v>
      </c>
      <c r="VJC43">
        <f t="shared" si="276"/>
        <v>0</v>
      </c>
      <c r="VJD43">
        <f t="shared" si="276"/>
        <v>0</v>
      </c>
      <c r="VJE43">
        <f t="shared" si="276"/>
        <v>0</v>
      </c>
      <c r="VJF43">
        <f t="shared" si="276"/>
        <v>0</v>
      </c>
      <c r="VJG43">
        <f t="shared" si="276"/>
        <v>0</v>
      </c>
      <c r="VJH43">
        <f t="shared" si="276"/>
        <v>0</v>
      </c>
      <c r="VJI43">
        <f t="shared" si="276"/>
        <v>0</v>
      </c>
      <c r="VJJ43">
        <f t="shared" si="276"/>
        <v>0</v>
      </c>
      <c r="VJK43">
        <f t="shared" si="276"/>
        <v>0</v>
      </c>
      <c r="VJL43">
        <f t="shared" si="276"/>
        <v>0</v>
      </c>
      <c r="VJM43">
        <f t="shared" si="276"/>
        <v>0</v>
      </c>
      <c r="VJN43">
        <f t="shared" si="276"/>
        <v>0</v>
      </c>
      <c r="VJO43">
        <f t="shared" si="276"/>
        <v>0</v>
      </c>
      <c r="VJP43">
        <f t="shared" si="276"/>
        <v>0</v>
      </c>
      <c r="VJQ43">
        <f t="shared" si="276"/>
        <v>0</v>
      </c>
      <c r="VJR43">
        <f t="shared" si="276"/>
        <v>0</v>
      </c>
      <c r="VJS43">
        <f t="shared" si="276"/>
        <v>0</v>
      </c>
      <c r="VJT43">
        <f t="shared" si="276"/>
        <v>0</v>
      </c>
      <c r="VJU43">
        <f t="shared" si="276"/>
        <v>0</v>
      </c>
      <c r="VJV43">
        <f t="shared" si="276"/>
        <v>0</v>
      </c>
      <c r="VJW43">
        <f t="shared" si="276"/>
        <v>0</v>
      </c>
      <c r="VJX43">
        <f t="shared" si="276"/>
        <v>0</v>
      </c>
      <c r="VJY43">
        <f t="shared" si="276"/>
        <v>0</v>
      </c>
      <c r="VJZ43">
        <f t="shared" si="276"/>
        <v>0</v>
      </c>
      <c r="VKA43">
        <f t="shared" si="276"/>
        <v>0</v>
      </c>
      <c r="VKB43">
        <f t="shared" si="276"/>
        <v>0</v>
      </c>
      <c r="VKC43">
        <f t="shared" si="276"/>
        <v>0</v>
      </c>
      <c r="VKD43">
        <f t="shared" si="276"/>
        <v>0</v>
      </c>
      <c r="VKE43">
        <f t="shared" si="276"/>
        <v>0</v>
      </c>
      <c r="VKF43">
        <f t="shared" si="276"/>
        <v>0</v>
      </c>
      <c r="VKG43">
        <f t="shared" si="276"/>
        <v>0</v>
      </c>
      <c r="VKH43">
        <f t="shared" si="277"/>
        <v>0</v>
      </c>
      <c r="VKI43">
        <f t="shared" si="277"/>
        <v>0</v>
      </c>
      <c r="VKJ43">
        <f t="shared" si="277"/>
        <v>0</v>
      </c>
      <c r="VKK43">
        <f t="shared" si="277"/>
        <v>0</v>
      </c>
      <c r="VKL43">
        <f t="shared" si="277"/>
        <v>0</v>
      </c>
      <c r="VKM43">
        <f t="shared" si="277"/>
        <v>0</v>
      </c>
      <c r="VKN43">
        <f t="shared" si="277"/>
        <v>0</v>
      </c>
      <c r="VKO43">
        <f t="shared" si="277"/>
        <v>0</v>
      </c>
      <c r="VKP43">
        <f t="shared" si="277"/>
        <v>0</v>
      </c>
      <c r="VKQ43">
        <f t="shared" si="277"/>
        <v>0</v>
      </c>
      <c r="VKR43">
        <f t="shared" si="277"/>
        <v>0</v>
      </c>
      <c r="VKS43">
        <f t="shared" si="277"/>
        <v>0</v>
      </c>
      <c r="VKT43">
        <f t="shared" si="277"/>
        <v>0</v>
      </c>
      <c r="VKU43">
        <f t="shared" si="277"/>
        <v>0</v>
      </c>
      <c r="VKV43">
        <f t="shared" si="277"/>
        <v>0</v>
      </c>
      <c r="VKW43">
        <f t="shared" si="277"/>
        <v>0</v>
      </c>
      <c r="VKX43">
        <f t="shared" si="277"/>
        <v>0</v>
      </c>
      <c r="VKY43">
        <f t="shared" si="277"/>
        <v>0</v>
      </c>
      <c r="VKZ43">
        <f t="shared" si="277"/>
        <v>0</v>
      </c>
      <c r="VLA43">
        <f t="shared" si="277"/>
        <v>0</v>
      </c>
      <c r="VLB43">
        <f t="shared" si="277"/>
        <v>0</v>
      </c>
      <c r="VLC43">
        <f t="shared" si="277"/>
        <v>0</v>
      </c>
      <c r="VLD43">
        <f t="shared" si="277"/>
        <v>0</v>
      </c>
      <c r="VLE43">
        <f t="shared" si="277"/>
        <v>0</v>
      </c>
      <c r="VLF43">
        <f t="shared" si="277"/>
        <v>0</v>
      </c>
      <c r="VLG43">
        <f t="shared" si="277"/>
        <v>0</v>
      </c>
      <c r="VLH43">
        <f t="shared" si="277"/>
        <v>0</v>
      </c>
      <c r="VLI43">
        <f t="shared" si="277"/>
        <v>0</v>
      </c>
      <c r="VLJ43">
        <f t="shared" si="277"/>
        <v>0</v>
      </c>
      <c r="VLK43">
        <f t="shared" si="277"/>
        <v>0</v>
      </c>
      <c r="VLL43">
        <f t="shared" si="277"/>
        <v>0</v>
      </c>
      <c r="VLM43">
        <f t="shared" si="277"/>
        <v>0</v>
      </c>
      <c r="VLN43">
        <f t="shared" si="277"/>
        <v>0</v>
      </c>
      <c r="VLO43">
        <f t="shared" si="277"/>
        <v>0</v>
      </c>
      <c r="VLP43">
        <f t="shared" si="277"/>
        <v>0</v>
      </c>
      <c r="VLQ43">
        <f t="shared" si="277"/>
        <v>0</v>
      </c>
      <c r="VLR43">
        <f t="shared" si="277"/>
        <v>0</v>
      </c>
      <c r="VLS43">
        <f t="shared" si="277"/>
        <v>0</v>
      </c>
      <c r="VLT43">
        <f t="shared" si="277"/>
        <v>0</v>
      </c>
      <c r="VLU43">
        <f t="shared" si="277"/>
        <v>0</v>
      </c>
      <c r="VLV43">
        <f t="shared" si="277"/>
        <v>0</v>
      </c>
      <c r="VLW43">
        <f t="shared" si="277"/>
        <v>0</v>
      </c>
      <c r="VLX43">
        <f t="shared" si="277"/>
        <v>0</v>
      </c>
      <c r="VLY43">
        <f t="shared" si="277"/>
        <v>0</v>
      </c>
      <c r="VLZ43">
        <f t="shared" si="277"/>
        <v>0</v>
      </c>
      <c r="VMA43">
        <f t="shared" si="277"/>
        <v>0</v>
      </c>
      <c r="VMB43">
        <f t="shared" si="277"/>
        <v>0</v>
      </c>
      <c r="VMC43">
        <f t="shared" si="277"/>
        <v>0</v>
      </c>
      <c r="VMD43">
        <f t="shared" si="277"/>
        <v>0</v>
      </c>
      <c r="VME43">
        <f t="shared" si="277"/>
        <v>0</v>
      </c>
      <c r="VMF43">
        <f t="shared" si="277"/>
        <v>0</v>
      </c>
      <c r="VMG43">
        <f t="shared" si="277"/>
        <v>0</v>
      </c>
      <c r="VMH43">
        <f t="shared" si="277"/>
        <v>0</v>
      </c>
      <c r="VMI43">
        <f t="shared" si="277"/>
        <v>0</v>
      </c>
      <c r="VMJ43">
        <f t="shared" si="277"/>
        <v>0</v>
      </c>
      <c r="VMK43">
        <f t="shared" si="277"/>
        <v>0</v>
      </c>
      <c r="VML43">
        <f t="shared" si="277"/>
        <v>0</v>
      </c>
      <c r="VMM43">
        <f t="shared" si="277"/>
        <v>0</v>
      </c>
      <c r="VMN43">
        <f t="shared" si="277"/>
        <v>0</v>
      </c>
      <c r="VMO43">
        <f t="shared" si="277"/>
        <v>0</v>
      </c>
      <c r="VMP43">
        <f t="shared" si="277"/>
        <v>0</v>
      </c>
      <c r="VMQ43">
        <f t="shared" si="277"/>
        <v>0</v>
      </c>
      <c r="VMR43">
        <f t="shared" si="277"/>
        <v>0</v>
      </c>
      <c r="VMS43">
        <f t="shared" si="277"/>
        <v>0</v>
      </c>
      <c r="VMT43">
        <f t="shared" si="278"/>
        <v>0</v>
      </c>
      <c r="VMU43">
        <f t="shared" si="278"/>
        <v>0</v>
      </c>
      <c r="VMV43">
        <f t="shared" si="278"/>
        <v>0</v>
      </c>
      <c r="VMW43">
        <f t="shared" si="278"/>
        <v>0</v>
      </c>
      <c r="VMX43">
        <f t="shared" si="278"/>
        <v>0</v>
      </c>
      <c r="VMY43">
        <f t="shared" si="278"/>
        <v>0</v>
      </c>
      <c r="VMZ43">
        <f t="shared" si="278"/>
        <v>0</v>
      </c>
      <c r="VNA43">
        <f t="shared" si="278"/>
        <v>0</v>
      </c>
      <c r="VNB43">
        <f t="shared" si="278"/>
        <v>0</v>
      </c>
      <c r="VNC43">
        <f t="shared" si="278"/>
        <v>0</v>
      </c>
      <c r="VND43">
        <f t="shared" si="278"/>
        <v>0</v>
      </c>
      <c r="VNE43">
        <f t="shared" si="278"/>
        <v>0</v>
      </c>
      <c r="VNF43">
        <f t="shared" si="278"/>
        <v>0</v>
      </c>
      <c r="VNG43">
        <f t="shared" si="278"/>
        <v>0</v>
      </c>
      <c r="VNH43">
        <f t="shared" si="278"/>
        <v>0</v>
      </c>
      <c r="VNI43">
        <f t="shared" si="278"/>
        <v>0</v>
      </c>
      <c r="VNJ43">
        <f t="shared" si="278"/>
        <v>0</v>
      </c>
      <c r="VNK43">
        <f t="shared" si="278"/>
        <v>0</v>
      </c>
      <c r="VNL43">
        <f t="shared" si="278"/>
        <v>0</v>
      </c>
      <c r="VNM43">
        <f t="shared" si="278"/>
        <v>0</v>
      </c>
      <c r="VNN43">
        <f t="shared" si="278"/>
        <v>0</v>
      </c>
      <c r="VNO43">
        <f t="shared" si="278"/>
        <v>0</v>
      </c>
      <c r="VNP43">
        <f t="shared" si="278"/>
        <v>0</v>
      </c>
      <c r="VNQ43">
        <f t="shared" si="278"/>
        <v>0</v>
      </c>
      <c r="VNR43">
        <f t="shared" si="278"/>
        <v>0</v>
      </c>
      <c r="VNS43">
        <f t="shared" si="278"/>
        <v>0</v>
      </c>
      <c r="VNT43">
        <f t="shared" si="278"/>
        <v>0</v>
      </c>
      <c r="VNU43">
        <f t="shared" si="278"/>
        <v>0</v>
      </c>
      <c r="VNV43">
        <f t="shared" si="278"/>
        <v>0</v>
      </c>
      <c r="VNW43">
        <f t="shared" si="278"/>
        <v>0</v>
      </c>
      <c r="VNX43">
        <f t="shared" si="278"/>
        <v>0</v>
      </c>
      <c r="VNY43">
        <f t="shared" si="278"/>
        <v>0</v>
      </c>
      <c r="VNZ43">
        <f t="shared" si="278"/>
        <v>0</v>
      </c>
      <c r="VOA43">
        <f t="shared" si="278"/>
        <v>0</v>
      </c>
      <c r="VOB43">
        <f t="shared" si="278"/>
        <v>0</v>
      </c>
      <c r="VOC43">
        <f t="shared" si="278"/>
        <v>0</v>
      </c>
      <c r="VOD43">
        <f t="shared" si="278"/>
        <v>0</v>
      </c>
      <c r="VOE43">
        <f t="shared" si="278"/>
        <v>0</v>
      </c>
      <c r="VOF43">
        <f t="shared" si="278"/>
        <v>0</v>
      </c>
      <c r="VOG43">
        <f t="shared" si="278"/>
        <v>0</v>
      </c>
      <c r="VOH43">
        <f t="shared" si="278"/>
        <v>0</v>
      </c>
      <c r="VOI43">
        <f t="shared" si="278"/>
        <v>0</v>
      </c>
      <c r="VOJ43">
        <f t="shared" si="278"/>
        <v>0</v>
      </c>
      <c r="VOK43">
        <f t="shared" si="278"/>
        <v>0</v>
      </c>
      <c r="VOL43">
        <f t="shared" si="278"/>
        <v>0</v>
      </c>
      <c r="VOM43">
        <f t="shared" si="278"/>
        <v>0</v>
      </c>
      <c r="VON43">
        <f t="shared" si="278"/>
        <v>0</v>
      </c>
      <c r="VOO43">
        <f t="shared" si="278"/>
        <v>0</v>
      </c>
      <c r="VOP43">
        <f t="shared" si="278"/>
        <v>0</v>
      </c>
      <c r="VOQ43">
        <f t="shared" si="278"/>
        <v>0</v>
      </c>
      <c r="VOR43">
        <f t="shared" si="278"/>
        <v>0</v>
      </c>
      <c r="VOS43">
        <f t="shared" si="278"/>
        <v>0</v>
      </c>
      <c r="VOT43">
        <f t="shared" si="278"/>
        <v>0</v>
      </c>
      <c r="VOU43">
        <f t="shared" si="278"/>
        <v>0</v>
      </c>
      <c r="VOV43">
        <f t="shared" si="278"/>
        <v>0</v>
      </c>
      <c r="VOW43">
        <f t="shared" si="278"/>
        <v>0</v>
      </c>
      <c r="VOX43">
        <f t="shared" si="278"/>
        <v>0</v>
      </c>
      <c r="VOY43">
        <f t="shared" si="278"/>
        <v>0</v>
      </c>
      <c r="VOZ43">
        <f t="shared" si="278"/>
        <v>0</v>
      </c>
      <c r="VPA43">
        <f t="shared" si="278"/>
        <v>0</v>
      </c>
      <c r="VPB43">
        <f t="shared" si="278"/>
        <v>0</v>
      </c>
      <c r="VPC43">
        <f t="shared" si="278"/>
        <v>0</v>
      </c>
      <c r="VPD43">
        <f t="shared" si="278"/>
        <v>0</v>
      </c>
      <c r="VPE43">
        <f t="shared" si="278"/>
        <v>0</v>
      </c>
      <c r="VPF43">
        <f t="shared" si="279"/>
        <v>0</v>
      </c>
      <c r="VPG43">
        <f t="shared" si="279"/>
        <v>0</v>
      </c>
      <c r="VPH43">
        <f t="shared" si="279"/>
        <v>0</v>
      </c>
      <c r="VPI43">
        <f t="shared" si="279"/>
        <v>0</v>
      </c>
      <c r="VPJ43">
        <f t="shared" si="279"/>
        <v>0</v>
      </c>
      <c r="VPK43">
        <f t="shared" si="279"/>
        <v>0</v>
      </c>
      <c r="VPL43">
        <f t="shared" si="279"/>
        <v>0</v>
      </c>
      <c r="VPM43">
        <f t="shared" si="279"/>
        <v>0</v>
      </c>
      <c r="VPN43">
        <f t="shared" si="279"/>
        <v>0</v>
      </c>
      <c r="VPO43">
        <f t="shared" si="279"/>
        <v>0</v>
      </c>
      <c r="VPP43">
        <f t="shared" si="279"/>
        <v>0</v>
      </c>
      <c r="VPQ43">
        <f t="shared" si="279"/>
        <v>0</v>
      </c>
      <c r="VPR43">
        <f t="shared" si="279"/>
        <v>0</v>
      </c>
      <c r="VPS43">
        <f t="shared" si="279"/>
        <v>0</v>
      </c>
      <c r="VPT43">
        <f t="shared" si="279"/>
        <v>0</v>
      </c>
      <c r="VPU43">
        <f t="shared" si="279"/>
        <v>0</v>
      </c>
      <c r="VPV43">
        <f t="shared" si="279"/>
        <v>0</v>
      </c>
      <c r="VPW43">
        <f t="shared" si="279"/>
        <v>0</v>
      </c>
      <c r="VPX43">
        <f t="shared" si="279"/>
        <v>0</v>
      </c>
      <c r="VPY43">
        <f t="shared" si="279"/>
        <v>0</v>
      </c>
      <c r="VPZ43">
        <f t="shared" si="279"/>
        <v>0</v>
      </c>
      <c r="VQA43">
        <f t="shared" si="279"/>
        <v>0</v>
      </c>
      <c r="VQB43">
        <f t="shared" si="279"/>
        <v>0</v>
      </c>
      <c r="VQC43">
        <f t="shared" si="279"/>
        <v>0</v>
      </c>
      <c r="VQD43">
        <f t="shared" si="279"/>
        <v>0</v>
      </c>
      <c r="VQE43">
        <f t="shared" si="279"/>
        <v>0</v>
      </c>
      <c r="VQF43">
        <f t="shared" si="279"/>
        <v>0</v>
      </c>
      <c r="VQG43">
        <f t="shared" si="279"/>
        <v>0</v>
      </c>
      <c r="VQH43">
        <f t="shared" si="279"/>
        <v>0</v>
      </c>
      <c r="VQI43">
        <f t="shared" si="279"/>
        <v>0</v>
      </c>
      <c r="VQJ43">
        <f t="shared" si="279"/>
        <v>0</v>
      </c>
      <c r="VQK43">
        <f t="shared" si="279"/>
        <v>0</v>
      </c>
      <c r="VQL43">
        <f t="shared" si="279"/>
        <v>0</v>
      </c>
      <c r="VQM43">
        <f t="shared" si="279"/>
        <v>0</v>
      </c>
      <c r="VQN43">
        <f t="shared" si="279"/>
        <v>0</v>
      </c>
      <c r="VQO43">
        <f t="shared" si="279"/>
        <v>0</v>
      </c>
      <c r="VQP43">
        <f t="shared" si="279"/>
        <v>0</v>
      </c>
      <c r="VQQ43">
        <f t="shared" si="279"/>
        <v>0</v>
      </c>
      <c r="VQR43">
        <f t="shared" si="279"/>
        <v>0</v>
      </c>
      <c r="VQS43">
        <f t="shared" si="279"/>
        <v>0</v>
      </c>
      <c r="VQT43">
        <f t="shared" si="279"/>
        <v>0</v>
      </c>
      <c r="VQU43">
        <f t="shared" si="279"/>
        <v>0</v>
      </c>
      <c r="VQV43">
        <f t="shared" si="279"/>
        <v>0</v>
      </c>
      <c r="VQW43">
        <f t="shared" si="279"/>
        <v>0</v>
      </c>
      <c r="VQX43">
        <f t="shared" si="279"/>
        <v>0</v>
      </c>
      <c r="VQY43">
        <f t="shared" si="279"/>
        <v>0</v>
      </c>
      <c r="VQZ43">
        <f t="shared" si="279"/>
        <v>0</v>
      </c>
      <c r="VRA43">
        <f t="shared" si="279"/>
        <v>0</v>
      </c>
      <c r="VRB43">
        <f t="shared" si="279"/>
        <v>0</v>
      </c>
      <c r="VRC43">
        <f t="shared" si="279"/>
        <v>0</v>
      </c>
      <c r="VRD43">
        <f t="shared" si="279"/>
        <v>0</v>
      </c>
      <c r="VRE43">
        <f t="shared" si="279"/>
        <v>0</v>
      </c>
      <c r="VRF43">
        <f t="shared" si="279"/>
        <v>0</v>
      </c>
      <c r="VRG43">
        <f t="shared" si="279"/>
        <v>0</v>
      </c>
      <c r="VRH43">
        <f t="shared" si="279"/>
        <v>0</v>
      </c>
      <c r="VRI43">
        <f t="shared" si="279"/>
        <v>0</v>
      </c>
      <c r="VRJ43">
        <f t="shared" si="279"/>
        <v>0</v>
      </c>
      <c r="VRK43">
        <f t="shared" si="279"/>
        <v>0</v>
      </c>
      <c r="VRL43">
        <f t="shared" si="279"/>
        <v>0</v>
      </c>
      <c r="VRM43">
        <f t="shared" si="279"/>
        <v>0</v>
      </c>
      <c r="VRN43">
        <f t="shared" si="279"/>
        <v>0</v>
      </c>
      <c r="VRO43">
        <f t="shared" si="279"/>
        <v>0</v>
      </c>
      <c r="VRP43">
        <f t="shared" si="279"/>
        <v>0</v>
      </c>
      <c r="VRQ43">
        <f t="shared" si="279"/>
        <v>0</v>
      </c>
      <c r="VRR43">
        <f t="shared" si="280"/>
        <v>0</v>
      </c>
      <c r="VRS43">
        <f t="shared" si="280"/>
        <v>0</v>
      </c>
      <c r="VRT43">
        <f t="shared" si="280"/>
        <v>0</v>
      </c>
      <c r="VRU43">
        <f t="shared" si="280"/>
        <v>0</v>
      </c>
      <c r="VRV43">
        <f t="shared" si="280"/>
        <v>0</v>
      </c>
      <c r="VRW43">
        <f t="shared" si="280"/>
        <v>0</v>
      </c>
      <c r="VRX43">
        <f t="shared" si="280"/>
        <v>0</v>
      </c>
      <c r="VRY43">
        <f t="shared" si="280"/>
        <v>0</v>
      </c>
      <c r="VRZ43">
        <f t="shared" si="280"/>
        <v>0</v>
      </c>
      <c r="VSA43">
        <f t="shared" si="280"/>
        <v>0</v>
      </c>
      <c r="VSB43">
        <f t="shared" si="280"/>
        <v>0</v>
      </c>
      <c r="VSC43">
        <f t="shared" si="280"/>
        <v>0</v>
      </c>
      <c r="VSD43">
        <f t="shared" si="280"/>
        <v>0</v>
      </c>
      <c r="VSE43">
        <f t="shared" si="280"/>
        <v>0</v>
      </c>
      <c r="VSF43">
        <f t="shared" si="280"/>
        <v>0</v>
      </c>
      <c r="VSG43">
        <f t="shared" si="280"/>
        <v>0</v>
      </c>
      <c r="VSH43">
        <f t="shared" si="280"/>
        <v>0</v>
      </c>
      <c r="VSI43">
        <f t="shared" si="280"/>
        <v>0</v>
      </c>
      <c r="VSJ43">
        <f t="shared" si="280"/>
        <v>0</v>
      </c>
      <c r="VSK43">
        <f t="shared" si="280"/>
        <v>0</v>
      </c>
      <c r="VSL43">
        <f t="shared" si="280"/>
        <v>0</v>
      </c>
      <c r="VSM43">
        <f t="shared" si="280"/>
        <v>0</v>
      </c>
      <c r="VSN43">
        <f t="shared" si="280"/>
        <v>0</v>
      </c>
      <c r="VSO43">
        <f t="shared" si="280"/>
        <v>0</v>
      </c>
      <c r="VSP43">
        <f t="shared" si="280"/>
        <v>0</v>
      </c>
      <c r="VSQ43">
        <f t="shared" si="280"/>
        <v>0</v>
      </c>
      <c r="VSR43">
        <f t="shared" si="280"/>
        <v>0</v>
      </c>
      <c r="VSS43">
        <f t="shared" si="280"/>
        <v>0</v>
      </c>
      <c r="VST43">
        <f t="shared" si="280"/>
        <v>0</v>
      </c>
      <c r="VSU43">
        <f t="shared" si="280"/>
        <v>0</v>
      </c>
      <c r="VSV43">
        <f t="shared" si="280"/>
        <v>0</v>
      </c>
      <c r="VSW43">
        <f t="shared" si="280"/>
        <v>0</v>
      </c>
      <c r="VSX43">
        <f t="shared" si="280"/>
        <v>0</v>
      </c>
      <c r="VSY43">
        <f t="shared" si="280"/>
        <v>0</v>
      </c>
      <c r="VSZ43">
        <f t="shared" si="280"/>
        <v>0</v>
      </c>
      <c r="VTA43">
        <f t="shared" si="280"/>
        <v>0</v>
      </c>
      <c r="VTB43">
        <f t="shared" si="280"/>
        <v>0</v>
      </c>
      <c r="VTC43">
        <f t="shared" si="280"/>
        <v>0</v>
      </c>
      <c r="VTD43">
        <f t="shared" si="280"/>
        <v>0</v>
      </c>
      <c r="VTE43">
        <f t="shared" si="280"/>
        <v>0</v>
      </c>
      <c r="VTF43">
        <f t="shared" si="280"/>
        <v>0</v>
      </c>
      <c r="VTG43">
        <f t="shared" si="280"/>
        <v>0</v>
      </c>
      <c r="VTH43">
        <f t="shared" si="280"/>
        <v>0</v>
      </c>
      <c r="VTI43">
        <f t="shared" si="280"/>
        <v>0</v>
      </c>
      <c r="VTJ43">
        <f t="shared" si="280"/>
        <v>0</v>
      </c>
      <c r="VTK43">
        <f t="shared" si="280"/>
        <v>0</v>
      </c>
      <c r="VTL43">
        <f t="shared" si="280"/>
        <v>0</v>
      </c>
      <c r="VTM43">
        <f t="shared" si="280"/>
        <v>0</v>
      </c>
      <c r="VTN43">
        <f t="shared" si="280"/>
        <v>0</v>
      </c>
      <c r="VTO43">
        <f t="shared" si="280"/>
        <v>0</v>
      </c>
      <c r="VTP43">
        <f t="shared" si="280"/>
        <v>0</v>
      </c>
      <c r="VTQ43">
        <f t="shared" si="280"/>
        <v>0</v>
      </c>
      <c r="VTR43">
        <f t="shared" si="280"/>
        <v>0</v>
      </c>
      <c r="VTS43">
        <f t="shared" si="280"/>
        <v>0</v>
      </c>
      <c r="VTT43">
        <f t="shared" si="280"/>
        <v>0</v>
      </c>
      <c r="VTU43">
        <f t="shared" si="280"/>
        <v>0</v>
      </c>
      <c r="VTV43">
        <f t="shared" si="280"/>
        <v>0</v>
      </c>
      <c r="VTW43">
        <f t="shared" si="280"/>
        <v>0</v>
      </c>
      <c r="VTX43">
        <f t="shared" si="280"/>
        <v>0</v>
      </c>
      <c r="VTY43">
        <f t="shared" si="280"/>
        <v>0</v>
      </c>
      <c r="VTZ43">
        <f t="shared" si="280"/>
        <v>0</v>
      </c>
      <c r="VUA43">
        <f t="shared" si="280"/>
        <v>0</v>
      </c>
      <c r="VUB43">
        <f t="shared" si="280"/>
        <v>0</v>
      </c>
      <c r="VUC43">
        <f t="shared" si="280"/>
        <v>0</v>
      </c>
      <c r="VUD43">
        <f t="shared" si="281"/>
        <v>0</v>
      </c>
      <c r="VUE43">
        <f t="shared" si="281"/>
        <v>0</v>
      </c>
      <c r="VUF43">
        <f t="shared" si="281"/>
        <v>0</v>
      </c>
      <c r="VUG43">
        <f t="shared" si="281"/>
        <v>0</v>
      </c>
      <c r="VUH43">
        <f t="shared" si="281"/>
        <v>0</v>
      </c>
      <c r="VUI43">
        <f t="shared" si="281"/>
        <v>0</v>
      </c>
      <c r="VUJ43">
        <f t="shared" si="281"/>
        <v>0</v>
      </c>
      <c r="VUK43">
        <f t="shared" si="281"/>
        <v>0</v>
      </c>
      <c r="VUL43">
        <f t="shared" si="281"/>
        <v>0</v>
      </c>
      <c r="VUM43">
        <f t="shared" si="281"/>
        <v>0</v>
      </c>
      <c r="VUN43">
        <f t="shared" si="281"/>
        <v>0</v>
      </c>
      <c r="VUO43">
        <f t="shared" si="281"/>
        <v>0</v>
      </c>
      <c r="VUP43">
        <f t="shared" si="281"/>
        <v>0</v>
      </c>
      <c r="VUQ43">
        <f t="shared" si="281"/>
        <v>0</v>
      </c>
      <c r="VUR43">
        <f t="shared" si="281"/>
        <v>0</v>
      </c>
      <c r="VUS43">
        <f t="shared" si="281"/>
        <v>0</v>
      </c>
      <c r="VUT43">
        <f t="shared" si="281"/>
        <v>0</v>
      </c>
      <c r="VUU43">
        <f t="shared" si="281"/>
        <v>0</v>
      </c>
      <c r="VUV43">
        <f t="shared" si="281"/>
        <v>0</v>
      </c>
      <c r="VUW43">
        <f t="shared" si="281"/>
        <v>0</v>
      </c>
      <c r="VUX43">
        <f t="shared" si="281"/>
        <v>0</v>
      </c>
      <c r="VUY43">
        <f t="shared" si="281"/>
        <v>0</v>
      </c>
      <c r="VUZ43">
        <f t="shared" si="281"/>
        <v>0</v>
      </c>
      <c r="VVA43">
        <f t="shared" si="281"/>
        <v>0</v>
      </c>
      <c r="VVB43">
        <f t="shared" si="281"/>
        <v>0</v>
      </c>
      <c r="VVC43">
        <f t="shared" si="281"/>
        <v>0</v>
      </c>
      <c r="VVD43">
        <f t="shared" si="281"/>
        <v>0</v>
      </c>
      <c r="VVE43">
        <f t="shared" si="281"/>
        <v>0</v>
      </c>
      <c r="VVF43">
        <f t="shared" si="281"/>
        <v>0</v>
      </c>
      <c r="VVG43">
        <f t="shared" si="281"/>
        <v>0</v>
      </c>
      <c r="VVH43">
        <f t="shared" si="281"/>
        <v>0</v>
      </c>
      <c r="VVI43">
        <f t="shared" si="281"/>
        <v>0</v>
      </c>
      <c r="VVJ43">
        <f t="shared" si="281"/>
        <v>0</v>
      </c>
      <c r="VVK43">
        <f t="shared" si="281"/>
        <v>0</v>
      </c>
      <c r="VVL43">
        <f t="shared" si="281"/>
        <v>0</v>
      </c>
      <c r="VVM43">
        <f t="shared" si="281"/>
        <v>0</v>
      </c>
      <c r="VVN43">
        <f t="shared" si="281"/>
        <v>0</v>
      </c>
      <c r="VVO43">
        <f t="shared" si="281"/>
        <v>0</v>
      </c>
      <c r="VVP43">
        <f t="shared" si="281"/>
        <v>0</v>
      </c>
      <c r="VVQ43">
        <f t="shared" si="281"/>
        <v>0</v>
      </c>
      <c r="VVR43">
        <f t="shared" si="281"/>
        <v>0</v>
      </c>
      <c r="VVS43">
        <f t="shared" si="281"/>
        <v>0</v>
      </c>
      <c r="VVT43">
        <f t="shared" si="281"/>
        <v>0</v>
      </c>
      <c r="VVU43">
        <f t="shared" si="281"/>
        <v>0</v>
      </c>
      <c r="VVV43">
        <f t="shared" si="281"/>
        <v>0</v>
      </c>
      <c r="VVW43">
        <f t="shared" si="281"/>
        <v>0</v>
      </c>
      <c r="VVX43">
        <f t="shared" si="281"/>
        <v>0</v>
      </c>
      <c r="VVY43">
        <f t="shared" si="281"/>
        <v>0</v>
      </c>
      <c r="VVZ43">
        <f t="shared" si="281"/>
        <v>0</v>
      </c>
      <c r="VWA43">
        <f t="shared" si="281"/>
        <v>0</v>
      </c>
      <c r="VWB43">
        <f t="shared" si="281"/>
        <v>0</v>
      </c>
      <c r="VWC43">
        <f t="shared" si="281"/>
        <v>0</v>
      </c>
      <c r="VWD43">
        <f t="shared" si="281"/>
        <v>0</v>
      </c>
      <c r="VWE43">
        <f t="shared" si="281"/>
        <v>0</v>
      </c>
      <c r="VWF43">
        <f t="shared" si="281"/>
        <v>0</v>
      </c>
      <c r="VWG43">
        <f t="shared" si="281"/>
        <v>0</v>
      </c>
      <c r="VWH43">
        <f t="shared" si="281"/>
        <v>0</v>
      </c>
      <c r="VWI43">
        <f t="shared" si="281"/>
        <v>0</v>
      </c>
      <c r="VWJ43">
        <f t="shared" si="281"/>
        <v>0</v>
      </c>
      <c r="VWK43">
        <f t="shared" si="281"/>
        <v>0</v>
      </c>
      <c r="VWL43">
        <f t="shared" si="281"/>
        <v>0</v>
      </c>
      <c r="VWM43">
        <f t="shared" si="281"/>
        <v>0</v>
      </c>
      <c r="VWN43">
        <f t="shared" si="281"/>
        <v>0</v>
      </c>
      <c r="VWO43">
        <f t="shared" si="281"/>
        <v>0</v>
      </c>
      <c r="VWP43">
        <f t="shared" si="282"/>
        <v>0</v>
      </c>
      <c r="VWQ43">
        <f t="shared" si="282"/>
        <v>0</v>
      </c>
      <c r="VWR43">
        <f t="shared" si="282"/>
        <v>0</v>
      </c>
      <c r="VWS43">
        <f t="shared" si="282"/>
        <v>0</v>
      </c>
      <c r="VWT43">
        <f t="shared" si="282"/>
        <v>0</v>
      </c>
      <c r="VWU43">
        <f t="shared" si="282"/>
        <v>0</v>
      </c>
      <c r="VWV43">
        <f t="shared" si="282"/>
        <v>0</v>
      </c>
      <c r="VWW43">
        <f t="shared" si="282"/>
        <v>0</v>
      </c>
      <c r="VWX43">
        <f t="shared" si="282"/>
        <v>0</v>
      </c>
      <c r="VWY43">
        <f t="shared" si="282"/>
        <v>0</v>
      </c>
      <c r="VWZ43">
        <f t="shared" si="282"/>
        <v>0</v>
      </c>
      <c r="VXA43">
        <f t="shared" si="282"/>
        <v>0</v>
      </c>
      <c r="VXB43">
        <f t="shared" si="282"/>
        <v>0</v>
      </c>
      <c r="VXC43">
        <f t="shared" si="282"/>
        <v>0</v>
      </c>
      <c r="VXD43">
        <f t="shared" si="282"/>
        <v>0</v>
      </c>
      <c r="VXE43">
        <f t="shared" si="282"/>
        <v>0</v>
      </c>
      <c r="VXF43">
        <f t="shared" si="282"/>
        <v>0</v>
      </c>
      <c r="VXG43">
        <f t="shared" si="282"/>
        <v>0</v>
      </c>
      <c r="VXH43">
        <f t="shared" si="282"/>
        <v>0</v>
      </c>
      <c r="VXI43">
        <f t="shared" si="282"/>
        <v>0</v>
      </c>
      <c r="VXJ43">
        <f t="shared" si="282"/>
        <v>0</v>
      </c>
      <c r="VXK43">
        <f t="shared" si="282"/>
        <v>0</v>
      </c>
      <c r="VXL43">
        <f t="shared" si="282"/>
        <v>0</v>
      </c>
      <c r="VXM43">
        <f t="shared" si="282"/>
        <v>0</v>
      </c>
      <c r="VXN43">
        <f t="shared" si="282"/>
        <v>0</v>
      </c>
      <c r="VXO43">
        <f t="shared" si="282"/>
        <v>0</v>
      </c>
      <c r="VXP43">
        <f t="shared" si="282"/>
        <v>0</v>
      </c>
      <c r="VXQ43">
        <f t="shared" si="282"/>
        <v>0</v>
      </c>
      <c r="VXR43">
        <f t="shared" si="282"/>
        <v>0</v>
      </c>
      <c r="VXS43">
        <f t="shared" si="282"/>
        <v>0</v>
      </c>
      <c r="VXT43">
        <f t="shared" si="282"/>
        <v>0</v>
      </c>
      <c r="VXU43">
        <f t="shared" si="282"/>
        <v>0</v>
      </c>
      <c r="VXV43">
        <f t="shared" si="282"/>
        <v>0</v>
      </c>
      <c r="VXW43">
        <f t="shared" si="282"/>
        <v>0</v>
      </c>
      <c r="VXX43">
        <f t="shared" si="282"/>
        <v>0</v>
      </c>
      <c r="VXY43">
        <f t="shared" si="282"/>
        <v>0</v>
      </c>
      <c r="VXZ43">
        <f t="shared" si="282"/>
        <v>0</v>
      </c>
      <c r="VYA43">
        <f t="shared" si="282"/>
        <v>0</v>
      </c>
      <c r="VYB43">
        <f t="shared" si="282"/>
        <v>0</v>
      </c>
      <c r="VYC43">
        <f t="shared" si="282"/>
        <v>0</v>
      </c>
      <c r="VYD43">
        <f t="shared" si="282"/>
        <v>0</v>
      </c>
      <c r="VYE43">
        <f t="shared" si="282"/>
        <v>0</v>
      </c>
      <c r="VYF43">
        <f t="shared" si="282"/>
        <v>0</v>
      </c>
      <c r="VYG43">
        <f t="shared" si="282"/>
        <v>0</v>
      </c>
      <c r="VYH43">
        <f t="shared" si="282"/>
        <v>0</v>
      </c>
      <c r="VYI43">
        <f t="shared" si="282"/>
        <v>0</v>
      </c>
      <c r="VYJ43">
        <f t="shared" si="282"/>
        <v>0</v>
      </c>
      <c r="VYK43">
        <f t="shared" si="282"/>
        <v>0</v>
      </c>
      <c r="VYL43">
        <f t="shared" si="282"/>
        <v>0</v>
      </c>
      <c r="VYM43">
        <f t="shared" si="282"/>
        <v>0</v>
      </c>
      <c r="VYN43">
        <f t="shared" si="282"/>
        <v>0</v>
      </c>
      <c r="VYO43">
        <f t="shared" si="282"/>
        <v>0</v>
      </c>
      <c r="VYP43">
        <f t="shared" si="282"/>
        <v>0</v>
      </c>
      <c r="VYQ43">
        <f t="shared" si="282"/>
        <v>0</v>
      </c>
      <c r="VYR43">
        <f t="shared" si="282"/>
        <v>0</v>
      </c>
      <c r="VYS43">
        <f t="shared" si="282"/>
        <v>0</v>
      </c>
      <c r="VYT43">
        <f t="shared" si="282"/>
        <v>0</v>
      </c>
      <c r="VYU43">
        <f t="shared" si="282"/>
        <v>0</v>
      </c>
      <c r="VYV43">
        <f t="shared" si="282"/>
        <v>0</v>
      </c>
      <c r="VYW43">
        <f t="shared" si="282"/>
        <v>0</v>
      </c>
      <c r="VYX43">
        <f t="shared" si="282"/>
        <v>0</v>
      </c>
      <c r="VYY43">
        <f t="shared" si="282"/>
        <v>0</v>
      </c>
      <c r="VYZ43">
        <f t="shared" si="282"/>
        <v>0</v>
      </c>
      <c r="VZA43">
        <f t="shared" si="282"/>
        <v>0</v>
      </c>
      <c r="VZB43">
        <f t="shared" si="283"/>
        <v>0</v>
      </c>
      <c r="VZC43">
        <f t="shared" si="283"/>
        <v>0</v>
      </c>
      <c r="VZD43">
        <f t="shared" si="283"/>
        <v>0</v>
      </c>
      <c r="VZE43">
        <f t="shared" si="283"/>
        <v>0</v>
      </c>
      <c r="VZF43">
        <f t="shared" si="283"/>
        <v>0</v>
      </c>
      <c r="VZG43">
        <f t="shared" si="283"/>
        <v>0</v>
      </c>
      <c r="VZH43">
        <f t="shared" si="283"/>
        <v>0</v>
      </c>
      <c r="VZI43">
        <f t="shared" si="283"/>
        <v>0</v>
      </c>
      <c r="VZJ43">
        <f t="shared" si="283"/>
        <v>0</v>
      </c>
      <c r="VZK43">
        <f t="shared" si="283"/>
        <v>0</v>
      </c>
      <c r="VZL43">
        <f t="shared" si="283"/>
        <v>0</v>
      </c>
      <c r="VZM43">
        <f t="shared" si="283"/>
        <v>0</v>
      </c>
      <c r="VZN43">
        <f t="shared" si="283"/>
        <v>0</v>
      </c>
      <c r="VZO43">
        <f t="shared" si="283"/>
        <v>0</v>
      </c>
      <c r="VZP43">
        <f t="shared" si="283"/>
        <v>0</v>
      </c>
      <c r="VZQ43">
        <f t="shared" si="283"/>
        <v>0</v>
      </c>
      <c r="VZR43">
        <f t="shared" si="283"/>
        <v>0</v>
      </c>
      <c r="VZS43">
        <f t="shared" si="283"/>
        <v>0</v>
      </c>
      <c r="VZT43">
        <f t="shared" si="283"/>
        <v>0</v>
      </c>
      <c r="VZU43">
        <f t="shared" si="283"/>
        <v>0</v>
      </c>
      <c r="VZV43">
        <f t="shared" si="283"/>
        <v>0</v>
      </c>
      <c r="VZW43">
        <f t="shared" si="283"/>
        <v>0</v>
      </c>
      <c r="VZX43">
        <f t="shared" si="283"/>
        <v>0</v>
      </c>
      <c r="VZY43">
        <f t="shared" si="283"/>
        <v>0</v>
      </c>
      <c r="VZZ43">
        <f t="shared" si="283"/>
        <v>0</v>
      </c>
      <c r="WAA43">
        <f t="shared" si="283"/>
        <v>0</v>
      </c>
      <c r="WAB43">
        <f t="shared" si="283"/>
        <v>0</v>
      </c>
      <c r="WAC43">
        <f t="shared" si="283"/>
        <v>0</v>
      </c>
      <c r="WAD43">
        <f t="shared" si="283"/>
        <v>0</v>
      </c>
      <c r="WAE43">
        <f t="shared" si="283"/>
        <v>0</v>
      </c>
      <c r="WAF43">
        <f t="shared" si="283"/>
        <v>0</v>
      </c>
      <c r="WAG43">
        <f t="shared" si="283"/>
        <v>0</v>
      </c>
      <c r="WAH43">
        <f t="shared" si="283"/>
        <v>0</v>
      </c>
      <c r="WAI43">
        <f t="shared" si="283"/>
        <v>0</v>
      </c>
      <c r="WAJ43">
        <f t="shared" si="283"/>
        <v>0</v>
      </c>
      <c r="WAK43">
        <f t="shared" si="283"/>
        <v>0</v>
      </c>
      <c r="WAL43">
        <f t="shared" si="283"/>
        <v>0</v>
      </c>
      <c r="WAM43">
        <f t="shared" si="283"/>
        <v>0</v>
      </c>
      <c r="WAN43">
        <f t="shared" si="283"/>
        <v>0</v>
      </c>
      <c r="WAO43">
        <f t="shared" si="283"/>
        <v>0</v>
      </c>
      <c r="WAP43">
        <f t="shared" si="283"/>
        <v>0</v>
      </c>
      <c r="WAQ43">
        <f t="shared" si="283"/>
        <v>0</v>
      </c>
      <c r="WAR43">
        <f t="shared" si="283"/>
        <v>0</v>
      </c>
      <c r="WAS43">
        <f t="shared" si="283"/>
        <v>0</v>
      </c>
      <c r="WAT43">
        <f t="shared" si="283"/>
        <v>0</v>
      </c>
      <c r="WAU43">
        <f t="shared" si="283"/>
        <v>0</v>
      </c>
      <c r="WAV43">
        <f t="shared" si="283"/>
        <v>0</v>
      </c>
      <c r="WAW43">
        <f t="shared" si="283"/>
        <v>0</v>
      </c>
      <c r="WAX43">
        <f t="shared" si="283"/>
        <v>0</v>
      </c>
      <c r="WAY43">
        <f t="shared" si="283"/>
        <v>0</v>
      </c>
      <c r="WAZ43">
        <f t="shared" si="283"/>
        <v>0</v>
      </c>
      <c r="WBA43">
        <f t="shared" si="283"/>
        <v>0</v>
      </c>
      <c r="WBB43">
        <f t="shared" si="283"/>
        <v>0</v>
      </c>
      <c r="WBC43">
        <f t="shared" si="283"/>
        <v>0</v>
      </c>
      <c r="WBD43">
        <f t="shared" si="283"/>
        <v>0</v>
      </c>
      <c r="WBE43">
        <f t="shared" si="283"/>
        <v>0</v>
      </c>
      <c r="WBF43">
        <f t="shared" si="283"/>
        <v>0</v>
      </c>
      <c r="WBG43">
        <f t="shared" si="283"/>
        <v>0</v>
      </c>
      <c r="WBH43">
        <f t="shared" si="283"/>
        <v>0</v>
      </c>
      <c r="WBI43">
        <f t="shared" si="283"/>
        <v>0</v>
      </c>
      <c r="WBJ43">
        <f t="shared" si="283"/>
        <v>0</v>
      </c>
      <c r="WBK43">
        <f t="shared" si="283"/>
        <v>0</v>
      </c>
      <c r="WBL43">
        <f t="shared" si="283"/>
        <v>0</v>
      </c>
      <c r="WBM43">
        <f t="shared" si="283"/>
        <v>0</v>
      </c>
      <c r="WBN43">
        <f t="shared" si="284"/>
        <v>0</v>
      </c>
      <c r="WBO43">
        <f t="shared" si="284"/>
        <v>0</v>
      </c>
      <c r="WBP43">
        <f t="shared" si="284"/>
        <v>0</v>
      </c>
      <c r="WBQ43">
        <f t="shared" si="284"/>
        <v>0</v>
      </c>
      <c r="WBR43">
        <f t="shared" si="284"/>
        <v>0</v>
      </c>
      <c r="WBS43">
        <f t="shared" si="284"/>
        <v>0</v>
      </c>
      <c r="WBT43">
        <f t="shared" si="284"/>
        <v>0</v>
      </c>
      <c r="WBU43">
        <f t="shared" si="284"/>
        <v>0</v>
      </c>
      <c r="WBV43">
        <f t="shared" si="284"/>
        <v>0</v>
      </c>
      <c r="WBW43">
        <f t="shared" si="284"/>
        <v>0</v>
      </c>
      <c r="WBX43">
        <f t="shared" si="284"/>
        <v>0</v>
      </c>
      <c r="WBY43">
        <f t="shared" si="284"/>
        <v>0</v>
      </c>
      <c r="WBZ43">
        <f t="shared" si="284"/>
        <v>0</v>
      </c>
      <c r="WCA43">
        <f t="shared" si="284"/>
        <v>0</v>
      </c>
      <c r="WCB43">
        <f t="shared" si="284"/>
        <v>0</v>
      </c>
      <c r="WCC43">
        <f t="shared" si="284"/>
        <v>0</v>
      </c>
      <c r="WCD43">
        <f t="shared" si="284"/>
        <v>0</v>
      </c>
      <c r="WCE43">
        <f t="shared" si="284"/>
        <v>0</v>
      </c>
      <c r="WCF43">
        <f t="shared" si="284"/>
        <v>0</v>
      </c>
      <c r="WCG43">
        <f t="shared" si="284"/>
        <v>0</v>
      </c>
      <c r="WCH43">
        <f t="shared" si="284"/>
        <v>0</v>
      </c>
      <c r="WCI43">
        <f t="shared" si="284"/>
        <v>0</v>
      </c>
      <c r="WCJ43">
        <f t="shared" si="284"/>
        <v>0</v>
      </c>
      <c r="WCK43">
        <f t="shared" si="284"/>
        <v>0</v>
      </c>
      <c r="WCL43">
        <f t="shared" si="284"/>
        <v>0</v>
      </c>
      <c r="WCM43">
        <f t="shared" si="284"/>
        <v>0</v>
      </c>
      <c r="WCN43">
        <f t="shared" si="284"/>
        <v>0</v>
      </c>
      <c r="WCO43">
        <f t="shared" si="284"/>
        <v>0</v>
      </c>
      <c r="WCP43">
        <f t="shared" si="284"/>
        <v>0</v>
      </c>
      <c r="WCQ43">
        <f t="shared" si="284"/>
        <v>0</v>
      </c>
      <c r="WCR43">
        <f t="shared" si="284"/>
        <v>0</v>
      </c>
      <c r="WCS43">
        <f t="shared" si="284"/>
        <v>0</v>
      </c>
      <c r="WCT43">
        <f t="shared" si="284"/>
        <v>0</v>
      </c>
      <c r="WCU43">
        <f t="shared" si="284"/>
        <v>0</v>
      </c>
      <c r="WCV43">
        <f t="shared" si="284"/>
        <v>0</v>
      </c>
      <c r="WCW43">
        <f t="shared" si="284"/>
        <v>0</v>
      </c>
      <c r="WCX43">
        <f t="shared" si="284"/>
        <v>0</v>
      </c>
      <c r="WCY43">
        <f t="shared" si="284"/>
        <v>0</v>
      </c>
      <c r="WCZ43">
        <f t="shared" si="284"/>
        <v>0</v>
      </c>
      <c r="WDA43">
        <f t="shared" si="284"/>
        <v>0</v>
      </c>
      <c r="WDB43">
        <f t="shared" si="284"/>
        <v>0</v>
      </c>
      <c r="WDC43">
        <f t="shared" si="284"/>
        <v>0</v>
      </c>
      <c r="WDD43">
        <f t="shared" si="284"/>
        <v>0</v>
      </c>
      <c r="WDE43">
        <f t="shared" si="284"/>
        <v>0</v>
      </c>
      <c r="WDF43">
        <f t="shared" si="284"/>
        <v>0</v>
      </c>
      <c r="WDG43">
        <f t="shared" si="284"/>
        <v>0</v>
      </c>
      <c r="WDH43">
        <f t="shared" si="284"/>
        <v>0</v>
      </c>
      <c r="WDI43">
        <f t="shared" si="284"/>
        <v>0</v>
      </c>
      <c r="WDJ43">
        <f t="shared" si="284"/>
        <v>0</v>
      </c>
      <c r="WDK43">
        <f t="shared" si="284"/>
        <v>0</v>
      </c>
      <c r="WDL43">
        <f t="shared" si="284"/>
        <v>0</v>
      </c>
      <c r="WDM43">
        <f t="shared" si="284"/>
        <v>0</v>
      </c>
      <c r="WDN43">
        <f t="shared" si="284"/>
        <v>0</v>
      </c>
      <c r="WDO43">
        <f t="shared" si="284"/>
        <v>0</v>
      </c>
      <c r="WDP43">
        <f t="shared" si="284"/>
        <v>0</v>
      </c>
      <c r="WDQ43">
        <f t="shared" si="284"/>
        <v>0</v>
      </c>
      <c r="WDR43">
        <f t="shared" si="284"/>
        <v>0</v>
      </c>
      <c r="WDS43">
        <f t="shared" si="284"/>
        <v>0</v>
      </c>
      <c r="WDT43">
        <f t="shared" si="284"/>
        <v>0</v>
      </c>
      <c r="WDU43">
        <f t="shared" si="284"/>
        <v>0</v>
      </c>
      <c r="WDV43">
        <f t="shared" si="284"/>
        <v>0</v>
      </c>
      <c r="WDW43">
        <f t="shared" si="284"/>
        <v>0</v>
      </c>
      <c r="WDX43">
        <f t="shared" si="284"/>
        <v>0</v>
      </c>
      <c r="WDY43">
        <f t="shared" si="284"/>
        <v>0</v>
      </c>
      <c r="WDZ43">
        <f t="shared" si="285"/>
        <v>0</v>
      </c>
      <c r="WEA43">
        <f t="shared" si="285"/>
        <v>0</v>
      </c>
      <c r="WEB43">
        <f t="shared" si="285"/>
        <v>0</v>
      </c>
      <c r="WEC43">
        <f t="shared" si="285"/>
        <v>0</v>
      </c>
      <c r="WED43">
        <f t="shared" si="285"/>
        <v>0</v>
      </c>
      <c r="WEE43">
        <f t="shared" si="285"/>
        <v>0</v>
      </c>
      <c r="WEF43">
        <f t="shared" si="285"/>
        <v>0</v>
      </c>
      <c r="WEG43">
        <f t="shared" si="285"/>
        <v>0</v>
      </c>
      <c r="WEH43">
        <f t="shared" si="285"/>
        <v>0</v>
      </c>
      <c r="WEI43">
        <f t="shared" si="285"/>
        <v>0</v>
      </c>
      <c r="WEJ43">
        <f t="shared" si="285"/>
        <v>0</v>
      </c>
      <c r="WEK43">
        <f t="shared" si="285"/>
        <v>0</v>
      </c>
      <c r="WEL43">
        <f t="shared" si="285"/>
        <v>0</v>
      </c>
      <c r="WEM43">
        <f t="shared" si="285"/>
        <v>0</v>
      </c>
      <c r="WEN43">
        <f t="shared" si="285"/>
        <v>0</v>
      </c>
      <c r="WEO43">
        <f t="shared" si="285"/>
        <v>0</v>
      </c>
      <c r="WEP43">
        <f t="shared" si="285"/>
        <v>0</v>
      </c>
      <c r="WEQ43">
        <f t="shared" si="285"/>
        <v>0</v>
      </c>
      <c r="WER43">
        <f t="shared" si="285"/>
        <v>0</v>
      </c>
      <c r="WES43">
        <f t="shared" si="285"/>
        <v>0</v>
      </c>
      <c r="WET43">
        <f t="shared" si="285"/>
        <v>0</v>
      </c>
      <c r="WEU43">
        <f t="shared" si="285"/>
        <v>0</v>
      </c>
      <c r="WEV43">
        <f t="shared" si="285"/>
        <v>0</v>
      </c>
      <c r="WEW43">
        <f t="shared" si="285"/>
        <v>0</v>
      </c>
      <c r="WEX43">
        <f t="shared" si="285"/>
        <v>0</v>
      </c>
      <c r="WEY43">
        <f t="shared" si="285"/>
        <v>0</v>
      </c>
      <c r="WEZ43">
        <f t="shared" si="285"/>
        <v>0</v>
      </c>
      <c r="WFA43">
        <f t="shared" si="285"/>
        <v>0</v>
      </c>
      <c r="WFB43">
        <f t="shared" si="285"/>
        <v>0</v>
      </c>
      <c r="WFC43">
        <f t="shared" si="285"/>
        <v>0</v>
      </c>
      <c r="WFD43">
        <f t="shared" si="285"/>
        <v>0</v>
      </c>
      <c r="WFE43">
        <f t="shared" si="285"/>
        <v>0</v>
      </c>
      <c r="WFF43">
        <f t="shared" si="285"/>
        <v>0</v>
      </c>
      <c r="WFG43">
        <f t="shared" si="285"/>
        <v>0</v>
      </c>
      <c r="WFH43">
        <f t="shared" si="285"/>
        <v>0</v>
      </c>
      <c r="WFI43">
        <f t="shared" si="285"/>
        <v>0</v>
      </c>
      <c r="WFJ43">
        <f t="shared" si="285"/>
        <v>0</v>
      </c>
      <c r="WFK43">
        <f t="shared" si="285"/>
        <v>0</v>
      </c>
      <c r="WFL43">
        <f t="shared" si="285"/>
        <v>0</v>
      </c>
      <c r="WFM43">
        <f t="shared" si="285"/>
        <v>0</v>
      </c>
      <c r="WFN43">
        <f t="shared" si="285"/>
        <v>0</v>
      </c>
      <c r="WFO43">
        <f t="shared" si="285"/>
        <v>0</v>
      </c>
      <c r="WFP43">
        <f t="shared" si="285"/>
        <v>0</v>
      </c>
      <c r="WFQ43">
        <f t="shared" si="285"/>
        <v>0</v>
      </c>
      <c r="WFR43">
        <f t="shared" si="285"/>
        <v>0</v>
      </c>
      <c r="WFS43">
        <f t="shared" si="285"/>
        <v>0</v>
      </c>
      <c r="WFT43">
        <f t="shared" si="285"/>
        <v>0</v>
      </c>
      <c r="WFU43">
        <f t="shared" si="285"/>
        <v>0</v>
      </c>
      <c r="WFV43">
        <f t="shared" si="285"/>
        <v>0</v>
      </c>
      <c r="WFW43">
        <f t="shared" si="285"/>
        <v>0</v>
      </c>
      <c r="WFX43">
        <f t="shared" si="285"/>
        <v>0</v>
      </c>
      <c r="WFY43">
        <f t="shared" si="285"/>
        <v>0</v>
      </c>
      <c r="WFZ43">
        <f t="shared" si="285"/>
        <v>0</v>
      </c>
      <c r="WGA43">
        <f t="shared" si="285"/>
        <v>0</v>
      </c>
      <c r="WGB43">
        <f t="shared" si="285"/>
        <v>0</v>
      </c>
      <c r="WGC43">
        <f t="shared" si="285"/>
        <v>0</v>
      </c>
      <c r="WGD43">
        <f t="shared" si="285"/>
        <v>0</v>
      </c>
      <c r="WGE43">
        <f t="shared" si="285"/>
        <v>0</v>
      </c>
      <c r="WGF43">
        <f t="shared" si="285"/>
        <v>0</v>
      </c>
      <c r="WGG43">
        <f t="shared" si="285"/>
        <v>0</v>
      </c>
      <c r="WGH43">
        <f t="shared" si="285"/>
        <v>0</v>
      </c>
      <c r="WGI43">
        <f t="shared" si="285"/>
        <v>0</v>
      </c>
      <c r="WGJ43">
        <f t="shared" si="285"/>
        <v>0</v>
      </c>
      <c r="WGK43">
        <f t="shared" si="285"/>
        <v>0</v>
      </c>
      <c r="WGL43">
        <f t="shared" si="286"/>
        <v>0</v>
      </c>
      <c r="WGM43">
        <f t="shared" si="286"/>
        <v>0</v>
      </c>
      <c r="WGN43">
        <f t="shared" si="286"/>
        <v>0</v>
      </c>
      <c r="WGO43">
        <f t="shared" si="286"/>
        <v>0</v>
      </c>
      <c r="WGP43">
        <f t="shared" si="286"/>
        <v>0</v>
      </c>
      <c r="WGQ43">
        <f t="shared" si="286"/>
        <v>0</v>
      </c>
      <c r="WGR43">
        <f t="shared" si="286"/>
        <v>0</v>
      </c>
      <c r="WGS43">
        <f t="shared" si="286"/>
        <v>0</v>
      </c>
      <c r="WGT43">
        <f t="shared" si="286"/>
        <v>0</v>
      </c>
      <c r="WGU43">
        <f t="shared" si="286"/>
        <v>0</v>
      </c>
      <c r="WGV43">
        <f t="shared" si="286"/>
        <v>0</v>
      </c>
      <c r="WGW43">
        <f t="shared" si="286"/>
        <v>0</v>
      </c>
      <c r="WGX43">
        <f t="shared" si="286"/>
        <v>0</v>
      </c>
      <c r="WGY43">
        <f t="shared" si="286"/>
        <v>0</v>
      </c>
      <c r="WGZ43">
        <f t="shared" si="286"/>
        <v>0</v>
      </c>
      <c r="WHA43">
        <f t="shared" si="286"/>
        <v>0</v>
      </c>
      <c r="WHB43">
        <f t="shared" si="286"/>
        <v>0</v>
      </c>
      <c r="WHC43">
        <f t="shared" si="286"/>
        <v>0</v>
      </c>
      <c r="WHD43">
        <f t="shared" si="286"/>
        <v>0</v>
      </c>
      <c r="WHE43">
        <f t="shared" si="286"/>
        <v>0</v>
      </c>
      <c r="WHF43">
        <f t="shared" si="286"/>
        <v>0</v>
      </c>
      <c r="WHG43">
        <f t="shared" si="286"/>
        <v>0</v>
      </c>
      <c r="WHH43">
        <f t="shared" si="286"/>
        <v>0</v>
      </c>
      <c r="WHI43">
        <f t="shared" si="286"/>
        <v>0</v>
      </c>
      <c r="WHJ43">
        <f t="shared" si="286"/>
        <v>0</v>
      </c>
      <c r="WHK43">
        <f t="shared" si="286"/>
        <v>0</v>
      </c>
      <c r="WHL43">
        <f t="shared" si="286"/>
        <v>0</v>
      </c>
      <c r="WHM43">
        <f t="shared" si="286"/>
        <v>0</v>
      </c>
      <c r="WHN43">
        <f t="shared" si="286"/>
        <v>0</v>
      </c>
      <c r="WHO43">
        <f t="shared" si="286"/>
        <v>0</v>
      </c>
      <c r="WHP43">
        <f t="shared" si="286"/>
        <v>0</v>
      </c>
      <c r="WHQ43">
        <f t="shared" si="286"/>
        <v>0</v>
      </c>
      <c r="WHR43">
        <f t="shared" si="286"/>
        <v>0</v>
      </c>
      <c r="WHS43">
        <f t="shared" si="286"/>
        <v>0</v>
      </c>
      <c r="WHT43">
        <f t="shared" si="286"/>
        <v>0</v>
      </c>
      <c r="WHU43">
        <f t="shared" si="286"/>
        <v>0</v>
      </c>
      <c r="WHV43">
        <f t="shared" si="286"/>
        <v>0</v>
      </c>
      <c r="WHW43">
        <f t="shared" si="286"/>
        <v>0</v>
      </c>
      <c r="WHX43">
        <f t="shared" si="286"/>
        <v>0</v>
      </c>
      <c r="WHY43">
        <f t="shared" si="286"/>
        <v>0</v>
      </c>
      <c r="WHZ43">
        <f t="shared" si="286"/>
        <v>0</v>
      </c>
      <c r="WIA43">
        <f t="shared" si="286"/>
        <v>0</v>
      </c>
      <c r="WIB43">
        <f t="shared" si="286"/>
        <v>0</v>
      </c>
      <c r="WIC43">
        <f t="shared" si="286"/>
        <v>0</v>
      </c>
      <c r="WID43">
        <f t="shared" si="286"/>
        <v>0</v>
      </c>
      <c r="WIE43">
        <f t="shared" si="286"/>
        <v>0</v>
      </c>
      <c r="WIF43">
        <f t="shared" si="286"/>
        <v>0</v>
      </c>
      <c r="WIG43">
        <f t="shared" si="286"/>
        <v>0</v>
      </c>
      <c r="WIH43">
        <f t="shared" si="286"/>
        <v>0</v>
      </c>
      <c r="WII43">
        <f t="shared" si="286"/>
        <v>0</v>
      </c>
      <c r="WIJ43">
        <f t="shared" si="286"/>
        <v>0</v>
      </c>
      <c r="WIK43">
        <f t="shared" si="286"/>
        <v>0</v>
      </c>
      <c r="WIL43">
        <f t="shared" si="286"/>
        <v>0</v>
      </c>
      <c r="WIM43">
        <f t="shared" si="286"/>
        <v>0</v>
      </c>
      <c r="WIN43">
        <f t="shared" si="286"/>
        <v>0</v>
      </c>
      <c r="WIO43">
        <f t="shared" si="286"/>
        <v>0</v>
      </c>
      <c r="WIP43">
        <f t="shared" si="286"/>
        <v>0</v>
      </c>
      <c r="WIQ43">
        <f t="shared" si="286"/>
        <v>0</v>
      </c>
      <c r="WIR43">
        <f t="shared" si="286"/>
        <v>0</v>
      </c>
      <c r="WIS43">
        <f t="shared" si="286"/>
        <v>0</v>
      </c>
      <c r="WIT43">
        <f t="shared" si="286"/>
        <v>0</v>
      </c>
      <c r="WIU43">
        <f t="shared" si="286"/>
        <v>0</v>
      </c>
      <c r="WIV43">
        <f t="shared" si="286"/>
        <v>0</v>
      </c>
      <c r="WIW43">
        <f t="shared" si="286"/>
        <v>0</v>
      </c>
      <c r="WIX43">
        <f t="shared" si="287"/>
        <v>0</v>
      </c>
      <c r="WIY43">
        <f t="shared" si="287"/>
        <v>0</v>
      </c>
      <c r="WIZ43">
        <f t="shared" si="287"/>
        <v>0</v>
      </c>
      <c r="WJA43">
        <f t="shared" si="287"/>
        <v>0</v>
      </c>
      <c r="WJB43">
        <f t="shared" si="287"/>
        <v>0</v>
      </c>
      <c r="WJC43">
        <f t="shared" si="287"/>
        <v>0</v>
      </c>
      <c r="WJD43">
        <f t="shared" si="287"/>
        <v>0</v>
      </c>
      <c r="WJE43">
        <f t="shared" si="287"/>
        <v>0</v>
      </c>
      <c r="WJF43">
        <f t="shared" si="287"/>
        <v>0</v>
      </c>
      <c r="WJG43">
        <f t="shared" si="287"/>
        <v>0</v>
      </c>
      <c r="WJH43">
        <f t="shared" si="287"/>
        <v>0</v>
      </c>
      <c r="WJI43">
        <f t="shared" si="287"/>
        <v>0</v>
      </c>
      <c r="WJJ43">
        <f t="shared" si="287"/>
        <v>0</v>
      </c>
      <c r="WJK43">
        <f t="shared" si="287"/>
        <v>0</v>
      </c>
      <c r="WJL43">
        <f t="shared" si="287"/>
        <v>0</v>
      </c>
      <c r="WJM43">
        <f t="shared" si="287"/>
        <v>0</v>
      </c>
      <c r="WJN43">
        <f t="shared" si="287"/>
        <v>0</v>
      </c>
      <c r="WJO43">
        <f t="shared" si="287"/>
        <v>0</v>
      </c>
      <c r="WJP43">
        <f t="shared" si="287"/>
        <v>0</v>
      </c>
      <c r="WJQ43">
        <f t="shared" si="287"/>
        <v>0</v>
      </c>
      <c r="WJR43">
        <f t="shared" si="287"/>
        <v>0</v>
      </c>
      <c r="WJS43">
        <f t="shared" si="287"/>
        <v>0</v>
      </c>
      <c r="WJT43">
        <f t="shared" si="287"/>
        <v>0</v>
      </c>
      <c r="WJU43">
        <f t="shared" si="287"/>
        <v>0</v>
      </c>
      <c r="WJV43">
        <f t="shared" si="287"/>
        <v>0</v>
      </c>
      <c r="WJW43">
        <f t="shared" si="287"/>
        <v>0</v>
      </c>
      <c r="WJX43">
        <f t="shared" si="287"/>
        <v>0</v>
      </c>
      <c r="WJY43">
        <f t="shared" si="287"/>
        <v>0</v>
      </c>
      <c r="WJZ43">
        <f t="shared" si="287"/>
        <v>0</v>
      </c>
      <c r="WKA43">
        <f t="shared" si="287"/>
        <v>0</v>
      </c>
      <c r="WKB43">
        <f t="shared" si="287"/>
        <v>0</v>
      </c>
      <c r="WKC43">
        <f t="shared" si="287"/>
        <v>0</v>
      </c>
      <c r="WKD43">
        <f t="shared" si="287"/>
        <v>0</v>
      </c>
      <c r="WKE43">
        <f t="shared" si="287"/>
        <v>0</v>
      </c>
      <c r="WKF43">
        <f t="shared" si="287"/>
        <v>0</v>
      </c>
      <c r="WKG43">
        <f t="shared" si="287"/>
        <v>0</v>
      </c>
      <c r="WKH43">
        <f t="shared" si="287"/>
        <v>0</v>
      </c>
      <c r="WKI43">
        <f t="shared" si="287"/>
        <v>0</v>
      </c>
      <c r="WKJ43">
        <f t="shared" si="287"/>
        <v>0</v>
      </c>
      <c r="WKK43">
        <f t="shared" si="287"/>
        <v>0</v>
      </c>
      <c r="WKL43">
        <f t="shared" si="287"/>
        <v>0</v>
      </c>
      <c r="WKM43">
        <f t="shared" si="287"/>
        <v>0</v>
      </c>
      <c r="WKN43">
        <f t="shared" si="287"/>
        <v>0</v>
      </c>
      <c r="WKO43">
        <f t="shared" si="287"/>
        <v>0</v>
      </c>
      <c r="WKP43">
        <f t="shared" si="287"/>
        <v>0</v>
      </c>
      <c r="WKQ43">
        <f t="shared" si="287"/>
        <v>0</v>
      </c>
      <c r="WKR43">
        <f t="shared" si="287"/>
        <v>0</v>
      </c>
      <c r="WKS43">
        <f t="shared" si="287"/>
        <v>0</v>
      </c>
      <c r="WKT43">
        <f t="shared" si="287"/>
        <v>0</v>
      </c>
      <c r="WKU43">
        <f t="shared" si="287"/>
        <v>0</v>
      </c>
      <c r="WKV43">
        <f t="shared" si="287"/>
        <v>0</v>
      </c>
      <c r="WKW43">
        <f t="shared" si="287"/>
        <v>0</v>
      </c>
      <c r="WKX43">
        <f t="shared" si="287"/>
        <v>0</v>
      </c>
      <c r="WKY43">
        <f t="shared" si="287"/>
        <v>0</v>
      </c>
      <c r="WKZ43">
        <f t="shared" si="287"/>
        <v>0</v>
      </c>
      <c r="WLA43">
        <f t="shared" si="287"/>
        <v>0</v>
      </c>
      <c r="WLB43">
        <f t="shared" si="287"/>
        <v>0</v>
      </c>
      <c r="WLC43">
        <f t="shared" si="287"/>
        <v>0</v>
      </c>
      <c r="WLD43">
        <f t="shared" si="287"/>
        <v>0</v>
      </c>
      <c r="WLE43">
        <f t="shared" si="287"/>
        <v>0</v>
      </c>
      <c r="WLF43">
        <f t="shared" si="287"/>
        <v>0</v>
      </c>
      <c r="WLG43">
        <f t="shared" si="287"/>
        <v>0</v>
      </c>
      <c r="WLH43">
        <f t="shared" si="287"/>
        <v>0</v>
      </c>
      <c r="WLI43">
        <f t="shared" si="287"/>
        <v>0</v>
      </c>
      <c r="WLJ43">
        <f t="shared" si="288"/>
        <v>0</v>
      </c>
      <c r="WLK43">
        <f t="shared" si="288"/>
        <v>0</v>
      </c>
      <c r="WLL43">
        <f t="shared" si="288"/>
        <v>0</v>
      </c>
      <c r="WLM43">
        <f t="shared" si="288"/>
        <v>0</v>
      </c>
      <c r="WLN43">
        <f t="shared" si="288"/>
        <v>0</v>
      </c>
      <c r="WLO43">
        <f t="shared" si="288"/>
        <v>0</v>
      </c>
      <c r="WLP43">
        <f t="shared" si="288"/>
        <v>0</v>
      </c>
      <c r="WLQ43">
        <f t="shared" si="288"/>
        <v>0</v>
      </c>
      <c r="WLR43">
        <f t="shared" si="288"/>
        <v>0</v>
      </c>
      <c r="WLS43">
        <f t="shared" si="288"/>
        <v>0</v>
      </c>
      <c r="WLT43">
        <f t="shared" si="288"/>
        <v>0</v>
      </c>
      <c r="WLU43">
        <f t="shared" si="288"/>
        <v>0</v>
      </c>
      <c r="WLV43">
        <f t="shared" si="288"/>
        <v>0</v>
      </c>
      <c r="WLW43">
        <f t="shared" si="288"/>
        <v>0</v>
      </c>
      <c r="WLX43">
        <f t="shared" si="288"/>
        <v>0</v>
      </c>
      <c r="WLY43">
        <f t="shared" si="288"/>
        <v>0</v>
      </c>
      <c r="WLZ43">
        <f t="shared" si="288"/>
        <v>0</v>
      </c>
      <c r="WMA43">
        <f t="shared" si="288"/>
        <v>0</v>
      </c>
      <c r="WMB43">
        <f t="shared" si="288"/>
        <v>0</v>
      </c>
      <c r="WMC43">
        <f t="shared" si="288"/>
        <v>0</v>
      </c>
      <c r="WMD43">
        <f t="shared" si="288"/>
        <v>0</v>
      </c>
      <c r="WME43">
        <f t="shared" si="288"/>
        <v>0</v>
      </c>
      <c r="WMF43">
        <f t="shared" si="288"/>
        <v>0</v>
      </c>
      <c r="WMG43">
        <f t="shared" si="288"/>
        <v>0</v>
      </c>
      <c r="WMH43">
        <f t="shared" si="288"/>
        <v>0</v>
      </c>
      <c r="WMI43">
        <f t="shared" si="288"/>
        <v>0</v>
      </c>
      <c r="WMJ43">
        <f t="shared" si="288"/>
        <v>0</v>
      </c>
      <c r="WMK43">
        <f t="shared" si="288"/>
        <v>0</v>
      </c>
      <c r="WML43">
        <f t="shared" si="288"/>
        <v>0</v>
      </c>
      <c r="WMM43">
        <f t="shared" si="288"/>
        <v>0</v>
      </c>
      <c r="WMN43">
        <f t="shared" si="288"/>
        <v>0</v>
      </c>
      <c r="WMO43">
        <f t="shared" si="288"/>
        <v>0</v>
      </c>
      <c r="WMP43">
        <f t="shared" si="288"/>
        <v>0</v>
      </c>
      <c r="WMQ43">
        <f t="shared" si="288"/>
        <v>0</v>
      </c>
      <c r="WMR43">
        <f t="shared" si="288"/>
        <v>0</v>
      </c>
      <c r="WMS43">
        <f t="shared" si="288"/>
        <v>0</v>
      </c>
      <c r="WMT43">
        <f t="shared" si="288"/>
        <v>0</v>
      </c>
      <c r="WMU43">
        <f t="shared" si="288"/>
        <v>0</v>
      </c>
      <c r="WMV43">
        <f t="shared" si="288"/>
        <v>0</v>
      </c>
      <c r="WMW43">
        <f t="shared" si="288"/>
        <v>0</v>
      </c>
      <c r="WMX43">
        <f t="shared" si="288"/>
        <v>0</v>
      </c>
      <c r="WMY43">
        <f t="shared" si="288"/>
        <v>0</v>
      </c>
      <c r="WMZ43">
        <f t="shared" si="288"/>
        <v>0</v>
      </c>
      <c r="WNA43">
        <f t="shared" si="288"/>
        <v>0</v>
      </c>
      <c r="WNB43">
        <f t="shared" si="288"/>
        <v>0</v>
      </c>
      <c r="WNC43">
        <f t="shared" si="288"/>
        <v>0</v>
      </c>
      <c r="WND43">
        <f t="shared" si="288"/>
        <v>0</v>
      </c>
      <c r="WNE43">
        <f t="shared" si="288"/>
        <v>0</v>
      </c>
      <c r="WNF43">
        <f t="shared" si="288"/>
        <v>0</v>
      </c>
      <c r="WNG43">
        <f t="shared" si="288"/>
        <v>0</v>
      </c>
      <c r="WNH43">
        <f t="shared" si="288"/>
        <v>0</v>
      </c>
      <c r="WNI43">
        <f t="shared" si="288"/>
        <v>0</v>
      </c>
      <c r="WNJ43">
        <f t="shared" si="288"/>
        <v>0</v>
      </c>
      <c r="WNK43">
        <f t="shared" si="288"/>
        <v>0</v>
      </c>
      <c r="WNL43">
        <f t="shared" si="288"/>
        <v>0</v>
      </c>
      <c r="WNM43">
        <f t="shared" si="288"/>
        <v>0</v>
      </c>
      <c r="WNN43">
        <f t="shared" si="288"/>
        <v>0</v>
      </c>
      <c r="WNO43">
        <f t="shared" si="288"/>
        <v>0</v>
      </c>
      <c r="WNP43">
        <f t="shared" si="288"/>
        <v>0</v>
      </c>
      <c r="WNQ43">
        <f t="shared" si="288"/>
        <v>0</v>
      </c>
      <c r="WNR43">
        <f t="shared" si="288"/>
        <v>0</v>
      </c>
      <c r="WNS43">
        <f t="shared" si="288"/>
        <v>0</v>
      </c>
      <c r="WNT43">
        <f t="shared" si="288"/>
        <v>0</v>
      </c>
      <c r="WNU43">
        <f t="shared" si="288"/>
        <v>0</v>
      </c>
      <c r="WNV43">
        <f t="shared" si="289"/>
        <v>0</v>
      </c>
      <c r="WNW43">
        <f t="shared" si="289"/>
        <v>0</v>
      </c>
      <c r="WNX43">
        <f t="shared" si="289"/>
        <v>0</v>
      </c>
      <c r="WNY43">
        <f t="shared" si="289"/>
        <v>0</v>
      </c>
      <c r="WNZ43">
        <f t="shared" si="289"/>
        <v>0</v>
      </c>
      <c r="WOA43">
        <f t="shared" si="289"/>
        <v>0</v>
      </c>
      <c r="WOB43">
        <f t="shared" si="289"/>
        <v>0</v>
      </c>
      <c r="WOC43">
        <f t="shared" si="289"/>
        <v>0</v>
      </c>
      <c r="WOD43">
        <f t="shared" si="289"/>
        <v>0</v>
      </c>
      <c r="WOE43">
        <f t="shared" si="289"/>
        <v>0</v>
      </c>
      <c r="WOF43">
        <f t="shared" si="289"/>
        <v>0</v>
      </c>
      <c r="WOG43">
        <f t="shared" si="289"/>
        <v>0</v>
      </c>
      <c r="WOH43">
        <f t="shared" si="289"/>
        <v>0</v>
      </c>
      <c r="WOI43">
        <f t="shared" si="289"/>
        <v>0</v>
      </c>
      <c r="WOJ43">
        <f t="shared" si="289"/>
        <v>0</v>
      </c>
      <c r="WOK43">
        <f t="shared" si="289"/>
        <v>0</v>
      </c>
      <c r="WOL43">
        <f t="shared" si="289"/>
        <v>0</v>
      </c>
      <c r="WOM43">
        <f t="shared" si="289"/>
        <v>0</v>
      </c>
      <c r="WON43">
        <f t="shared" si="289"/>
        <v>0</v>
      </c>
      <c r="WOO43">
        <f t="shared" si="289"/>
        <v>0</v>
      </c>
      <c r="WOP43">
        <f t="shared" si="289"/>
        <v>0</v>
      </c>
      <c r="WOQ43">
        <f t="shared" si="289"/>
        <v>0</v>
      </c>
      <c r="WOR43">
        <f t="shared" si="289"/>
        <v>0</v>
      </c>
      <c r="WOS43">
        <f t="shared" si="289"/>
        <v>0</v>
      </c>
      <c r="WOT43">
        <f t="shared" si="289"/>
        <v>0</v>
      </c>
      <c r="WOU43">
        <f t="shared" si="289"/>
        <v>0</v>
      </c>
      <c r="WOV43">
        <f t="shared" si="289"/>
        <v>0</v>
      </c>
      <c r="WOW43">
        <f t="shared" si="289"/>
        <v>0</v>
      </c>
      <c r="WOX43">
        <f t="shared" si="289"/>
        <v>0</v>
      </c>
      <c r="WOY43">
        <f t="shared" si="289"/>
        <v>0</v>
      </c>
      <c r="WOZ43">
        <f t="shared" si="289"/>
        <v>0</v>
      </c>
      <c r="WPA43">
        <f t="shared" si="289"/>
        <v>0</v>
      </c>
      <c r="WPB43">
        <f t="shared" si="289"/>
        <v>0</v>
      </c>
      <c r="WPC43">
        <f t="shared" si="289"/>
        <v>0</v>
      </c>
      <c r="WPD43">
        <f t="shared" si="289"/>
        <v>0</v>
      </c>
      <c r="WPE43">
        <f t="shared" si="289"/>
        <v>0</v>
      </c>
      <c r="WPF43">
        <f t="shared" si="289"/>
        <v>0</v>
      </c>
      <c r="WPG43">
        <f t="shared" si="289"/>
        <v>0</v>
      </c>
      <c r="WPH43">
        <f t="shared" si="289"/>
        <v>0</v>
      </c>
      <c r="WPI43">
        <f t="shared" si="289"/>
        <v>0</v>
      </c>
      <c r="WPJ43">
        <f t="shared" si="289"/>
        <v>0</v>
      </c>
      <c r="WPK43">
        <f t="shared" si="289"/>
        <v>0</v>
      </c>
      <c r="WPL43">
        <f t="shared" si="289"/>
        <v>0</v>
      </c>
      <c r="WPM43">
        <f t="shared" si="289"/>
        <v>0</v>
      </c>
      <c r="WPN43">
        <f t="shared" si="289"/>
        <v>0</v>
      </c>
      <c r="WPO43">
        <f t="shared" si="289"/>
        <v>0</v>
      </c>
      <c r="WPP43">
        <f t="shared" si="289"/>
        <v>0</v>
      </c>
      <c r="WPQ43">
        <f t="shared" si="289"/>
        <v>0</v>
      </c>
      <c r="WPR43">
        <f t="shared" si="289"/>
        <v>0</v>
      </c>
      <c r="WPS43">
        <f t="shared" si="289"/>
        <v>0</v>
      </c>
      <c r="WPT43">
        <f t="shared" si="289"/>
        <v>0</v>
      </c>
      <c r="WPU43">
        <f t="shared" si="289"/>
        <v>0</v>
      </c>
      <c r="WPV43">
        <f t="shared" si="289"/>
        <v>0</v>
      </c>
      <c r="WPW43">
        <f t="shared" si="289"/>
        <v>0</v>
      </c>
      <c r="WPX43">
        <f t="shared" si="289"/>
        <v>0</v>
      </c>
      <c r="WPY43">
        <f t="shared" si="289"/>
        <v>0</v>
      </c>
      <c r="WPZ43">
        <f t="shared" si="289"/>
        <v>0</v>
      </c>
      <c r="WQA43">
        <f t="shared" si="289"/>
        <v>0</v>
      </c>
      <c r="WQB43">
        <f t="shared" si="289"/>
        <v>0</v>
      </c>
      <c r="WQC43">
        <f t="shared" si="289"/>
        <v>0</v>
      </c>
      <c r="WQD43">
        <f t="shared" si="289"/>
        <v>0</v>
      </c>
      <c r="WQE43">
        <f t="shared" si="289"/>
        <v>0</v>
      </c>
      <c r="WQF43">
        <f t="shared" si="289"/>
        <v>0</v>
      </c>
      <c r="WQG43">
        <f t="shared" si="289"/>
        <v>0</v>
      </c>
      <c r="WQH43">
        <f t="shared" si="290"/>
        <v>0</v>
      </c>
      <c r="WQI43">
        <f t="shared" si="290"/>
        <v>0</v>
      </c>
      <c r="WQJ43">
        <f t="shared" si="290"/>
        <v>0</v>
      </c>
      <c r="WQK43">
        <f t="shared" si="290"/>
        <v>0</v>
      </c>
      <c r="WQL43">
        <f t="shared" si="290"/>
        <v>0</v>
      </c>
      <c r="WQM43">
        <f t="shared" si="290"/>
        <v>0</v>
      </c>
      <c r="WQN43">
        <f t="shared" si="290"/>
        <v>0</v>
      </c>
      <c r="WQO43">
        <f t="shared" si="290"/>
        <v>0</v>
      </c>
      <c r="WQP43">
        <f t="shared" si="290"/>
        <v>0</v>
      </c>
      <c r="WQQ43">
        <f t="shared" si="290"/>
        <v>0</v>
      </c>
      <c r="WQR43">
        <f t="shared" si="290"/>
        <v>0</v>
      </c>
      <c r="WQS43">
        <f t="shared" si="290"/>
        <v>0</v>
      </c>
      <c r="WQT43">
        <f t="shared" si="290"/>
        <v>0</v>
      </c>
      <c r="WQU43">
        <f t="shared" si="290"/>
        <v>0</v>
      </c>
      <c r="WQV43">
        <f t="shared" si="290"/>
        <v>0</v>
      </c>
      <c r="WQW43">
        <f t="shared" si="290"/>
        <v>0</v>
      </c>
      <c r="WQX43">
        <f t="shared" si="290"/>
        <v>0</v>
      </c>
      <c r="WQY43">
        <f t="shared" si="290"/>
        <v>0</v>
      </c>
      <c r="WQZ43">
        <f t="shared" si="290"/>
        <v>0</v>
      </c>
      <c r="WRA43">
        <f t="shared" si="290"/>
        <v>0</v>
      </c>
      <c r="WRB43">
        <f t="shared" si="290"/>
        <v>0</v>
      </c>
      <c r="WRC43">
        <f t="shared" si="290"/>
        <v>0</v>
      </c>
      <c r="WRD43">
        <f t="shared" si="290"/>
        <v>0</v>
      </c>
      <c r="WRE43">
        <f t="shared" si="290"/>
        <v>0</v>
      </c>
      <c r="WRF43">
        <f t="shared" si="290"/>
        <v>0</v>
      </c>
      <c r="WRG43">
        <f t="shared" si="290"/>
        <v>0</v>
      </c>
      <c r="WRH43">
        <f t="shared" si="290"/>
        <v>0</v>
      </c>
      <c r="WRI43">
        <f t="shared" si="290"/>
        <v>0</v>
      </c>
      <c r="WRJ43">
        <f t="shared" si="290"/>
        <v>0</v>
      </c>
      <c r="WRK43">
        <f t="shared" si="290"/>
        <v>0</v>
      </c>
      <c r="WRL43">
        <f t="shared" si="290"/>
        <v>0</v>
      </c>
      <c r="WRM43">
        <f t="shared" si="290"/>
        <v>0</v>
      </c>
      <c r="WRN43">
        <f t="shared" si="290"/>
        <v>0</v>
      </c>
      <c r="WRO43">
        <f t="shared" si="290"/>
        <v>0</v>
      </c>
      <c r="WRP43">
        <f t="shared" si="290"/>
        <v>0</v>
      </c>
      <c r="WRQ43">
        <f t="shared" si="290"/>
        <v>0</v>
      </c>
      <c r="WRR43">
        <f t="shared" si="290"/>
        <v>0</v>
      </c>
      <c r="WRS43">
        <f t="shared" si="290"/>
        <v>0</v>
      </c>
      <c r="WRT43">
        <f t="shared" si="290"/>
        <v>0</v>
      </c>
      <c r="WRU43">
        <f t="shared" si="290"/>
        <v>0</v>
      </c>
      <c r="WRV43">
        <f t="shared" si="290"/>
        <v>0</v>
      </c>
      <c r="WRW43">
        <f t="shared" si="290"/>
        <v>0</v>
      </c>
      <c r="WRX43">
        <f t="shared" si="290"/>
        <v>0</v>
      </c>
      <c r="WRY43">
        <f t="shared" si="290"/>
        <v>0</v>
      </c>
      <c r="WRZ43">
        <f t="shared" si="290"/>
        <v>0</v>
      </c>
      <c r="WSA43">
        <f t="shared" si="290"/>
        <v>0</v>
      </c>
      <c r="WSB43">
        <f t="shared" si="290"/>
        <v>0</v>
      </c>
      <c r="WSC43">
        <f t="shared" si="290"/>
        <v>0</v>
      </c>
      <c r="WSD43">
        <f t="shared" si="290"/>
        <v>0</v>
      </c>
      <c r="WSE43">
        <f t="shared" si="290"/>
        <v>0</v>
      </c>
      <c r="WSF43">
        <f t="shared" si="290"/>
        <v>0</v>
      </c>
      <c r="WSG43">
        <f t="shared" si="290"/>
        <v>0</v>
      </c>
      <c r="WSH43">
        <f t="shared" si="290"/>
        <v>0</v>
      </c>
      <c r="WSI43">
        <f t="shared" si="290"/>
        <v>0</v>
      </c>
      <c r="WSJ43">
        <f t="shared" si="290"/>
        <v>0</v>
      </c>
      <c r="WSK43">
        <f t="shared" si="290"/>
        <v>0</v>
      </c>
      <c r="WSL43">
        <f t="shared" si="290"/>
        <v>0</v>
      </c>
      <c r="WSM43">
        <f t="shared" si="290"/>
        <v>0</v>
      </c>
      <c r="WSN43">
        <f t="shared" si="290"/>
        <v>0</v>
      </c>
      <c r="WSO43">
        <f t="shared" si="290"/>
        <v>0</v>
      </c>
      <c r="WSP43">
        <f t="shared" si="290"/>
        <v>0</v>
      </c>
      <c r="WSQ43">
        <f t="shared" si="290"/>
        <v>0</v>
      </c>
      <c r="WSR43">
        <f t="shared" si="290"/>
        <v>0</v>
      </c>
      <c r="WSS43">
        <f t="shared" si="290"/>
        <v>0</v>
      </c>
      <c r="WST43">
        <f t="shared" si="291"/>
        <v>0</v>
      </c>
      <c r="WSU43">
        <f t="shared" si="291"/>
        <v>0</v>
      </c>
      <c r="WSV43">
        <f t="shared" si="291"/>
        <v>0</v>
      </c>
      <c r="WSW43">
        <f t="shared" si="291"/>
        <v>0</v>
      </c>
      <c r="WSX43">
        <f t="shared" si="291"/>
        <v>0</v>
      </c>
      <c r="WSY43">
        <f t="shared" si="291"/>
        <v>0</v>
      </c>
      <c r="WSZ43">
        <f t="shared" si="291"/>
        <v>0</v>
      </c>
      <c r="WTA43">
        <f t="shared" si="291"/>
        <v>0</v>
      </c>
      <c r="WTB43">
        <f t="shared" si="291"/>
        <v>0</v>
      </c>
      <c r="WTC43">
        <f t="shared" si="291"/>
        <v>0</v>
      </c>
      <c r="WTD43">
        <f t="shared" si="291"/>
        <v>0</v>
      </c>
      <c r="WTE43">
        <f t="shared" si="291"/>
        <v>0</v>
      </c>
      <c r="WTF43">
        <f t="shared" si="291"/>
        <v>0</v>
      </c>
      <c r="WTG43">
        <f t="shared" si="291"/>
        <v>0</v>
      </c>
      <c r="WTH43">
        <f t="shared" si="291"/>
        <v>0</v>
      </c>
      <c r="WTI43">
        <f t="shared" si="291"/>
        <v>0</v>
      </c>
      <c r="WTJ43">
        <f t="shared" si="291"/>
        <v>0</v>
      </c>
      <c r="WTK43">
        <f t="shared" si="291"/>
        <v>0</v>
      </c>
      <c r="WTL43">
        <f t="shared" si="291"/>
        <v>0</v>
      </c>
      <c r="WTM43">
        <f t="shared" si="291"/>
        <v>0</v>
      </c>
      <c r="WTN43">
        <f t="shared" si="291"/>
        <v>0</v>
      </c>
      <c r="WTO43">
        <f t="shared" si="291"/>
        <v>0</v>
      </c>
      <c r="WTP43">
        <f t="shared" si="291"/>
        <v>0</v>
      </c>
      <c r="WTQ43">
        <f t="shared" si="291"/>
        <v>0</v>
      </c>
      <c r="WTR43">
        <f t="shared" si="291"/>
        <v>0</v>
      </c>
      <c r="WTS43">
        <f t="shared" si="291"/>
        <v>0</v>
      </c>
      <c r="WTT43">
        <f t="shared" si="291"/>
        <v>0</v>
      </c>
      <c r="WTU43">
        <f t="shared" si="291"/>
        <v>0</v>
      </c>
      <c r="WTV43">
        <f t="shared" si="291"/>
        <v>0</v>
      </c>
      <c r="WTW43">
        <f t="shared" si="291"/>
        <v>0</v>
      </c>
      <c r="WTX43">
        <f t="shared" si="291"/>
        <v>0</v>
      </c>
      <c r="WTY43">
        <f t="shared" si="291"/>
        <v>0</v>
      </c>
      <c r="WTZ43">
        <f t="shared" si="291"/>
        <v>0</v>
      </c>
      <c r="WUA43">
        <f t="shared" si="291"/>
        <v>0</v>
      </c>
      <c r="WUB43">
        <f t="shared" si="291"/>
        <v>0</v>
      </c>
      <c r="WUC43">
        <f t="shared" si="291"/>
        <v>0</v>
      </c>
      <c r="WUD43">
        <f t="shared" si="291"/>
        <v>0</v>
      </c>
      <c r="WUE43">
        <f t="shared" si="291"/>
        <v>0</v>
      </c>
      <c r="WUF43">
        <f t="shared" si="291"/>
        <v>0</v>
      </c>
      <c r="WUG43">
        <f t="shared" si="291"/>
        <v>0</v>
      </c>
      <c r="WUH43">
        <f t="shared" si="291"/>
        <v>0</v>
      </c>
      <c r="WUI43">
        <f t="shared" si="291"/>
        <v>0</v>
      </c>
      <c r="WUJ43">
        <f t="shared" si="291"/>
        <v>0</v>
      </c>
      <c r="WUK43">
        <f t="shared" si="291"/>
        <v>0</v>
      </c>
      <c r="WUL43">
        <f t="shared" si="291"/>
        <v>0</v>
      </c>
      <c r="WUM43">
        <f t="shared" si="291"/>
        <v>0</v>
      </c>
      <c r="WUN43">
        <f t="shared" si="291"/>
        <v>0</v>
      </c>
      <c r="WUO43">
        <f t="shared" si="291"/>
        <v>0</v>
      </c>
      <c r="WUP43">
        <f t="shared" si="291"/>
        <v>0</v>
      </c>
      <c r="WUQ43">
        <f t="shared" si="291"/>
        <v>0</v>
      </c>
      <c r="WUR43">
        <f t="shared" si="291"/>
        <v>0</v>
      </c>
      <c r="WUS43">
        <f t="shared" si="291"/>
        <v>0</v>
      </c>
      <c r="WUT43">
        <f t="shared" si="291"/>
        <v>0</v>
      </c>
      <c r="WUU43">
        <f t="shared" si="291"/>
        <v>0</v>
      </c>
      <c r="WUV43">
        <f t="shared" si="291"/>
        <v>0</v>
      </c>
      <c r="WUW43">
        <f t="shared" si="291"/>
        <v>0</v>
      </c>
      <c r="WUX43">
        <f t="shared" si="291"/>
        <v>0</v>
      </c>
      <c r="WUY43">
        <f t="shared" si="291"/>
        <v>0</v>
      </c>
      <c r="WUZ43">
        <f t="shared" si="291"/>
        <v>0</v>
      </c>
      <c r="WVA43">
        <f t="shared" si="291"/>
        <v>0</v>
      </c>
      <c r="WVB43">
        <f t="shared" si="291"/>
        <v>0</v>
      </c>
      <c r="WVC43">
        <f t="shared" si="291"/>
        <v>0</v>
      </c>
      <c r="WVD43">
        <f t="shared" si="291"/>
        <v>0</v>
      </c>
      <c r="WVE43">
        <f t="shared" si="291"/>
        <v>0</v>
      </c>
      <c r="WVF43">
        <f t="shared" si="292"/>
        <v>0</v>
      </c>
      <c r="WVG43">
        <f t="shared" si="292"/>
        <v>0</v>
      </c>
      <c r="WVH43">
        <f t="shared" si="292"/>
        <v>0</v>
      </c>
      <c r="WVI43">
        <f t="shared" si="292"/>
        <v>0</v>
      </c>
      <c r="WVJ43">
        <f t="shared" si="292"/>
        <v>0</v>
      </c>
      <c r="WVK43">
        <f t="shared" si="292"/>
        <v>0</v>
      </c>
      <c r="WVL43">
        <f t="shared" si="292"/>
        <v>0</v>
      </c>
      <c r="WVM43">
        <f t="shared" si="292"/>
        <v>0</v>
      </c>
      <c r="WVN43">
        <f t="shared" si="292"/>
        <v>0</v>
      </c>
      <c r="WVO43">
        <f t="shared" si="292"/>
        <v>0</v>
      </c>
      <c r="WVP43">
        <f t="shared" si="292"/>
        <v>0</v>
      </c>
      <c r="WVQ43">
        <f t="shared" si="292"/>
        <v>0</v>
      </c>
      <c r="WVR43">
        <f t="shared" si="292"/>
        <v>0</v>
      </c>
      <c r="WVS43">
        <f t="shared" si="292"/>
        <v>0</v>
      </c>
      <c r="WVT43">
        <f t="shared" si="292"/>
        <v>0</v>
      </c>
      <c r="WVU43">
        <f t="shared" si="292"/>
        <v>0</v>
      </c>
      <c r="WVV43">
        <f t="shared" si="292"/>
        <v>0</v>
      </c>
      <c r="WVW43">
        <f t="shared" si="292"/>
        <v>0</v>
      </c>
      <c r="WVX43">
        <f t="shared" si="292"/>
        <v>0</v>
      </c>
      <c r="WVY43">
        <f t="shared" si="292"/>
        <v>0</v>
      </c>
      <c r="WVZ43">
        <f t="shared" si="292"/>
        <v>0</v>
      </c>
      <c r="WWA43">
        <f t="shared" si="292"/>
        <v>0</v>
      </c>
      <c r="WWB43">
        <f t="shared" si="292"/>
        <v>0</v>
      </c>
      <c r="WWC43">
        <f t="shared" si="292"/>
        <v>0</v>
      </c>
      <c r="WWD43">
        <f t="shared" si="292"/>
        <v>0</v>
      </c>
      <c r="WWE43">
        <f t="shared" si="292"/>
        <v>0</v>
      </c>
      <c r="WWF43">
        <f t="shared" si="292"/>
        <v>0</v>
      </c>
      <c r="WWG43">
        <f t="shared" si="292"/>
        <v>0</v>
      </c>
      <c r="WWH43">
        <f t="shared" si="292"/>
        <v>0</v>
      </c>
      <c r="WWI43">
        <f t="shared" si="292"/>
        <v>0</v>
      </c>
      <c r="WWJ43">
        <f t="shared" si="292"/>
        <v>0</v>
      </c>
      <c r="WWK43">
        <f t="shared" si="292"/>
        <v>0</v>
      </c>
      <c r="WWL43">
        <f t="shared" si="292"/>
        <v>0</v>
      </c>
      <c r="WWM43">
        <f t="shared" si="292"/>
        <v>0</v>
      </c>
      <c r="WWN43">
        <f t="shared" si="292"/>
        <v>0</v>
      </c>
      <c r="WWO43">
        <f t="shared" si="292"/>
        <v>0</v>
      </c>
      <c r="WWP43">
        <f t="shared" si="292"/>
        <v>0</v>
      </c>
      <c r="WWQ43">
        <f t="shared" si="292"/>
        <v>0</v>
      </c>
      <c r="WWR43">
        <f t="shared" si="292"/>
        <v>0</v>
      </c>
      <c r="WWS43">
        <f t="shared" si="292"/>
        <v>0</v>
      </c>
      <c r="WWT43">
        <f t="shared" si="292"/>
        <v>0</v>
      </c>
      <c r="WWU43">
        <f t="shared" si="292"/>
        <v>0</v>
      </c>
      <c r="WWV43">
        <f t="shared" si="292"/>
        <v>0</v>
      </c>
      <c r="WWW43">
        <f t="shared" si="292"/>
        <v>0</v>
      </c>
      <c r="WWX43">
        <f t="shared" si="292"/>
        <v>0</v>
      </c>
      <c r="WWY43">
        <f t="shared" si="292"/>
        <v>0</v>
      </c>
      <c r="WWZ43">
        <f t="shared" si="292"/>
        <v>0</v>
      </c>
      <c r="WXA43">
        <f t="shared" si="292"/>
        <v>0</v>
      </c>
      <c r="WXB43">
        <f t="shared" si="292"/>
        <v>0</v>
      </c>
      <c r="WXC43">
        <f t="shared" si="292"/>
        <v>0</v>
      </c>
      <c r="WXD43">
        <f t="shared" si="292"/>
        <v>0</v>
      </c>
      <c r="WXE43">
        <f t="shared" si="292"/>
        <v>0</v>
      </c>
      <c r="WXF43">
        <f t="shared" si="292"/>
        <v>0</v>
      </c>
      <c r="WXG43">
        <f t="shared" si="292"/>
        <v>0</v>
      </c>
      <c r="WXH43">
        <f t="shared" si="292"/>
        <v>0</v>
      </c>
      <c r="WXI43">
        <f t="shared" si="292"/>
        <v>0</v>
      </c>
      <c r="WXJ43">
        <f t="shared" si="292"/>
        <v>0</v>
      </c>
      <c r="WXK43">
        <f t="shared" si="292"/>
        <v>0</v>
      </c>
      <c r="WXL43">
        <f t="shared" si="292"/>
        <v>0</v>
      </c>
      <c r="WXM43">
        <f t="shared" si="292"/>
        <v>0</v>
      </c>
      <c r="WXN43">
        <f t="shared" si="292"/>
        <v>0</v>
      </c>
      <c r="WXO43">
        <f t="shared" si="292"/>
        <v>0</v>
      </c>
      <c r="WXP43">
        <f t="shared" si="292"/>
        <v>0</v>
      </c>
      <c r="WXQ43">
        <f t="shared" si="292"/>
        <v>0</v>
      </c>
      <c r="WXR43">
        <f t="shared" si="293"/>
        <v>0</v>
      </c>
      <c r="WXS43">
        <f t="shared" si="293"/>
        <v>0</v>
      </c>
      <c r="WXT43">
        <f t="shared" si="293"/>
        <v>0</v>
      </c>
      <c r="WXU43">
        <f t="shared" si="293"/>
        <v>0</v>
      </c>
      <c r="WXV43">
        <f t="shared" si="293"/>
        <v>0</v>
      </c>
      <c r="WXW43">
        <f t="shared" si="293"/>
        <v>0</v>
      </c>
      <c r="WXX43">
        <f t="shared" si="293"/>
        <v>0</v>
      </c>
      <c r="WXY43">
        <f t="shared" si="293"/>
        <v>0</v>
      </c>
      <c r="WXZ43">
        <f t="shared" si="293"/>
        <v>0</v>
      </c>
      <c r="WYA43">
        <f t="shared" si="293"/>
        <v>0</v>
      </c>
      <c r="WYB43">
        <f t="shared" si="293"/>
        <v>0</v>
      </c>
      <c r="WYC43">
        <f t="shared" si="293"/>
        <v>0</v>
      </c>
      <c r="WYD43">
        <f t="shared" si="293"/>
        <v>0</v>
      </c>
      <c r="WYE43">
        <f t="shared" si="293"/>
        <v>0</v>
      </c>
      <c r="WYF43">
        <f t="shared" si="293"/>
        <v>0</v>
      </c>
      <c r="WYG43">
        <f t="shared" si="293"/>
        <v>0</v>
      </c>
      <c r="WYH43">
        <f t="shared" si="293"/>
        <v>0</v>
      </c>
      <c r="WYI43">
        <f t="shared" si="293"/>
        <v>0</v>
      </c>
      <c r="WYJ43">
        <f t="shared" si="293"/>
        <v>0</v>
      </c>
      <c r="WYK43">
        <f t="shared" si="293"/>
        <v>0</v>
      </c>
      <c r="WYL43">
        <f t="shared" si="293"/>
        <v>0</v>
      </c>
      <c r="WYM43">
        <f t="shared" si="293"/>
        <v>0</v>
      </c>
      <c r="WYN43">
        <f t="shared" si="293"/>
        <v>0</v>
      </c>
      <c r="WYO43">
        <f t="shared" si="293"/>
        <v>0</v>
      </c>
      <c r="WYP43">
        <f t="shared" si="293"/>
        <v>0</v>
      </c>
      <c r="WYQ43">
        <f t="shared" si="293"/>
        <v>0</v>
      </c>
      <c r="WYR43">
        <f t="shared" si="293"/>
        <v>0</v>
      </c>
      <c r="WYS43">
        <f t="shared" si="293"/>
        <v>0</v>
      </c>
      <c r="WYT43">
        <f t="shared" si="293"/>
        <v>0</v>
      </c>
      <c r="WYU43">
        <f t="shared" si="293"/>
        <v>0</v>
      </c>
      <c r="WYV43">
        <f t="shared" si="293"/>
        <v>0</v>
      </c>
      <c r="WYW43">
        <f t="shared" si="293"/>
        <v>0</v>
      </c>
      <c r="WYX43">
        <f t="shared" si="293"/>
        <v>0</v>
      </c>
      <c r="WYY43">
        <f t="shared" si="293"/>
        <v>0</v>
      </c>
      <c r="WYZ43">
        <f t="shared" si="293"/>
        <v>0</v>
      </c>
      <c r="WZA43">
        <f t="shared" si="293"/>
        <v>0</v>
      </c>
      <c r="WZB43">
        <f t="shared" si="293"/>
        <v>0</v>
      </c>
      <c r="WZC43">
        <f t="shared" si="293"/>
        <v>0</v>
      </c>
      <c r="WZD43">
        <f t="shared" si="293"/>
        <v>0</v>
      </c>
      <c r="WZE43">
        <f t="shared" si="293"/>
        <v>0</v>
      </c>
      <c r="WZF43">
        <f t="shared" si="293"/>
        <v>0</v>
      </c>
      <c r="WZG43">
        <f t="shared" si="293"/>
        <v>0</v>
      </c>
      <c r="WZH43">
        <f t="shared" si="293"/>
        <v>0</v>
      </c>
      <c r="WZI43">
        <f t="shared" si="293"/>
        <v>0</v>
      </c>
      <c r="WZJ43">
        <f t="shared" si="293"/>
        <v>0</v>
      </c>
      <c r="WZK43">
        <f t="shared" si="293"/>
        <v>0</v>
      </c>
      <c r="WZL43">
        <f t="shared" si="293"/>
        <v>0</v>
      </c>
      <c r="WZM43">
        <f t="shared" si="293"/>
        <v>0</v>
      </c>
      <c r="WZN43">
        <f t="shared" si="293"/>
        <v>0</v>
      </c>
      <c r="WZO43">
        <f t="shared" si="293"/>
        <v>0</v>
      </c>
      <c r="WZP43">
        <f t="shared" si="293"/>
        <v>0</v>
      </c>
      <c r="WZQ43">
        <f t="shared" si="293"/>
        <v>0</v>
      </c>
      <c r="WZR43">
        <f t="shared" si="293"/>
        <v>0</v>
      </c>
      <c r="WZS43">
        <f t="shared" si="293"/>
        <v>0</v>
      </c>
      <c r="WZT43">
        <f t="shared" si="293"/>
        <v>0</v>
      </c>
      <c r="WZU43">
        <f t="shared" si="293"/>
        <v>0</v>
      </c>
      <c r="WZV43">
        <f t="shared" si="293"/>
        <v>0</v>
      </c>
      <c r="WZW43">
        <f t="shared" si="293"/>
        <v>0</v>
      </c>
      <c r="WZX43">
        <f t="shared" si="293"/>
        <v>0</v>
      </c>
      <c r="WZY43">
        <f t="shared" si="293"/>
        <v>0</v>
      </c>
      <c r="WZZ43">
        <f t="shared" si="293"/>
        <v>0</v>
      </c>
      <c r="XAA43">
        <f t="shared" si="293"/>
        <v>0</v>
      </c>
      <c r="XAB43">
        <f t="shared" si="293"/>
        <v>0</v>
      </c>
      <c r="XAC43">
        <f t="shared" si="293"/>
        <v>0</v>
      </c>
      <c r="XAD43">
        <f t="shared" si="294"/>
        <v>0</v>
      </c>
      <c r="XAE43">
        <f t="shared" si="294"/>
        <v>0</v>
      </c>
      <c r="XAF43">
        <f t="shared" si="294"/>
        <v>0</v>
      </c>
      <c r="XAG43">
        <f t="shared" si="294"/>
        <v>0</v>
      </c>
      <c r="XAH43">
        <f t="shared" si="294"/>
        <v>0</v>
      </c>
      <c r="XAI43">
        <f t="shared" si="294"/>
        <v>0</v>
      </c>
      <c r="XAJ43">
        <f t="shared" si="294"/>
        <v>0</v>
      </c>
      <c r="XAK43">
        <f t="shared" si="294"/>
        <v>0</v>
      </c>
      <c r="XAL43">
        <f t="shared" si="294"/>
        <v>0</v>
      </c>
      <c r="XAM43">
        <f t="shared" si="294"/>
        <v>0</v>
      </c>
      <c r="XAN43">
        <f t="shared" si="294"/>
        <v>0</v>
      </c>
      <c r="XAO43">
        <f t="shared" si="294"/>
        <v>0</v>
      </c>
      <c r="XAP43">
        <f t="shared" si="294"/>
        <v>0</v>
      </c>
      <c r="XAQ43">
        <f t="shared" si="294"/>
        <v>0</v>
      </c>
      <c r="XAR43">
        <f t="shared" si="294"/>
        <v>0</v>
      </c>
      <c r="XAS43">
        <f t="shared" si="294"/>
        <v>0</v>
      </c>
      <c r="XAT43">
        <f t="shared" si="294"/>
        <v>0</v>
      </c>
      <c r="XAU43">
        <f t="shared" si="294"/>
        <v>0</v>
      </c>
      <c r="XAV43">
        <f t="shared" si="294"/>
        <v>0</v>
      </c>
      <c r="XAW43">
        <f t="shared" si="294"/>
        <v>0</v>
      </c>
      <c r="XAX43">
        <f t="shared" si="294"/>
        <v>0</v>
      </c>
      <c r="XAY43">
        <f t="shared" si="294"/>
        <v>0</v>
      </c>
      <c r="XAZ43">
        <f t="shared" si="294"/>
        <v>0</v>
      </c>
      <c r="XBA43">
        <f t="shared" si="294"/>
        <v>0</v>
      </c>
      <c r="XBB43">
        <f t="shared" si="294"/>
        <v>0</v>
      </c>
      <c r="XBC43">
        <f t="shared" si="294"/>
        <v>0</v>
      </c>
      <c r="XBD43">
        <f t="shared" si="294"/>
        <v>0</v>
      </c>
      <c r="XBE43">
        <f t="shared" si="294"/>
        <v>0</v>
      </c>
      <c r="XBF43">
        <f t="shared" si="294"/>
        <v>0</v>
      </c>
      <c r="XBG43">
        <f t="shared" si="294"/>
        <v>0</v>
      </c>
      <c r="XBH43">
        <f t="shared" si="294"/>
        <v>0</v>
      </c>
      <c r="XBI43">
        <f t="shared" si="294"/>
        <v>0</v>
      </c>
      <c r="XBJ43">
        <f t="shared" si="294"/>
        <v>0</v>
      </c>
      <c r="XBK43">
        <f t="shared" si="294"/>
        <v>0</v>
      </c>
      <c r="XBL43">
        <f t="shared" si="294"/>
        <v>0</v>
      </c>
      <c r="XBM43">
        <f t="shared" si="294"/>
        <v>0</v>
      </c>
      <c r="XBN43">
        <f t="shared" si="294"/>
        <v>0</v>
      </c>
      <c r="XBO43">
        <f t="shared" si="294"/>
        <v>0</v>
      </c>
      <c r="XBP43">
        <f t="shared" si="294"/>
        <v>0</v>
      </c>
      <c r="XBQ43">
        <f t="shared" si="294"/>
        <v>0</v>
      </c>
      <c r="XBR43">
        <f t="shared" si="294"/>
        <v>0</v>
      </c>
      <c r="XBS43">
        <f t="shared" si="294"/>
        <v>0</v>
      </c>
      <c r="XBT43">
        <f t="shared" si="294"/>
        <v>0</v>
      </c>
      <c r="XBU43">
        <f t="shared" si="294"/>
        <v>0</v>
      </c>
      <c r="XBV43">
        <f t="shared" si="294"/>
        <v>0</v>
      </c>
      <c r="XBW43">
        <f t="shared" si="294"/>
        <v>0</v>
      </c>
      <c r="XBX43">
        <f t="shared" si="294"/>
        <v>0</v>
      </c>
      <c r="XBY43">
        <f t="shared" si="294"/>
        <v>0</v>
      </c>
      <c r="XBZ43">
        <f t="shared" si="294"/>
        <v>0</v>
      </c>
      <c r="XCA43">
        <f t="shared" si="294"/>
        <v>0</v>
      </c>
      <c r="XCB43">
        <f t="shared" si="294"/>
        <v>0</v>
      </c>
      <c r="XCC43">
        <f t="shared" si="294"/>
        <v>0</v>
      </c>
      <c r="XCD43">
        <f t="shared" si="294"/>
        <v>0</v>
      </c>
      <c r="XCE43">
        <f t="shared" si="294"/>
        <v>0</v>
      </c>
      <c r="XCF43">
        <f t="shared" si="294"/>
        <v>0</v>
      </c>
      <c r="XCG43">
        <f t="shared" si="294"/>
        <v>0</v>
      </c>
      <c r="XCH43">
        <f t="shared" si="294"/>
        <v>0</v>
      </c>
      <c r="XCI43">
        <f t="shared" si="294"/>
        <v>0</v>
      </c>
      <c r="XCJ43">
        <f t="shared" si="294"/>
        <v>0</v>
      </c>
      <c r="XCK43">
        <f t="shared" si="294"/>
        <v>0</v>
      </c>
      <c r="XCL43">
        <f t="shared" si="294"/>
        <v>0</v>
      </c>
      <c r="XCM43">
        <f t="shared" si="294"/>
        <v>0</v>
      </c>
      <c r="XCN43">
        <f t="shared" si="294"/>
        <v>0</v>
      </c>
      <c r="XCO43">
        <f t="shared" si="294"/>
        <v>0</v>
      </c>
      <c r="XCP43">
        <f t="shared" si="295"/>
        <v>0</v>
      </c>
      <c r="XCQ43">
        <f t="shared" si="295"/>
        <v>0</v>
      </c>
      <c r="XCR43">
        <f t="shared" si="295"/>
        <v>0</v>
      </c>
      <c r="XCS43">
        <f t="shared" si="295"/>
        <v>0</v>
      </c>
      <c r="XCT43">
        <f t="shared" si="295"/>
        <v>0</v>
      </c>
      <c r="XCU43">
        <f t="shared" si="295"/>
        <v>0</v>
      </c>
      <c r="XCV43">
        <f t="shared" si="295"/>
        <v>0</v>
      </c>
      <c r="XCW43">
        <f t="shared" si="295"/>
        <v>0</v>
      </c>
      <c r="XCX43">
        <f t="shared" si="295"/>
        <v>0</v>
      </c>
      <c r="XCY43">
        <f t="shared" si="295"/>
        <v>0</v>
      </c>
      <c r="XCZ43">
        <f t="shared" si="295"/>
        <v>0</v>
      </c>
      <c r="XDA43">
        <f t="shared" si="295"/>
        <v>0</v>
      </c>
      <c r="XDB43">
        <f t="shared" si="295"/>
        <v>0</v>
      </c>
      <c r="XDC43">
        <f t="shared" si="295"/>
        <v>0</v>
      </c>
      <c r="XDD43">
        <f t="shared" si="295"/>
        <v>0</v>
      </c>
      <c r="XDE43">
        <f t="shared" si="295"/>
        <v>0</v>
      </c>
      <c r="XDF43">
        <f t="shared" si="295"/>
        <v>0</v>
      </c>
      <c r="XDG43">
        <f t="shared" si="295"/>
        <v>0</v>
      </c>
      <c r="XDH43">
        <f t="shared" si="295"/>
        <v>0</v>
      </c>
      <c r="XDI43">
        <f t="shared" si="295"/>
        <v>0</v>
      </c>
      <c r="XDJ43">
        <f t="shared" si="295"/>
        <v>0</v>
      </c>
      <c r="XDK43">
        <f t="shared" si="295"/>
        <v>0</v>
      </c>
      <c r="XDL43">
        <f t="shared" si="295"/>
        <v>0</v>
      </c>
      <c r="XDM43">
        <f t="shared" si="295"/>
        <v>0</v>
      </c>
      <c r="XDN43">
        <f t="shared" si="295"/>
        <v>0</v>
      </c>
      <c r="XDO43">
        <f t="shared" si="295"/>
        <v>0</v>
      </c>
      <c r="XDP43">
        <f t="shared" si="295"/>
        <v>0</v>
      </c>
      <c r="XDQ43">
        <f t="shared" si="295"/>
        <v>0</v>
      </c>
      <c r="XDR43">
        <f t="shared" si="295"/>
        <v>0</v>
      </c>
      <c r="XDS43">
        <f t="shared" si="295"/>
        <v>0</v>
      </c>
      <c r="XDT43">
        <f t="shared" si="295"/>
        <v>0</v>
      </c>
      <c r="XDU43">
        <f t="shared" si="295"/>
        <v>0</v>
      </c>
      <c r="XDV43">
        <f t="shared" si="295"/>
        <v>0</v>
      </c>
      <c r="XDW43">
        <f t="shared" si="295"/>
        <v>0</v>
      </c>
      <c r="XDX43">
        <f t="shared" si="295"/>
        <v>0</v>
      </c>
      <c r="XDY43">
        <f t="shared" si="295"/>
        <v>0</v>
      </c>
      <c r="XDZ43">
        <f t="shared" si="295"/>
        <v>0</v>
      </c>
      <c r="XEA43">
        <f t="shared" si="295"/>
        <v>0</v>
      </c>
      <c r="XEB43">
        <f t="shared" si="295"/>
        <v>0</v>
      </c>
      <c r="XEC43">
        <f t="shared" si="295"/>
        <v>0</v>
      </c>
      <c r="XED43">
        <f t="shared" si="295"/>
        <v>0</v>
      </c>
      <c r="XEE43">
        <f t="shared" si="295"/>
        <v>0</v>
      </c>
      <c r="XEF43">
        <f t="shared" si="295"/>
        <v>0</v>
      </c>
      <c r="XEG43">
        <f t="shared" si="295"/>
        <v>0</v>
      </c>
      <c r="XEH43">
        <f t="shared" si="295"/>
        <v>0</v>
      </c>
      <c r="XEI43">
        <f t="shared" si="295"/>
        <v>0</v>
      </c>
      <c r="XEJ43">
        <f t="shared" si="295"/>
        <v>0</v>
      </c>
      <c r="XEK43">
        <f t="shared" si="295"/>
        <v>0</v>
      </c>
      <c r="XEL43">
        <f t="shared" si="295"/>
        <v>0</v>
      </c>
      <c r="XEM43">
        <f t="shared" si="295"/>
        <v>0</v>
      </c>
      <c r="XEN43">
        <f t="shared" si="295"/>
        <v>0</v>
      </c>
      <c r="XEO43">
        <f t="shared" si="295"/>
        <v>0</v>
      </c>
      <c r="XEP43">
        <f t="shared" si="295"/>
        <v>0</v>
      </c>
      <c r="XEQ43">
        <f t="shared" si="295"/>
        <v>0</v>
      </c>
      <c r="XER43">
        <f t="shared" si="295"/>
        <v>0</v>
      </c>
      <c r="XES43">
        <f t="shared" si="295"/>
        <v>0</v>
      </c>
      <c r="XET43">
        <f t="shared" si="295"/>
        <v>0</v>
      </c>
      <c r="XEU43">
        <f t="shared" si="295"/>
        <v>0</v>
      </c>
    </row>
    <row r="44" spans="1:16375" s="74" customFormat="1" ht="6.6" hidden="1" customHeight="1" thickBot="1" x14ac:dyDescent="0.3">
      <c r="A44" s="57"/>
      <c r="B44" s="57"/>
      <c r="C44" s="195"/>
      <c r="D44" s="195"/>
      <c r="E44" s="87"/>
      <c r="F44" s="87"/>
      <c r="G44" s="65"/>
      <c r="H44" s="190"/>
      <c r="I44" s="189"/>
      <c r="J44" s="65"/>
      <c r="K44" s="190"/>
      <c r="L44" s="189"/>
      <c r="M44" s="65"/>
      <c r="N44" s="190"/>
      <c r="O44" s="190"/>
      <c r="P44" s="189"/>
      <c r="Q44" s="189"/>
      <c r="R44" s="196"/>
      <c r="S44" s="65"/>
      <c r="T44" s="190"/>
      <c r="U44" s="190"/>
      <c r="V44" s="189"/>
      <c r="W44" s="189"/>
      <c r="X44" s="191"/>
      <c r="Y44" s="65"/>
      <c r="Z44" s="190"/>
      <c r="AA44" s="190"/>
      <c r="AB44" s="189"/>
      <c r="AC44" s="189"/>
      <c r="AD44" s="190"/>
      <c r="AE44" s="70"/>
      <c r="AF44" s="115"/>
      <c r="AG44" s="19"/>
      <c r="AH44" s="197"/>
      <c r="AJ44" s="197"/>
      <c r="AK44" s="198"/>
      <c r="AL44" s="199"/>
      <c r="AM44" s="76"/>
      <c r="AN44" s="199"/>
      <c r="AO44" s="200"/>
      <c r="AP44" s="78"/>
      <c r="AQ44" s="67"/>
      <c r="AS44" s="201"/>
      <c r="AU44" s="74" t="s">
        <v>41</v>
      </c>
      <c r="AV44" s="67"/>
      <c r="AW44" s="67"/>
      <c r="AX44" s="67"/>
      <c r="AY44" s="80"/>
      <c r="AZ44" s="80"/>
      <c r="BA44" s="81"/>
      <c r="BC44" s="82">
        <v>0</v>
      </c>
      <c r="BD44" s="82">
        <v>0</v>
      </c>
      <c r="BF44" s="83">
        <v>0</v>
      </c>
      <c r="BG44" s="83">
        <v>0</v>
      </c>
      <c r="BI44" s="84">
        <v>0</v>
      </c>
      <c r="BL44" s="83">
        <v>0</v>
      </c>
    </row>
    <row r="45" spans="1:16375" s="74" customFormat="1" ht="15" customHeight="1" thickBot="1" x14ac:dyDescent="0.3">
      <c r="A45" s="57" t="s">
        <v>89</v>
      </c>
      <c r="B45" s="57" t="str">
        <f>D45&amp;E45&amp;F45</f>
        <v>MBEQE 280AMG</v>
      </c>
      <c r="C45" s="58" t="s">
        <v>37</v>
      </c>
      <c r="D45" s="120" t="s">
        <v>47</v>
      </c>
      <c r="E45" s="121" t="s">
        <v>90</v>
      </c>
      <c r="F45" s="122" t="s">
        <v>49</v>
      </c>
      <c r="G45" s="157"/>
      <c r="H45" s="63">
        <v>5717435</v>
      </c>
      <c r="I45" s="64">
        <f>H45/$H$48*$I$48</f>
        <v>83.069109781053925</v>
      </c>
      <c r="J45" s="65">
        <v>0.08</v>
      </c>
      <c r="K45" s="66">
        <f>(((H45-AO45)/(1+AQ45)/1.2/$AS$1)+AS45)*(1+AQ45)*(1.2)*$AS$1+AO45</f>
        <v>5656794.3499999996</v>
      </c>
      <c r="L45" s="64">
        <f>K45/$K$49*$L$49</f>
        <v>84.595346025040655</v>
      </c>
      <c r="M45" s="157"/>
      <c r="N45" s="205">
        <f>AN45*1.2*(1+AV45)+AO45</f>
        <v>5204250.8020000001</v>
      </c>
      <c r="O45" s="63">
        <f>AK45*1.2*(1+AV45)+AO45</f>
        <v>5260040.2</v>
      </c>
      <c r="P45" s="64">
        <f>IF(ISNUMBER(O45),O45/$O$48*$P$48,"")</f>
        <v>83.069109781053939</v>
      </c>
      <c r="Q45" s="206">
        <f>IF(ISNUMBER(N45),N45/$N$48*$Q$48,"")</f>
        <v>82.188056509430467</v>
      </c>
      <c r="R45" s="67">
        <f>_xlfn.XLOOKUP(A45,'[1]My Input'!$B:$B,'[1]My Input'!$F:$F)</f>
        <v>0</v>
      </c>
      <c r="S45" s="157"/>
      <c r="T45" s="66">
        <f>IF(X45&lt;&gt;0,AM45*1.2*(1+AW45)+AO45-X45,AN45*1.2*(1+AV45)+AO45)</f>
        <v>5204250.8020000001</v>
      </c>
      <c r="U45" s="63">
        <f>IF(X45&lt;&gt;0,AJ45*1.2*(1+AW45)+AO45-X45,AK45*1.2*(1+AV45)+AO45)</f>
        <v>5260040.2</v>
      </c>
      <c r="V45" s="64">
        <f>IF(ISNUMBER(U45),U45/$U$48*$V$48,"")</f>
        <v>85.165422814394049</v>
      </c>
      <c r="W45" s="64">
        <f>IF(ISNUMBER(T45),T45/$T$48*$W$48,"")</f>
        <v>84.262135484150747</v>
      </c>
      <c r="X45" s="68">
        <f>_xlfn.XLOOKUP(A45,'[1]My Input'!$B:$B,'[1]My Input'!$I:$I)</f>
        <v>0</v>
      </c>
      <c r="Y45" s="157"/>
      <c r="Z45" s="66">
        <f>IF(AD45&lt;&gt;0,AM45*1.2*(1+AQ45)+AO45-AD45,AL45*(1-AG45)*1.2*(1+AQ45)+AO45)</f>
        <v>5123433.9720000001</v>
      </c>
      <c r="AA45" s="63">
        <f>IF(AD45&lt;&gt;0,AJ45*1.2*(1+AX45)+AO45-AD45,AH45*(1-AG45)*1.2*(1+AV45)+AO45)</f>
        <v>5179223.37</v>
      </c>
      <c r="AB45" s="64">
        <f>IF(ISNUMBER(AA45),AA45/$AA$48*$AB$48,"")</f>
        <v>80.995688397143169</v>
      </c>
      <c r="AC45" s="64">
        <f>IF(ISNUMBER(Z45),Z45/$Z$48*$AC$48,"")</f>
        <v>80.123221547683414</v>
      </c>
      <c r="AD45" s="69">
        <f>_xlfn.XLOOKUP(A45,'[1]My Input'!$B:$B,'[1]My Input'!$N:$N)</f>
        <v>80816.83</v>
      </c>
      <c r="AE45" s="70"/>
      <c r="AF45" s="71">
        <f>_xlfn.XLOOKUP(A45,'[1]My Input'!$B:$B,'[1]My Input'!$E:$E)</f>
        <v>0.08</v>
      </c>
      <c r="AG45" s="72">
        <f>_xlfn.XLOOKUP(A45,'[1]My Input'!$B:$B,'[1]My Input'!$G:$G)</f>
        <v>0.08</v>
      </c>
      <c r="AH45" s="73">
        <f>(H45-AO45)/1.2/(1+AQ45)</f>
        <v>3073889.7849462368</v>
      </c>
      <c r="AJ45" s="73">
        <f>AH45*(1-AF45)</f>
        <v>2827978.602150538</v>
      </c>
      <c r="AK45" s="75">
        <f>AH45*(1-AF45-R45)</f>
        <v>2827978.602150538</v>
      </c>
      <c r="AL45" s="76">
        <f>(K45-AO45)/1.2/(1+AQ45)</f>
        <v>3041287.2849462368</v>
      </c>
      <c r="AM45" s="76">
        <f>AL45*(1-AF45)</f>
        <v>2797984.3021505377</v>
      </c>
      <c r="AN45" s="76">
        <f>AL45*(1-AF45-R45)</f>
        <v>2797984.3021505377</v>
      </c>
      <c r="AO45" s="77">
        <f>_xlfn.XLOOKUP(A45,'[1]My Input'!$B:$B,'[1]My Input'!$T:$T)</f>
        <v>0</v>
      </c>
      <c r="AP45" s="78">
        <f>_xlfn.XLOOKUP(A45,'[1]My Input'!$B:$B,'[1]My Input'!$S:$S)</f>
        <v>0</v>
      </c>
      <c r="AQ45" s="67">
        <f>_xlfn.XLOOKUP(A45,'[1]My Input'!$B:$B,'[1]My Input'!$U:$U)</f>
        <v>0.55000000000000004</v>
      </c>
      <c r="AS45" s="153">
        <v>-621</v>
      </c>
      <c r="AU45" s="74" t="s">
        <v>41</v>
      </c>
      <c r="AV45" s="67" cm="1">
        <f t="array" ref="AV45">_xlfn.IFS(
 AND(AY45="ICE",  AP45&lt;=1400,AND(AK45&gt;900000,  AK45&lt;=1100000)),                    80%,
 AND(AY45="ICE",  AP45&lt;=1400,AK45&gt;1100000),                                       90%,
 AND(AY45="ICE",  AND(AP45&gt;1400,AP45&lt;=1600),   AK45&lt;=850000),                      75%,
 AND(AY45="ICE",  AND(AP45&gt;1400,AP45&lt;=1600),   AND(AK45&gt;850000,AK45&lt;=1100000)),     80%,
 AND(AY45="ICE",  AND(AP45&gt;1400,AP45&lt;=1600),   AND(AK45&gt;1100000,AK45&lt;=1650000)),    90%,
 AND(AY45="ICE",  AND(AP45&gt;1400,AP45&lt;=1600),   AK45&gt;1650000),                      100%,
 AND(AY45="ICE",  AND(AP45&gt;1600,AP45&lt;=2000),   AK45&lt;=1650000),                     150%,
 AND(AY45="ICE",  AND(AP45&gt;1600,AP45&lt;=2000),   AK45&gt;1650000),                      170%,
 AND(AY45="ICE",  AP45&gt;2000),                                                    220%,
 AND(AY45="PHEV",  AP45&lt;=1600,                AK45&lt;=1350000),                     45%,
 AND(AY45="PHEV",  AP45&lt;=1600,                AK45&gt;1350000),                      75%,
 AND(AY45="PHEV",  AND(AP45&gt;1600,AP45&lt;=1800),  AK45&lt;=1350000),                     85%,
 AND(AY45="BEV",    AZ45&lt;=160,                 AK45&lt;=1650000),                     25%,
 AND(AY45="BEV",    AZ45&lt;=160,                 AK45&gt;1650000),                      55%,
 AND(AY45="BEV",    AZ45&gt; 160,                 AK45&lt;=1650000),                     65%,
 AND(AY45="BEV",    AZ45&gt; 160,                 AK45&gt;1650000),                      75%)</f>
        <v>0.55000000000000004</v>
      </c>
      <c r="AW45" s="67" cm="1">
        <f t="array" ref="AW45">_xlfn.IFS(
 X45=0,AV45,
 AND(AY45="ICE",  AP45&lt;=1400,AND((AJ45-BA45)&gt;900000,  (AJ45-BA45)&lt;=1100000)),                    80%,
 AND(AY45="ICE",  AP45&lt;=1400,(AJ45-BA45)&gt;1100000),                                       90%,
 AND(AY45="ICE",  AND(AP45&gt;1400,AP45&lt;=1600),   (AJ45-BA45)&lt;=850000),                      75%,
 AND(AY45="ICE",  AND(AP45&gt;1400,AP45&lt;=1600),   AND((AJ45-BA45)&gt;850000,(AJ45-BA45)&lt;=1100000)),     80%,
 AND(AY45="ICE",  AND(AP45&gt;1400,AP45&lt;=1600),   AND((AJ45-BA45)&gt;1100000,(AJ45-BA45)&lt;=1650000)),    90%,
 AND(AY45="ICE",  AND(AP45&gt;1400,AP45&lt;=1600),   (AJ45-BA45)&gt;1650000),                      100%,
 AND(AY45="ICE",  AND(AP45&gt;1600,AP45&lt;=2000),   (AJ45-BA45)&lt;=1650000),                     150%,
 AND(AY45="ICE",  AND(AP45&gt;1600,AP45&lt;=2000),   (AJ45-BA45)&gt;1650000),                      170%,
 AND(AY45="ICE",  AP45&gt;2000),                                                    220%,
 AND(AY45="PHEV",  AP45&lt;=1600,                (AJ45-BA45)&lt;=1350000),                     45%,
 AND(AY45="PHEV",  AP45&lt;=1600,                (AJ45-BA45)&gt;1350000),                      75%,
 AND(AY45="PHEV",  AND(AP45&gt;1600,AP45&lt;=1800),  (AJ45-BA45)&lt;=1350000),                     85%,
 AND(AY45="BEV",    AZ45&lt;=160,                 (AJ45-BA45)&lt;=1650000),                     25%,
 AND(AY45="BEV",    AZ45&lt;=160,                 (AJ45-BA45)&gt;1650000),                      55%,
 AND(AY45="BEV",    AZ45&gt; 160,                 (AJ45-BA45)&lt;=1650000),                     65%,
 AND(AY45="BEV",    AZ45&gt; 160,                 (AJ45-BA45)&gt;1650000),                      75%)</f>
        <v>0.55000000000000004</v>
      </c>
      <c r="AX45" s="67" cm="1">
        <f t="array" ref="AX45">_xlfn.IFS(
 AD45=0,AV45,
 AND(AY45="ICE",  AP45&lt;=1400,AND(AJ45&gt;900000,  AJ45&lt;=1100000)),                    80%,
 AND(AY45="ICE",  AP45&lt;=1400,AJ45&gt;1100000),                                       90%,
 AND(AY45="ICE",  AND(AP45&gt;1400,AP45&lt;=1600),   AJ45&lt;=850000),                      75%,
 AND(AY45="ICE",  AND(AP45&gt;1400,AP45&lt;=1600),   AND(AJ45&gt;850000,AJ45&lt;=1100000)),     80%,
 AND(AY45="ICE",  AND(AP45&gt;1400,AP45&lt;=1600),   AND(AJ45&gt;1100000,AJ45&lt;=1650000)),    90%,
 AND(AY45="ICE",  AND(AP45&gt;1400,AP45&lt;=1600),   AJ45&gt;1650000),                      100%,
 AND(AY45="ICE",  AND(AP45&gt;1600,AP45&lt;=2000),   AJ45&lt;=1650000),                     150%,
 AND(AY45="ICE",  AND(AP45&gt;1600,AP45&lt;=2000),   AJ45&gt;1650000),                      170%,
 AND(AY45="ICE",  AP45&gt;2000),                                                    220%,
 AND(AY45="PHEV",  AP45&lt;=1600,                AJ45&lt;=1350000),                     45%,
 AND(AY45="PHEV",  AP45&lt;=1600,                AJ45&gt;1350000),                      75%,
 AND(AY45="PHEV",  AND(AP45&gt;1600,AP45&lt;=1800),  AJ45&lt;=1350000),                     85%,
 AND(AY45="BEV",    AZ45&lt;=160,                 AJ45&lt;=1650000),                     25%,
 AND(AY45="BEV",    AZ45&lt;=160,                 AJ45&gt;1650000),                      55%,
 AND(AY45="BEV",    AZ45&gt; 160,                 AJ45&lt;=1650000),                     65%,
 AND(AY45="BEV",    AZ45&gt; 160,                 AJ45&gt;1650000),                      75%)</f>
        <v>0.55000000000000004</v>
      </c>
      <c r="AY45" s="80" t="str">
        <f>_xlfn.XLOOKUP(A45,'[1]My Input'!$B:$B,'[1]My Input'!$V:$V)</f>
        <v>BEV</v>
      </c>
      <c r="AZ45" s="80">
        <f>_xlfn.IFNA(_xlfn.XLOOKUP(A45,'[1]kW Tescil'!$A:$A,'[1]kW Tescil'!$C:$C),"-")</f>
        <v>160</v>
      </c>
      <c r="BA45" s="81">
        <f>_xlfn.XLOOKUP(A45,'[1]My Input'!$B:$B,'[1]My Input'!$H:$H)</f>
        <v>0</v>
      </c>
      <c r="BC45" s="82">
        <v>1.6743802521267099</v>
      </c>
      <c r="BD45" s="82">
        <v>2.9934475531397169</v>
      </c>
      <c r="BF45" s="83">
        <v>7.2006470869682602</v>
      </c>
      <c r="BG45" s="83">
        <v>8.4966460706496605</v>
      </c>
      <c r="BI45" s="84">
        <v>429822.78603999969</v>
      </c>
      <c r="BL45" s="83">
        <v>-3.9841073027232312</v>
      </c>
    </row>
    <row r="46" spans="1:16375" s="74" customFormat="1" ht="15" customHeight="1" x14ac:dyDescent="0.25">
      <c r="A46" s="57" t="s">
        <v>89</v>
      </c>
      <c r="B46" s="57" t="s">
        <v>91</v>
      </c>
      <c r="C46" s="85" t="s">
        <v>42</v>
      </c>
      <c r="D46" s="144" t="s">
        <v>47</v>
      </c>
      <c r="E46" s="145" t="s">
        <v>90</v>
      </c>
      <c r="F46" s="146" t="s">
        <v>49</v>
      </c>
      <c r="G46" s="178"/>
      <c r="H46" s="89">
        <v>6150631</v>
      </c>
      <c r="I46" s="90">
        <f>H46/$H$49*$I$49</f>
        <v>91.980497349588433</v>
      </c>
      <c r="J46" s="65">
        <v>0.08</v>
      </c>
      <c r="K46" s="66">
        <f>(((H46-AO46)/(1+AQ46)/1.2/$AS$1)+AS46)*(1+AQ46)*(1.2)*$AS$1+AO46</f>
        <v>6089990.3499999996</v>
      </c>
      <c r="L46" s="64">
        <f>K46/$K$49*$L$49</f>
        <v>91.073638013269559</v>
      </c>
      <c r="M46" s="157"/>
      <c r="N46" s="66">
        <f>AN46*1.2*(1+AV46)+AO46</f>
        <v>5602791.1219999995</v>
      </c>
      <c r="O46" s="89">
        <f>AK46*1.2*(1+AV46)+AO46</f>
        <v>5658580.5200000005</v>
      </c>
      <c r="P46" s="90">
        <f t="shared" ref="P46:P47" si="296">IF(ISNUMBER(O46),O46/$O$48*$P$48,"")</f>
        <v>89.363052096220343</v>
      </c>
      <c r="Q46" s="207">
        <f t="shared" ref="Q46:Q47" si="297">IF(ISNUMBER(N46),N46/$N$48*$Q$48,"")</f>
        <v>88.481998824596872</v>
      </c>
      <c r="R46" s="67">
        <f>_xlfn.XLOOKUP(A46,'[1]My Input'!$B:$B,'[1]My Input'!$F:$F)</f>
        <v>0</v>
      </c>
      <c r="S46" s="157"/>
      <c r="T46" s="158">
        <f>IF(X46&lt;&gt;0,AM46*1.2*(1+AW46)+AO46-X46,AN46*1.2*(1+AV46)+AO46)</f>
        <v>5602791.1219999995</v>
      </c>
      <c r="U46" s="89">
        <f>IF(X46&lt;&gt;0,AJ46*1.2*(1+AW46)+AO46-X46,AK46*1.2*(1+AV46)+AO46)</f>
        <v>5658580.5200000005</v>
      </c>
      <c r="V46" s="90">
        <f>IF(ISNUMBER(U46),U46/$U$48*$V$48,"")</f>
        <v>91.618197616644409</v>
      </c>
      <c r="W46" s="90">
        <f>IF(ISNUMBER(T46),T46/$T$48*$W$48,"")</f>
        <v>90.714910286401079</v>
      </c>
      <c r="X46" s="92">
        <f>_xlfn.XLOOKUP(A46,'[1]My Input'!$B:$B,'[1]My Input'!$I:$I)</f>
        <v>0</v>
      </c>
      <c r="Y46" s="157"/>
      <c r="Z46" s="158">
        <f>IF(AD46&lt;&gt;0,AM46*1.2*(1+AQ46)+AO46-AD46,AL46*(1-AG46)*1.2*(1+AQ46)+AO46)</f>
        <v>5521974.2919999994</v>
      </c>
      <c r="AA46" s="89">
        <f>IF(AD46&lt;&gt;0,AJ46*1.2*(1+AX46)+AO46-AD46,AH46*(1-AG46)*1.2*(1+AV46)+AO46)</f>
        <v>5577763.6900000004</v>
      </c>
      <c r="AB46" s="90">
        <f>IF(ISNUMBER(AA46),AA46/$AA$48*$AB$48,"")</f>
        <v>87.228292258060975</v>
      </c>
      <c r="AC46" s="90">
        <f>IF(ISNUMBER(Z46),Z46/$Z$48*$AC$48,"")</f>
        <v>86.35582540860122</v>
      </c>
      <c r="AD46" s="93">
        <f>_xlfn.XLOOKUP(A46,'[1]My Input'!$B:$B,'[1]My Input'!$N:$N)</f>
        <v>80816.83</v>
      </c>
      <c r="AE46" s="70"/>
      <c r="AF46" s="71">
        <f>_xlfn.XLOOKUP(A46,'[1]My Input'!$B:$B,'[1]My Input'!$E:$E)</f>
        <v>0.08</v>
      </c>
      <c r="AG46" s="208">
        <f>_xlfn.XLOOKUP(A46,'[1]My Input'!$B:$B,'[1]My Input'!$G:$G)</f>
        <v>0.08</v>
      </c>
      <c r="AH46" s="73">
        <f>(H46-AO46)/1.2/(1+AQ46)</f>
        <v>3306790.8602150539</v>
      </c>
      <c r="AJ46" s="73">
        <f>AH46*(1-AF46)</f>
        <v>3042247.5913978498</v>
      </c>
      <c r="AK46" s="75">
        <f>AH46*(1-AF46-R46)</f>
        <v>3042247.5913978498</v>
      </c>
      <c r="AL46" s="76">
        <f>(K46-AO46)/1.2/(1+AQ46)</f>
        <v>3274188.3602150534</v>
      </c>
      <c r="AM46" s="76">
        <f>AL46*(1-AF46)</f>
        <v>3012253.2913978491</v>
      </c>
      <c r="AN46" s="76">
        <f>AL46*(1-AF46-R46)</f>
        <v>3012253.2913978491</v>
      </c>
      <c r="AO46" s="77">
        <f>_xlfn.XLOOKUP(A46,'[1]My Input'!$B:$B,'[1]My Input'!$T:$T)</f>
        <v>0</v>
      </c>
      <c r="AP46" s="78">
        <f>_xlfn.XLOOKUP(A46,'[1]My Input'!$B:$B,'[1]My Input'!$S:$S)</f>
        <v>0</v>
      </c>
      <c r="AQ46" s="67">
        <f>_xlfn.XLOOKUP(A46,'[1]My Input'!$B:$B,'[1]My Input'!$U:$U)</f>
        <v>0.55000000000000004</v>
      </c>
      <c r="AS46" s="153">
        <v>-621</v>
      </c>
      <c r="AU46" s="74" t="s">
        <v>41</v>
      </c>
      <c r="AV46" s="67" cm="1">
        <f t="array" ref="AV46">_xlfn.IFS(
 AND(AY46="ICE",  AP46&lt;=1400,AND(AK46&gt;900000,  AK46&lt;=1100000)),                    80%,
 AND(AY46="ICE",  AP46&lt;=1400,AK46&gt;1100000),                                       90%,
 AND(AY46="ICE",  AND(AP46&gt;1400,AP46&lt;=1600),   AK46&lt;=850000),                      75%,
 AND(AY46="ICE",  AND(AP46&gt;1400,AP46&lt;=1600),   AND(AK46&gt;850000,AK46&lt;=1100000)),     80%,
 AND(AY46="ICE",  AND(AP46&gt;1400,AP46&lt;=1600),   AND(AK46&gt;1100000,AK46&lt;=1650000)),    90%,
 AND(AY46="ICE",  AND(AP46&gt;1400,AP46&lt;=1600),   AK46&gt;1650000),                      100%,
 AND(AY46="ICE",  AND(AP46&gt;1600,AP46&lt;=2000),   AK46&lt;=1650000),                     150%,
 AND(AY46="ICE",  AND(AP46&gt;1600,AP46&lt;=2000),   AK46&gt;1650000),                      170%,
 AND(AY46="ICE",  AP46&gt;2000),                                                    220%,
 AND(AY46="PHEV",  AP46&lt;=1600,                AK46&lt;=1350000),                     45%,
 AND(AY46="PHEV",  AP46&lt;=1600,                AK46&gt;1350000),                      75%,
 AND(AY46="PHEV",  AND(AP46&gt;1600,AP46&lt;=1800),  AK46&lt;=1350000),                     85%,
 AND(AY46="BEV",    AZ46&lt;=160,                 AK46&lt;=1650000),                     25%,
 AND(AY46="BEV",    AZ46&lt;=160,                 AK46&gt;1650000),                      55%,
 AND(AY46="BEV",    AZ46&gt; 160,                 AK46&lt;=1650000),                     65%,
 AND(AY46="BEV",    AZ46&gt; 160,                 AK46&gt;1650000),                      75%)</f>
        <v>0.55000000000000004</v>
      </c>
      <c r="AW46" s="67" cm="1">
        <f t="array" ref="AW46">_xlfn.IFS(
 X46=0,AV46,
 AND(AY46="ICE",  AP46&lt;=1400,AND((AJ46-BA46)&gt;900000,  (AJ46-BA46)&lt;=1100000)),                    80%,
 AND(AY46="ICE",  AP46&lt;=1400,(AJ46-BA46)&gt;1100000),                                       90%,
 AND(AY46="ICE",  AND(AP46&gt;1400,AP46&lt;=1600),   (AJ46-BA46)&lt;=850000),                      75%,
 AND(AY46="ICE",  AND(AP46&gt;1400,AP46&lt;=1600),   AND((AJ46-BA46)&gt;850000,(AJ46-BA46)&lt;=1100000)),     80%,
 AND(AY46="ICE",  AND(AP46&gt;1400,AP46&lt;=1600),   AND((AJ46-BA46)&gt;1100000,(AJ46-BA46)&lt;=1650000)),    90%,
 AND(AY46="ICE",  AND(AP46&gt;1400,AP46&lt;=1600),   (AJ46-BA46)&gt;1650000),                      100%,
 AND(AY46="ICE",  AND(AP46&gt;1600,AP46&lt;=2000),   (AJ46-BA46)&lt;=1650000),                     150%,
 AND(AY46="ICE",  AND(AP46&gt;1600,AP46&lt;=2000),   (AJ46-BA46)&gt;1650000),                      170%,
 AND(AY46="ICE",  AP46&gt;2000),                                                    220%,
 AND(AY46="PHEV",  AP46&lt;=1600,                (AJ46-BA46)&lt;=1350000),                     45%,
 AND(AY46="PHEV",  AP46&lt;=1600,                (AJ46-BA46)&gt;1350000),                      75%,
 AND(AY46="PHEV",  AND(AP46&gt;1600,AP46&lt;=1800),  (AJ46-BA46)&lt;=1350000),                     85%,
 AND(AY46="BEV",    AZ46&lt;=160,                 (AJ46-BA46)&lt;=1650000),                     25%,
 AND(AY46="BEV",    AZ46&lt;=160,                 (AJ46-BA46)&gt;1650000),                      55%,
 AND(AY46="BEV",    AZ46&gt; 160,                 (AJ46-BA46)&lt;=1650000),                     65%,
 AND(AY46="BEV",    AZ46&gt; 160,                 (AJ46-BA46)&gt;1650000),                      75%)</f>
        <v>0.55000000000000004</v>
      </c>
      <c r="AX46" s="67" cm="1">
        <f t="array" ref="AX46">_xlfn.IFS(
 AD46=0,AV46,
 AND(AY46="ICE",  AP46&lt;=1400,AND(AJ46&gt;900000,  AJ46&lt;=1100000)),                    80%,
 AND(AY46="ICE",  AP46&lt;=1400,AJ46&gt;1100000),                                       90%,
 AND(AY46="ICE",  AND(AP46&gt;1400,AP46&lt;=1600),   AJ46&lt;=850000),                      75%,
 AND(AY46="ICE",  AND(AP46&gt;1400,AP46&lt;=1600),   AND(AJ46&gt;850000,AJ46&lt;=1100000)),     80%,
 AND(AY46="ICE",  AND(AP46&gt;1400,AP46&lt;=1600),   AND(AJ46&gt;1100000,AJ46&lt;=1650000)),    90%,
 AND(AY46="ICE",  AND(AP46&gt;1400,AP46&lt;=1600),   AJ46&gt;1650000),                      100%,
 AND(AY46="ICE",  AND(AP46&gt;1600,AP46&lt;=2000),   AJ46&lt;=1650000),                     150%,
 AND(AY46="ICE",  AND(AP46&gt;1600,AP46&lt;=2000),   AJ46&gt;1650000),                      170%,
 AND(AY46="ICE",  AP46&gt;2000),                                                    220%,
 AND(AY46="PHEV",  AP46&lt;=1600,                AJ46&lt;=1350000),                     45%,
 AND(AY46="PHEV",  AP46&lt;=1600,                AJ46&gt;1350000),                      75%,
 AND(AY46="PHEV",  AND(AP46&gt;1600,AP46&lt;=1800),  AJ46&lt;=1350000),                     85%,
 AND(AY46="BEV",    AZ46&lt;=160,                 AJ46&lt;=1650000),                     25%,
 AND(AY46="BEV",    AZ46&lt;=160,                 AJ46&gt;1650000),                      55%,
 AND(AY46="BEV",    AZ46&gt; 160,                 AJ46&lt;=1650000),                     65%,
 AND(AY46="BEV",    AZ46&gt; 160,                 AJ46&gt;1650000),                      75%)</f>
        <v>0.55000000000000004</v>
      </c>
      <c r="AY46" s="80" t="str">
        <f>_xlfn.XLOOKUP(A46,'[1]My Input'!$B:$B,'[1]My Input'!$V:$V)</f>
        <v>BEV</v>
      </c>
      <c r="AZ46" s="80">
        <f>_xlfn.IFNA(_xlfn.XLOOKUP(A46,'[1]kW Tescil'!$A:$A,'[1]kW Tescil'!$C:$C),"-")</f>
        <v>160</v>
      </c>
      <c r="BA46" s="81">
        <f>_xlfn.XLOOKUP(A46,'[1]My Input'!$B:$B,'[1]My Input'!$H:$H)</f>
        <v>0</v>
      </c>
      <c r="BC46" s="82">
        <v>-6.1369326978831822</v>
      </c>
      <c r="BD46" s="82">
        <v>-7.7013488110337533</v>
      </c>
      <c r="BF46" s="83">
        <v>-0.11839215673199988</v>
      </c>
      <c r="BG46" s="83">
        <v>-1.7359684435184874</v>
      </c>
      <c r="BI46" s="84">
        <v>-53399.31348316092</v>
      </c>
      <c r="BL46" s="83">
        <v>-6.9306394939501388</v>
      </c>
    </row>
    <row r="47" spans="1:16375" s="74" customFormat="1" ht="15" customHeight="1" x14ac:dyDescent="0.25">
      <c r="A47" s="57" t="s">
        <v>92</v>
      </c>
      <c r="B47" s="57" t="str">
        <f>D47&amp;E47&amp;F47</f>
        <v>AudiA6 Sportback e-tron</v>
      </c>
      <c r="C47" s="58" t="s">
        <v>37</v>
      </c>
      <c r="D47" s="144" t="s">
        <v>38</v>
      </c>
      <c r="E47" s="145" t="s">
        <v>93</v>
      </c>
      <c r="F47" s="146"/>
      <c r="G47" s="157"/>
      <c r="H47" s="89">
        <v>7251426</v>
      </c>
      <c r="I47" s="90">
        <f>H47/$H$49*$I$49</f>
        <v>108.44249475764953</v>
      </c>
      <c r="J47" s="65">
        <v>0.26500000000000001</v>
      </c>
      <c r="K47" s="91">
        <f>(((H47-AO47)/(1+AQ47)/1.2/$AS$1)+AS47)*(1+AQ47)*(1.2)*$AS$1+AO47</f>
        <v>7147791.0000000009</v>
      </c>
      <c r="L47" s="90">
        <f>K47/$K$49*$L$49</f>
        <v>106.8926702204883</v>
      </c>
      <c r="M47" s="157"/>
      <c r="N47" s="91">
        <f>AN47*1.2*(1+AV47)+AO47</f>
        <v>5253626.3850000007</v>
      </c>
      <c r="O47" s="89">
        <f>AK47*1.2*(1+AV47)+AO47</f>
        <v>5329798.1099999994</v>
      </c>
      <c r="P47" s="90">
        <f t="shared" si="296"/>
        <v>84.170760579062446</v>
      </c>
      <c r="Q47" s="90">
        <f t="shared" si="297"/>
        <v>82.967819699211915</v>
      </c>
      <c r="R47" s="67">
        <f>_xlfn.XLOOKUP(A47,'[1]My Input'!$B:$B,'[1]My Input'!$F:$F)</f>
        <v>3.5000000000000003E-2</v>
      </c>
      <c r="S47" s="157"/>
      <c r="T47" s="158">
        <f>IF(X47&lt;&gt;0,AM47*1.2*(1+AW47)+AO47-X47,AN47*1.2*(1+AV47)+AO47)</f>
        <v>5253626.3850000007</v>
      </c>
      <c r="U47" s="89">
        <f>IF(X47&lt;&gt;0,AJ47*1.2*(1+AW47)+AO47-X47,AK47*1.2*(1+AV47)+AO47)</f>
        <v>5329798.1099999994</v>
      </c>
      <c r="V47" s="90">
        <f>IF(ISNUMBER(U47),U47/$U$48*$V$48,"")</f>
        <v>86.294874619686041</v>
      </c>
      <c r="W47" s="207">
        <f>IF(ISNUMBER(T47),T47/$T$48*$W$48,"")</f>
        <v>85.061576599239984</v>
      </c>
      <c r="X47" s="92">
        <f>_xlfn.XLOOKUP(A47,'[1]My Input'!$B:$B,'[1]My Input'!$I:$I)</f>
        <v>0</v>
      </c>
      <c r="Y47" s="157"/>
      <c r="Z47" s="158">
        <f>IF(AD47&lt;&gt;0,AM47*1.2*(1+AQ47)+AO47-AD47,AL47*(1-AG47)*1.2*(1+AQ47)+AO47)</f>
        <v>5263291.74</v>
      </c>
      <c r="AA47" s="89">
        <f>IF(AD47&lt;&gt;0,AJ47*1.2*(1+AX47)+AO47-AD47,AH47*(1-AG47)*1.2*(1+AV47)+AO47)</f>
        <v>5343090.6899999995</v>
      </c>
      <c r="AB47" s="90">
        <f>IF(ISNUMBER(AA47),AA47/$AA$48*$AB$48,"")</f>
        <v>83.558340254576933</v>
      </c>
      <c r="AC47" s="207">
        <f>IF(ISNUMBER(Z47),Z47/$Z$48*$AC$48,"")</f>
        <v>82.310398154597735</v>
      </c>
      <c r="AD47" s="93">
        <f>_xlfn.XLOOKUP(A47,'[1]My Input'!$B:$B,'[1]My Input'!$N:$N)</f>
        <v>240507.33</v>
      </c>
      <c r="AE47" s="70"/>
      <c r="AF47" s="71">
        <f>_xlfn.XLOOKUP(A47,'[1]My Input'!$B:$B,'[1]My Input'!$E:$E)</f>
        <v>0.23</v>
      </c>
      <c r="AG47" s="72">
        <f>_xlfn.XLOOKUP(A47,'[1]My Input'!$B:$B,'[1]My Input'!$G:$G)</f>
        <v>0.26500000000000001</v>
      </c>
      <c r="AH47" s="73">
        <f>(H47-AO47)/1.2/(1+AQ47)</f>
        <v>3453060</v>
      </c>
      <c r="AJ47" s="73">
        <f>AH47*(1-AF47)</f>
        <v>2658856.2000000002</v>
      </c>
      <c r="AK47" s="75">
        <f>AH47*(1-AF47-R47)</f>
        <v>2537999.1</v>
      </c>
      <c r="AL47" s="76">
        <f>(K47-AO47)/1.2/(1+AQ47)</f>
        <v>3403710.0000000005</v>
      </c>
      <c r="AM47" s="76">
        <f>AL47*(1-AF47)</f>
        <v>2620856.7000000002</v>
      </c>
      <c r="AN47" s="76">
        <f>AL47*(1-AF47-R47)</f>
        <v>2501726.85</v>
      </c>
      <c r="AO47" s="77">
        <f>_xlfn.XLOOKUP(A47,'[1]My Input'!$B:$B,'[1]My Input'!$T:$T)</f>
        <v>0</v>
      </c>
      <c r="AP47" s="78">
        <f>_xlfn.XLOOKUP(A47,'[1]My Input'!$B:$B,'[1]My Input'!$S:$S)</f>
        <v>0</v>
      </c>
      <c r="AQ47" s="67">
        <f>_xlfn.XLOOKUP(A47,'[1]My Input'!$B:$B,'[1]My Input'!$U:$U)</f>
        <v>0.75</v>
      </c>
      <c r="AS47" s="103">
        <v>-940</v>
      </c>
      <c r="AU47" s="74" t="s">
        <v>41</v>
      </c>
      <c r="AV47" s="67" cm="1">
        <f t="array" ref="AV47">_xlfn.IFS(
 AND(AY47="ICE",  AP47&lt;=1400,AND(AK47&gt;900000,  AK47&lt;=1100000)),                    80%,
 AND(AY47="ICE",  AP47&lt;=1400,AK47&gt;1100000),                                       90%,
 AND(AY47="ICE",  AND(AP47&gt;1400,AP47&lt;=1600),   AK47&lt;=850000),                      75%,
 AND(AY47="ICE",  AND(AP47&gt;1400,AP47&lt;=1600),   AND(AK47&gt;850000,AK47&lt;=1100000)),     80%,
 AND(AY47="ICE",  AND(AP47&gt;1400,AP47&lt;=1600),   AND(AK47&gt;1100000,AK47&lt;=1650000)),    90%,
 AND(AY47="ICE",  AND(AP47&gt;1400,AP47&lt;=1600),   AK47&gt;1650000),                      100%,
 AND(AY47="ICE",  AND(AP47&gt;1600,AP47&lt;=2000),   AK47&lt;=1650000),                     150%,
 AND(AY47="ICE",  AND(AP47&gt;1600,AP47&lt;=2000),   AK47&gt;1650000),                      170%,
 AND(AY47="ICE",  AP47&gt;2000),                                                    220%,
 AND(AY47="PHEV",  AP47&lt;=1600,                AK47&lt;=1350000),                     45%,
 AND(AY47="PHEV",  AP47&lt;=1600,                AK47&gt;1350000),                      75%,
 AND(AY47="PHEV",  AND(AP47&gt;1600,AP47&lt;=1800),  AK47&lt;=1350000),                     85%,
 AND(AY47="BEV",    AZ47&lt;=160,                 AK47&lt;=1650000),                     25%,
 AND(AY47="BEV",    AZ47&lt;=160,                 AK47&gt;1650000),                      55%,
 AND(AY47="BEV",    AZ47&gt; 160,                 AK47&lt;=1650000),                     65%,
 AND(AY47="BEV",    AZ47&gt; 160,                 AK47&gt;1650000),                      75%)</f>
        <v>0.75</v>
      </c>
      <c r="AW47" s="67" cm="1">
        <f t="array" ref="AW47">_xlfn.IFS(
 X47=0,AV47,
 AND(AY47="ICE",  AP47&lt;=1400,AND((AJ47-BA47)&gt;900000,  (AJ47-BA47)&lt;=1100000)),                    80%,
 AND(AY47="ICE",  AP47&lt;=1400,(AJ47-BA47)&gt;1100000),                                       90%,
 AND(AY47="ICE",  AND(AP47&gt;1400,AP47&lt;=1600),   (AJ47-BA47)&lt;=850000),                      75%,
 AND(AY47="ICE",  AND(AP47&gt;1400,AP47&lt;=1600),   AND((AJ47-BA47)&gt;850000,(AJ47-BA47)&lt;=1100000)),     80%,
 AND(AY47="ICE",  AND(AP47&gt;1400,AP47&lt;=1600),   AND((AJ47-BA47)&gt;1100000,(AJ47-BA47)&lt;=1650000)),    90%,
 AND(AY47="ICE",  AND(AP47&gt;1400,AP47&lt;=1600),   (AJ47-BA47)&gt;1650000),                      100%,
 AND(AY47="ICE",  AND(AP47&gt;1600,AP47&lt;=2000),   (AJ47-BA47)&lt;=1650000),                     150%,
 AND(AY47="ICE",  AND(AP47&gt;1600,AP47&lt;=2000),   (AJ47-BA47)&gt;1650000),                      170%,
 AND(AY47="ICE",  AP47&gt;2000),                                                    220%,
 AND(AY47="PHEV",  AP47&lt;=1600,                (AJ47-BA47)&lt;=1350000),                     45%,
 AND(AY47="PHEV",  AP47&lt;=1600,                (AJ47-BA47)&gt;1350000),                      75%,
 AND(AY47="PHEV",  AND(AP47&gt;1600,AP47&lt;=1800),  (AJ47-BA47)&lt;=1350000),                     85%,
 AND(AY47="BEV",    AZ47&lt;=160,                 (AJ47-BA47)&lt;=1650000),                     25%,
 AND(AY47="BEV",    AZ47&lt;=160,                 (AJ47-BA47)&gt;1650000),                      55%,
 AND(AY47="BEV",    AZ47&gt; 160,                 (AJ47-BA47)&lt;=1650000),                     65%,
 AND(AY47="BEV",    AZ47&gt; 160,                 (AJ47-BA47)&gt;1650000),                      75%)</f>
        <v>0.75</v>
      </c>
      <c r="AX47" s="67" cm="1">
        <f t="array" ref="AX47">_xlfn.IFS(
 AD47=0,AV47,
 AND(AY47="ICE",  AP47&lt;=1400,AND(AJ47&gt;900000,  AJ47&lt;=1100000)),                    80%,
 AND(AY47="ICE",  AP47&lt;=1400,AJ47&gt;1100000),                                       90%,
 AND(AY47="ICE",  AND(AP47&gt;1400,AP47&lt;=1600),   AJ47&lt;=850000),                      75%,
 AND(AY47="ICE",  AND(AP47&gt;1400,AP47&lt;=1600),   AND(AJ47&gt;850000,AJ47&lt;=1100000)),     80%,
 AND(AY47="ICE",  AND(AP47&gt;1400,AP47&lt;=1600),   AND(AJ47&gt;1100000,AJ47&lt;=1650000)),    90%,
 AND(AY47="ICE",  AND(AP47&gt;1400,AP47&lt;=1600),   AJ47&gt;1650000),                      100%,
 AND(AY47="ICE",  AND(AP47&gt;1600,AP47&lt;=2000),   AJ47&lt;=1650000),                     150%,
 AND(AY47="ICE",  AND(AP47&gt;1600,AP47&lt;=2000),   AJ47&gt;1650000),                      170%,
 AND(AY47="ICE",  AP47&gt;2000),                                                    220%,
 AND(AY47="PHEV",  AP47&lt;=1600,                AJ47&lt;=1350000),                     45%,
 AND(AY47="PHEV",  AP47&lt;=1600,                AJ47&gt;1350000),                      75%,
 AND(AY47="PHEV",  AND(AP47&gt;1600,AP47&lt;=1800),  AJ47&lt;=1350000),                     85%,
 AND(AY47="BEV",    AZ47&lt;=160,                 AJ47&lt;=1650000),                     25%,
 AND(AY47="BEV",    AZ47&lt;=160,                 AJ47&gt;1650000),                      55%,
 AND(AY47="BEV",    AZ47&gt; 160,                 AJ47&lt;=1650000),                     65%,
 AND(AY47="BEV",    AZ47&gt; 160,                 AJ47&gt;1650000),                      75%)</f>
        <v>0.75</v>
      </c>
      <c r="AY47" s="80" t="str">
        <f>_xlfn.XLOOKUP(A47,'[1]My Input'!$B:$B,'[1]My Input'!$V:$V)</f>
        <v>BEV</v>
      </c>
      <c r="AZ47" s="80">
        <f>_xlfn.IFNA(_xlfn.XLOOKUP(A47,'[1]kW Tescil'!$A:$A,'[1]kW Tescil'!$C:$C),"-")</f>
        <v>240</v>
      </c>
      <c r="BA47" s="81">
        <f>_xlfn.XLOOKUP(A47,'[1]My Input'!$B:$B,'[1]My Input'!$H:$H)</f>
        <v>0</v>
      </c>
      <c r="BC47" s="82">
        <v>-6.1369326978831822</v>
      </c>
      <c r="BD47" s="82">
        <v>-7.7013488110337533</v>
      </c>
      <c r="BF47" s="83">
        <v>-0.11839215673199988</v>
      </c>
      <c r="BG47" s="83">
        <v>-1.7359684435184874</v>
      </c>
      <c r="BI47" s="84">
        <v>-53399.31348316092</v>
      </c>
      <c r="BL47" s="83">
        <v>-6.9306394939501388</v>
      </c>
    </row>
    <row r="48" spans="1:16375" ht="15" customHeight="1" thickBot="1" x14ac:dyDescent="0.3">
      <c r="A48" s="1" t="s">
        <v>94</v>
      </c>
      <c r="B48" s="1" t="str">
        <f>D48&amp;E48&amp;F48</f>
        <v>BMWi5 eDrive40M Sport</v>
      </c>
      <c r="C48" s="85" t="s">
        <v>42</v>
      </c>
      <c r="D48" s="209" t="s">
        <v>44</v>
      </c>
      <c r="E48" s="210" t="s">
        <v>95</v>
      </c>
      <c r="F48" s="96" t="s">
        <v>53</v>
      </c>
      <c r="G48" s="211"/>
      <c r="H48" s="98">
        <v>6882745</v>
      </c>
      <c r="I48" s="99">
        <v>100</v>
      </c>
      <c r="J48" s="65">
        <v>0.08</v>
      </c>
      <c r="K48" s="100">
        <f>(((H48-AO48)/(1+AQ48)/1.2/$AS$1)+AS48)*(1+AQ48)*(1.2)*$AS$1+AO48</f>
        <v>6882745</v>
      </c>
      <c r="L48" s="184">
        <f>K48/$K$49*$L$49</f>
        <v>102.92900163095349</v>
      </c>
      <c r="M48" s="211"/>
      <c r="N48" s="100">
        <f>AN48*1.2*(1+AV48)+AO48</f>
        <v>6332125.3999999994</v>
      </c>
      <c r="O48" s="98">
        <f>AK48*1.2*(1+AV48)+AO48</f>
        <v>6332125.3999999994</v>
      </c>
      <c r="P48" s="99">
        <v>100</v>
      </c>
      <c r="Q48" s="99">
        <v>100</v>
      </c>
      <c r="R48" s="67">
        <v>0.05</v>
      </c>
      <c r="S48" s="211"/>
      <c r="T48" s="100">
        <f>IF(X48&lt;&gt;0,AM48*1.2*(1+AW48)+AO48-X48,AN48*1.2*(1+AV48)+AO48)</f>
        <v>6176262.6500000013</v>
      </c>
      <c r="U48" s="98">
        <f>IF(X48&lt;&gt;0,AJ48*1.2*(1+AW48)+AO48-X48,AK48*1.2*(1+AV48)+AO48)</f>
        <v>6176262.6500000013</v>
      </c>
      <c r="V48" s="99">
        <v>100</v>
      </c>
      <c r="W48" s="99">
        <v>100</v>
      </c>
      <c r="X48" s="102">
        <v>500000</v>
      </c>
      <c r="Y48" s="211"/>
      <c r="Z48" s="100">
        <f>IF(AD48&lt;&gt;0,AM48*1.2*(1+AQ48)+AO48-AD48,AL48*(1-AG48)*1.2*(1+AQ48)+AO48)</f>
        <v>6394443.3000000017</v>
      </c>
      <c r="AA48" s="98">
        <f>IF(AD48&lt;&gt;0,AJ48*1.2*(1+AX48)+AO48-AD48,AH48*(1-AG48)*1.2*(1+AV48)+AO48)</f>
        <v>6394443.3000000017</v>
      </c>
      <c r="AB48" s="99">
        <v>100</v>
      </c>
      <c r="AC48" s="99">
        <v>100</v>
      </c>
      <c r="AD48" s="98">
        <v>281819.34999999998</v>
      </c>
      <c r="AE48" s="129"/>
      <c r="AF48" s="71">
        <f>_xlfn.XLOOKUP(A48,'[1]My Input'!$B:$B,'[1]My Input'!$E:$E)</f>
        <v>0.03</v>
      </c>
      <c r="AG48" s="131">
        <f>AF48+R48</f>
        <v>0.08</v>
      </c>
      <c r="AH48" s="132">
        <f>(H48-AO48)/1.2/(1+AQ48)</f>
        <v>3700400.537634409</v>
      </c>
      <c r="AJ48" s="132">
        <f>AH48*(1-AF48)</f>
        <v>3589388.5215053768</v>
      </c>
      <c r="AK48" s="133">
        <f>AH48*(1-AF48-R48)</f>
        <v>3404368.4946236559</v>
      </c>
      <c r="AL48" s="134">
        <f>(K48-AO48)/1.2/(1+AQ48)</f>
        <v>3700400.537634409</v>
      </c>
      <c r="AM48" s="134">
        <f>AL48*(1-AF48)</f>
        <v>3589388.5215053768</v>
      </c>
      <c r="AN48" s="134">
        <f>AL48*(1-AF48-R48)</f>
        <v>3404368.4946236559</v>
      </c>
      <c r="AO48" s="135">
        <f>_xlfn.XLOOKUP(A48,'[1]My Input'!$B:$B,'[1]My Input'!$T:$T)</f>
        <v>0</v>
      </c>
      <c r="AP48" s="136">
        <f>_xlfn.XLOOKUP(A48,'[1]My Input'!$B:$B,'[1]My Input'!$S:$S)</f>
        <v>0</v>
      </c>
      <c r="AQ48" s="137">
        <f>_xlfn.XLOOKUP(A48,'[1]My Input'!$B:$B,'[1]My Input'!$U:$U)</f>
        <v>0.55000000000000004</v>
      </c>
      <c r="AS48" s="164">
        <f>_xlfn.XLOOKUP(A48,'[1]My Input'!$B:$B,'[1]My Input'!$Q:$Q)</f>
        <v>0</v>
      </c>
      <c r="AV48" s="137" cm="1">
        <f t="array" ref="AV48">_xlfn.IFS(
 AND(AY48="ICE",  AP48&lt;=1400,AND(AK48&gt;900000,  AK48&lt;=1100000)),                    80%,
 AND(AY48="ICE",  AP48&lt;=1400,AK48&gt;1100000),                                       90%,
 AND(AY48="ICE",  AND(AP48&gt;1400,AP48&lt;=1600),   AK48&lt;=850000),                      75%,
 AND(AY48="ICE",  AND(AP48&gt;1400,AP48&lt;=1600),   AND(AK48&gt;850000,AK48&lt;=1100000)),     80%,
 AND(AY48="ICE",  AND(AP48&gt;1400,AP48&lt;=1600),   AND(AK48&gt;1100000,AK48&lt;=1650000)),    90%,
 AND(AY48="ICE",  AND(AP48&gt;1400,AP48&lt;=1600),   AK48&gt;1650000),                      100%,
 AND(AY48="ICE",  AND(AP48&gt;1600,AP48&lt;=2000),   AK48&lt;=1650000),                     150%,
 AND(AY48="ICE",  AND(AP48&gt;1600,AP48&lt;=2000),   AK48&gt;1650000),                      170%,
 AND(AY48="ICE",  AP48&gt;2000),                                                    220%,
 AND(AY48="PHEV",  AP48&lt;=1600,                AK48&lt;=1350000),                     45%,
 AND(AY48="PHEV",  AP48&lt;=1600,                AK48&gt;1350000),                      75%,
 AND(AY48="PHEV",  AND(AP48&gt;1600,AP48&lt;=1800),  AK48&lt;=1350000),                     85%,
 AND(AY48="BEV",    AZ48&lt;=160,                 AK48&lt;=1650000),                     25%,
 AND(AY48="BEV",    AZ48&lt;=160,                 AK48&gt;1650000),                      55%,
 AND(AY48="BEV",    AZ48&gt; 160,                 AK48&lt;=1650000),                     65%,
 AND(AY48="BEV",    AZ48&gt; 160,                 AK48&gt;1650000),                      75%)</f>
        <v>0.55000000000000004</v>
      </c>
      <c r="AW48" s="137" cm="1">
        <f t="array" ref="AW48">_xlfn.IFS(
 X48=0,AV48,
 AND(AY48="ICE",  AP48&lt;=1400,AND((AJ48-BA48)&gt;900000,  (AJ48-BA48)&lt;=1100000)),                    80%,
 AND(AY48="ICE",  AP48&lt;=1400,(AJ48-BA48)&gt;1100000),                                       90%,
 AND(AY48="ICE",  AND(AP48&gt;1400,AP48&lt;=1600),   (AJ48-BA48)&lt;=850000),                      75%,
 AND(AY48="ICE",  AND(AP48&gt;1400,AP48&lt;=1600),   AND((AJ48-BA48)&gt;850000,(AJ48-BA48)&lt;=1100000)),     80%,
 AND(AY48="ICE",  AND(AP48&gt;1400,AP48&lt;=1600),   AND((AJ48-BA48)&gt;1100000,(AJ48-BA48)&lt;=1650000)),    90%,
 AND(AY48="ICE",  AND(AP48&gt;1400,AP48&lt;=1600),   (AJ48-BA48)&gt;1650000),                      100%,
 AND(AY48="ICE",  AND(AP48&gt;1600,AP48&lt;=2000),   (AJ48-BA48)&lt;=1650000),                     150%,
 AND(AY48="ICE",  AND(AP48&gt;1600,AP48&lt;=2000),   (AJ48-BA48)&gt;1650000),                      170%,
 AND(AY48="ICE",  AP48&gt;2000),                                                    220%,
 AND(AY48="PHEV",  AP48&lt;=1600,                (AJ48-BA48)&lt;=1350000),                     45%,
 AND(AY48="PHEV",  AP48&lt;=1600,                (AJ48-BA48)&gt;1350000),                      75%,
 AND(AY48="PHEV",  AND(AP48&gt;1600,AP48&lt;=1800),  (AJ48-BA48)&lt;=1350000),                     85%,
 AND(AY48="BEV",    AZ48&lt;=160,                 (AJ48-BA48)&lt;=1650000),                     25%,
 AND(AY48="BEV",    AZ48&lt;=160,                 (AJ48-BA48)&gt;1650000),                      55%,
 AND(AY48="BEV",    AZ48&gt; 160,                 (AJ48-BA48)&lt;=1650000),                     65%,
 AND(AY48="BEV",    AZ48&gt; 160,                 (AJ48-BA48)&gt;1650000),                      75%)</f>
        <v>0.55000000000000004</v>
      </c>
      <c r="AX48" s="137" cm="1">
        <f t="array" ref="AX48">_xlfn.IFS(
 AD48=0,AV48,
 AND(AY48="ICE",  AP48&lt;=1400,AND(AJ48&gt;900000,  AJ48&lt;=1100000)),                    80%,
 AND(AY48="ICE",  AP48&lt;=1400,AJ48&gt;1100000),                                       90%,
 AND(AY48="ICE",  AND(AP48&gt;1400,AP48&lt;=1600),   AJ48&lt;=850000),                      75%,
 AND(AY48="ICE",  AND(AP48&gt;1400,AP48&lt;=1600),   AND(AJ48&gt;850000,AJ48&lt;=1100000)),     80%,
 AND(AY48="ICE",  AND(AP48&gt;1400,AP48&lt;=1600),   AND(AJ48&gt;1100000,AJ48&lt;=1650000)),    90%,
 AND(AY48="ICE",  AND(AP48&gt;1400,AP48&lt;=1600),   AJ48&gt;1650000),                      100%,
 AND(AY48="ICE",  AND(AP48&gt;1600,AP48&lt;=2000),   AJ48&lt;=1650000),                     150%,
 AND(AY48="ICE",  AND(AP48&gt;1600,AP48&lt;=2000),   AJ48&gt;1650000),                      170%,
 AND(AY48="ICE",  AP48&gt;2000),                                                    220%,
 AND(AY48="PHEV",  AP48&lt;=1600,                AJ48&lt;=1350000),                     45%,
 AND(AY48="PHEV",  AP48&lt;=1600,                AJ48&gt;1350000),                      75%,
 AND(AY48="PHEV",  AND(AP48&gt;1600,AP48&lt;=1800),  AJ48&lt;=1350000),                     85%,
 AND(AY48="BEV",    AZ48&lt;=160,                 AJ48&lt;=1650000),                     25%,
 AND(AY48="BEV",    AZ48&lt;=160,                 AJ48&gt;1650000),                      55%,
 AND(AY48="BEV",    AZ48&gt; 160,                 AJ48&lt;=1650000),                     65%,
 AND(AY48="BEV",    AZ48&gt; 160,                 AJ48&gt;1650000),                      75%)</f>
        <v>0.55000000000000004</v>
      </c>
      <c r="AY48" s="139" t="str">
        <f>_xlfn.XLOOKUP(A48,'[1]My Input'!$B:$B,'[1]My Input'!$V:$V)</f>
        <v>BEV</v>
      </c>
      <c r="AZ48" s="139">
        <f>_xlfn.IFNA(_xlfn.XLOOKUP(A48,'[1]kW Tescil'!$A:$A,'[1]kW Tescil'!$C:$C),"-")</f>
        <v>160</v>
      </c>
      <c r="BA48" s="140">
        <f>_xlfn.XLOOKUP(A48,'[1]My Input'!$B:$B,'[1]My Input'!$H:$H)</f>
        <v>0</v>
      </c>
      <c r="BC48" s="141">
        <v>-13.81740635036094</v>
      </c>
      <c r="BD48" s="141">
        <v>-13.817406350360926</v>
      </c>
      <c r="BF48" s="142">
        <v>-8.8946273446144488</v>
      </c>
      <c r="BG48" s="142">
        <v>-8.8946273446144346</v>
      </c>
      <c r="BI48" s="143">
        <v>-476981.16659999918</v>
      </c>
      <c r="BL48" s="142">
        <v>-14.484442200855383</v>
      </c>
    </row>
    <row r="49" spans="1:64" s="74" customFormat="1" ht="15" hidden="1" customHeight="1" thickBot="1" x14ac:dyDescent="0.3">
      <c r="A49" s="57" t="s">
        <v>94</v>
      </c>
      <c r="B49" s="57" t="str">
        <f>D49&amp;E49&amp;F49</f>
        <v>BMWi5 eDrive40M Sport</v>
      </c>
      <c r="C49" s="58" t="s">
        <v>37</v>
      </c>
      <c r="D49" s="94" t="s">
        <v>44</v>
      </c>
      <c r="E49" s="95" t="s">
        <v>95</v>
      </c>
      <c r="F49" s="152" t="s">
        <v>53</v>
      </c>
      <c r="G49" s="65"/>
      <c r="H49" s="98">
        <v>6686886</v>
      </c>
      <c r="I49" s="99">
        <v>100</v>
      </c>
      <c r="J49" s="65"/>
      <c r="K49" s="100">
        <f>(((H49-AO49)/(1+AQ49)/1.2/$AS$1)+AS49)*(1+AQ49)*(1.2)*$AS$1+AO49</f>
        <v>6686886</v>
      </c>
      <c r="L49" s="99">
        <v>100</v>
      </c>
      <c r="M49" s="65"/>
      <c r="N49" s="100">
        <f>AN49*1.2*(1+AV49)+AO49</f>
        <v>5951328.54</v>
      </c>
      <c r="O49" s="98">
        <f>AK49*1.2*(1+AV49)+AO49</f>
        <v>5951328.54</v>
      </c>
      <c r="P49" s="99">
        <v>100</v>
      </c>
      <c r="Q49" s="99">
        <v>100</v>
      </c>
      <c r="R49" s="67">
        <f>_xlfn.XLOOKUP(A49,'[1]My Input'!$B:$B,'[1]My Input'!$F:$F)</f>
        <v>0.08</v>
      </c>
      <c r="S49" s="65"/>
      <c r="T49" s="100">
        <f>IF(X49&lt;&gt;0,AM49*1.2*(1+AW49)+AO49-X49,AN49*1.2*(1+AV49)+AO49)</f>
        <v>5951328.54</v>
      </c>
      <c r="U49" s="98">
        <f>IF(X49&lt;&gt;0,AJ49*1.2*(1+AW49)+AO49-X49,AK49*1.2*(1+AV49)+AO49)</f>
        <v>5951328.54</v>
      </c>
      <c r="V49" s="99">
        <v>100</v>
      </c>
      <c r="W49" s="99">
        <v>100</v>
      </c>
      <c r="X49" s="102">
        <f>_xlfn.XLOOKUP(A49,'[1]My Input'!$B:$B,'[1]My Input'!$I:$I)</f>
        <v>0</v>
      </c>
      <c r="Y49" s="65"/>
      <c r="Z49" s="100">
        <f>IF(AD49&lt;&gt;0,AM49*1.2*(1+AQ49)+AO49-AD49,AL49*(1-AG49)*1.2*(1+AQ49)+AO49)</f>
        <v>6079207.0300000003</v>
      </c>
      <c r="AA49" s="98">
        <f>IF(AD49&lt;&gt;0,AJ49*1.2*(1+AX49)+AO49-AD49,AH49*(1-AG49)*1.2*(1+AV49)+AO49)</f>
        <v>6079207.0300000003</v>
      </c>
      <c r="AB49" s="99">
        <v>100</v>
      </c>
      <c r="AC49" s="99">
        <v>100</v>
      </c>
      <c r="AD49" s="98">
        <f>_xlfn.XLOOKUP(A49,'[1]My Input'!$B:$B,'[1]My Input'!$N:$N)</f>
        <v>407072.39</v>
      </c>
      <c r="AE49" s="70"/>
      <c r="AF49" s="71">
        <f>_xlfn.XLOOKUP(A49,'[1]My Input'!$B:$B,'[1]My Input'!$E:$E)</f>
        <v>0.03</v>
      </c>
      <c r="AG49" s="72">
        <f>_xlfn.XLOOKUP(A49,'[1]My Input'!$B:$B,'[1]My Input'!$G:$G)</f>
        <v>0.11</v>
      </c>
      <c r="AH49" s="73">
        <f>(H49-AO49)/1.2/(1+AQ49)</f>
        <v>3595100</v>
      </c>
      <c r="AJ49" s="73">
        <f>AH49*(1-AF49)</f>
        <v>3487247</v>
      </c>
      <c r="AK49" s="75">
        <f>AH49*(1-AF49-R49)</f>
        <v>3199639</v>
      </c>
      <c r="AL49" s="76">
        <f>(K49-AO49)/1.2/(1+AQ49)</f>
        <v>3595100</v>
      </c>
      <c r="AM49" s="76">
        <f>AL49*(1-AF49)</f>
        <v>3487247</v>
      </c>
      <c r="AN49" s="76">
        <f>AL49*(1-AF49-R49)</f>
        <v>3199639</v>
      </c>
      <c r="AO49" s="77">
        <f>_xlfn.XLOOKUP(A49,'[1]My Input'!$B:$B,'[1]My Input'!$T:$T)</f>
        <v>0</v>
      </c>
      <c r="AP49" s="78">
        <f>_xlfn.XLOOKUP(A49,'[1]My Input'!$B:$B,'[1]My Input'!$S:$S)</f>
        <v>0</v>
      </c>
      <c r="AQ49" s="67">
        <f>_xlfn.XLOOKUP(A49,'[1]My Input'!$B:$B,'[1]My Input'!$U:$U)</f>
        <v>0.55000000000000004</v>
      </c>
      <c r="AS49" s="103">
        <f>_xlfn.XLOOKUP(A49,'[1]My Input'!$B:$B,'[1]My Input'!$Q:$Q)</f>
        <v>0</v>
      </c>
      <c r="AU49" s="74" t="s">
        <v>41</v>
      </c>
      <c r="AV49" s="67" cm="1">
        <f t="array" ref="AV49">_xlfn.IFS(
 AND(AY49="ICE",  AP49&lt;=1400,AND(AK49&gt;900000,  AK49&lt;=1100000)),                    80%,
 AND(AY49="ICE",  AP49&lt;=1400,AK49&gt;1100000),                                       90%,
 AND(AY49="ICE",  AND(AP49&gt;1400,AP49&lt;=1600),   AK49&lt;=850000),                      75%,
 AND(AY49="ICE",  AND(AP49&gt;1400,AP49&lt;=1600),   AND(AK49&gt;850000,AK49&lt;=1100000)),     80%,
 AND(AY49="ICE",  AND(AP49&gt;1400,AP49&lt;=1600),   AND(AK49&gt;1100000,AK49&lt;=1650000)),    90%,
 AND(AY49="ICE",  AND(AP49&gt;1400,AP49&lt;=1600),   AK49&gt;1650000),                      100%,
 AND(AY49="ICE",  AND(AP49&gt;1600,AP49&lt;=2000),   AK49&lt;=1650000),                     150%,
 AND(AY49="ICE",  AND(AP49&gt;1600,AP49&lt;=2000),   AK49&gt;1650000),                      170%,
 AND(AY49="ICE",  AP49&gt;2000),                                                    220%,
 AND(AY49="PHEV",  AP49&lt;=1600,                AK49&lt;=1350000),                     45%,
 AND(AY49="PHEV",  AP49&lt;=1600,                AK49&gt;1350000),                      75%,
 AND(AY49="PHEV",  AND(AP49&gt;1600,AP49&lt;=1800),  AK49&lt;=1350000),                     85%,
 AND(AY49="BEV",    AZ49&lt;=160,                 AK49&lt;=1650000),                     25%,
 AND(AY49="BEV",    AZ49&lt;=160,                 AK49&gt;1650000),                      55%,
 AND(AY49="BEV",    AZ49&gt; 160,                 AK49&lt;=1650000),                     65%,
 AND(AY49="BEV",    AZ49&gt; 160,                 AK49&gt;1650000),                      75%)</f>
        <v>0.55000000000000004</v>
      </c>
      <c r="AW49" s="67" cm="1">
        <f t="array" ref="AW49">_xlfn.IFS(
 X49=0,AV49,
 AND(AY49="ICE",  AP49&lt;=1400,AND((AJ49-BA49)&gt;900000,  (AJ49-BA49)&lt;=1100000)),                    80%,
 AND(AY49="ICE",  AP49&lt;=1400,(AJ49-BA49)&gt;1100000),                                       90%,
 AND(AY49="ICE",  AND(AP49&gt;1400,AP49&lt;=1600),   (AJ49-BA49)&lt;=850000),                      75%,
 AND(AY49="ICE",  AND(AP49&gt;1400,AP49&lt;=1600),   AND((AJ49-BA49)&gt;850000,(AJ49-BA49)&lt;=1100000)),     80%,
 AND(AY49="ICE",  AND(AP49&gt;1400,AP49&lt;=1600),   AND((AJ49-BA49)&gt;1100000,(AJ49-BA49)&lt;=1650000)),    90%,
 AND(AY49="ICE",  AND(AP49&gt;1400,AP49&lt;=1600),   (AJ49-BA49)&gt;1650000),                      100%,
 AND(AY49="ICE",  AND(AP49&gt;1600,AP49&lt;=2000),   (AJ49-BA49)&lt;=1650000),                     150%,
 AND(AY49="ICE",  AND(AP49&gt;1600,AP49&lt;=2000),   (AJ49-BA49)&gt;1650000),                      170%,
 AND(AY49="ICE",  AP49&gt;2000),                                                    220%,
 AND(AY49="PHEV",  AP49&lt;=1600,                (AJ49-BA49)&lt;=1350000),                     45%,
 AND(AY49="PHEV",  AP49&lt;=1600,                (AJ49-BA49)&gt;1350000),                      75%,
 AND(AY49="PHEV",  AND(AP49&gt;1600,AP49&lt;=1800),  (AJ49-BA49)&lt;=1350000),                     85%,
 AND(AY49="BEV",    AZ49&lt;=160,                 (AJ49-BA49)&lt;=1650000),                     25%,
 AND(AY49="BEV",    AZ49&lt;=160,                 (AJ49-BA49)&gt;1650000),                      55%,
 AND(AY49="BEV",    AZ49&gt; 160,                 (AJ49-BA49)&lt;=1650000),                     65%,
 AND(AY49="BEV",    AZ49&gt; 160,                 (AJ49-BA49)&gt;1650000),                      75%)</f>
        <v>0.55000000000000004</v>
      </c>
      <c r="AX49" s="67" cm="1">
        <f t="array" ref="AX49">_xlfn.IFS(
 AD49=0,AV49,
 AND(AY49="ICE",  AP49&lt;=1400,AND(AJ49&gt;900000,  AJ49&lt;=1100000)),                    80%,
 AND(AY49="ICE",  AP49&lt;=1400,AJ49&gt;1100000),                                       90%,
 AND(AY49="ICE",  AND(AP49&gt;1400,AP49&lt;=1600),   AJ49&lt;=850000),                      75%,
 AND(AY49="ICE",  AND(AP49&gt;1400,AP49&lt;=1600),   AND(AJ49&gt;850000,AJ49&lt;=1100000)),     80%,
 AND(AY49="ICE",  AND(AP49&gt;1400,AP49&lt;=1600),   AND(AJ49&gt;1100000,AJ49&lt;=1650000)),    90%,
 AND(AY49="ICE",  AND(AP49&gt;1400,AP49&lt;=1600),   AJ49&gt;1650000),                      100%,
 AND(AY49="ICE",  AND(AP49&gt;1600,AP49&lt;=2000),   AJ49&lt;=1650000),                     150%,
 AND(AY49="ICE",  AND(AP49&gt;1600,AP49&lt;=2000),   AJ49&gt;1650000),                      170%,
 AND(AY49="ICE",  AP49&gt;2000),                                                    220%,
 AND(AY49="PHEV",  AP49&lt;=1600,                AJ49&lt;=1350000),                     45%,
 AND(AY49="PHEV",  AP49&lt;=1600,                AJ49&gt;1350000),                      75%,
 AND(AY49="PHEV",  AND(AP49&gt;1600,AP49&lt;=1800),  AJ49&lt;=1350000),                     85%,
 AND(AY49="BEV",    AZ49&lt;=160,                 AJ49&lt;=1650000),                     25%,
 AND(AY49="BEV",    AZ49&lt;=160,                 AJ49&gt;1650000),                      55%,
 AND(AY49="BEV",    AZ49&gt; 160,                 AJ49&lt;=1650000),                     65%,
 AND(AY49="BEV",    AZ49&gt; 160,                 AJ49&gt;1650000),                      75%)</f>
        <v>0.55000000000000004</v>
      </c>
      <c r="AY49" s="80" t="str">
        <f>_xlfn.XLOOKUP(A49,'[1]My Input'!$B:$B,'[1]My Input'!$V:$V)</f>
        <v>BEV</v>
      </c>
      <c r="AZ49" s="80">
        <f>_xlfn.IFNA(_xlfn.XLOOKUP(A49,'[1]kW Tescil'!$A:$A,'[1]kW Tescil'!$C:$C),"-")</f>
        <v>160</v>
      </c>
      <c r="BA49" s="81">
        <f>_xlfn.XLOOKUP(A49,'[1]My Input'!$B:$B,'[1]My Input'!$H:$H)</f>
        <v>0</v>
      </c>
      <c r="BC49" s="82">
        <v>0</v>
      </c>
      <c r="BD49" s="82">
        <v>0</v>
      </c>
      <c r="BF49" s="83">
        <v>0</v>
      </c>
      <c r="BG49" s="83">
        <v>0</v>
      </c>
      <c r="BI49" s="84">
        <v>119822.4625599999</v>
      </c>
      <c r="BL49" s="83">
        <v>0</v>
      </c>
    </row>
    <row r="50" spans="1:64" s="117" customFormat="1" ht="7.15" customHeight="1" thickBot="1" x14ac:dyDescent="0.3">
      <c r="A50" s="57"/>
      <c r="B50" s="57"/>
      <c r="C50" s="104"/>
      <c r="D50" s="105"/>
      <c r="E50" s="106"/>
      <c r="F50" s="106"/>
      <c r="G50" s="107"/>
      <c r="H50" s="108"/>
      <c r="I50" s="109"/>
      <c r="J50" s="65"/>
      <c r="K50" s="108"/>
      <c r="L50" s="109"/>
      <c r="M50" s="110"/>
      <c r="N50" s="108"/>
      <c r="O50" s="108"/>
      <c r="P50" s="109"/>
      <c r="Q50" s="109"/>
      <c r="R50" s="111"/>
      <c r="S50" s="110"/>
      <c r="T50" s="108"/>
      <c r="U50" s="108"/>
      <c r="V50" s="109"/>
      <c r="W50" s="109"/>
      <c r="X50" s="112"/>
      <c r="Y50" s="110"/>
      <c r="Z50" s="108"/>
      <c r="AA50" s="108"/>
      <c r="AB50" s="109"/>
      <c r="AC50" s="109"/>
      <c r="AD50" s="113"/>
      <c r="AE50" s="114"/>
      <c r="AF50" s="115"/>
      <c r="AG50" s="19"/>
      <c r="AH50" s="116"/>
      <c r="AJ50" s="116"/>
      <c r="AK50" s="21"/>
      <c r="AL50" s="20"/>
      <c r="AM50" s="76"/>
      <c r="AN50" s="20"/>
      <c r="AO50" s="116"/>
      <c r="AP50" s="78"/>
      <c r="AQ50" s="67"/>
      <c r="AS50" s="118"/>
      <c r="AU50" s="74" t="s">
        <v>41</v>
      </c>
      <c r="AV50" s="67"/>
      <c r="AW50" s="67"/>
      <c r="AX50" s="67"/>
      <c r="AY50" s="80"/>
      <c r="AZ50" s="80"/>
      <c r="BA50" s="81"/>
      <c r="BC50" s="82">
        <v>0</v>
      </c>
      <c r="BD50" s="82">
        <v>0</v>
      </c>
      <c r="BF50" s="83">
        <v>0</v>
      </c>
      <c r="BG50" s="83">
        <v>0</v>
      </c>
      <c r="BI50" s="84">
        <v>0</v>
      </c>
      <c r="BL50" s="83">
        <v>0</v>
      </c>
    </row>
    <row r="51" spans="1:64" s="74" customFormat="1" ht="15" customHeight="1" thickBot="1" x14ac:dyDescent="0.3">
      <c r="A51" s="57" t="s">
        <v>96</v>
      </c>
      <c r="B51" s="57" t="str">
        <f t="shared" ref="B51:B58" si="298">D51&amp;E51&amp;F51</f>
        <v>AudiA6 Sedan TDI 150 kW QuattroAdvanced</v>
      </c>
      <c r="C51" s="58" t="s">
        <v>37</v>
      </c>
      <c r="D51" s="120" t="s">
        <v>38</v>
      </c>
      <c r="E51" s="212" t="s">
        <v>97</v>
      </c>
      <c r="F51" s="213" t="s">
        <v>40</v>
      </c>
      <c r="G51" s="157"/>
      <c r="H51" s="123">
        <v>10291698</v>
      </c>
      <c r="I51" s="64">
        <f t="shared" ref="I51:I57" si="299">H51/$H$58*$I$58</f>
        <v>128.0941392597903</v>
      </c>
      <c r="J51" s="65">
        <v>0.22</v>
      </c>
      <c r="K51" s="66">
        <f t="shared" ref="K51:K58" si="300">(((H51-AO51)/(1+AQ51)/1.2/$AS$1)+AS51)*(1+AQ51)*(1.2)*$AS$1+AO51</f>
        <v>10448700.299999997</v>
      </c>
      <c r="L51" s="64">
        <f>K51/$K$37*$L$37</f>
        <v>172.2741081851097</v>
      </c>
      <c r="M51" s="157"/>
      <c r="N51" s="66">
        <f t="shared" ref="N51:N58" si="301">AN51*1.2*(1+AV51)+AO51</f>
        <v>8149986.2339999974</v>
      </c>
      <c r="O51" s="123">
        <f t="shared" ref="O51:O58" si="302">AK51*1.2*(1+AV51)+AO51</f>
        <v>8027524.4399999995</v>
      </c>
      <c r="P51" s="64">
        <f t="shared" ref="P51:P57" si="303">IF(ISNUMBER(O51),O51/$O$58*$P$58,"")</f>
        <v>118.944557884091</v>
      </c>
      <c r="Q51" s="64">
        <f t="shared" ref="Q51:Q57" si="304">IF(ISNUMBER(N51),N51/$N$58*$Q$58,"")</f>
        <v>120.75908539551673</v>
      </c>
      <c r="R51" s="67">
        <f>_xlfn.XLOOKUP(A51,'[1]My Input'!$B:$B,'[1]My Input'!$F:$F)</f>
        <v>0.03</v>
      </c>
      <c r="S51" s="157"/>
      <c r="T51" s="205">
        <f>IF(X51&lt;&gt;0,AM51*1.2*(1+AQ51)+AO51-X51,AN51*1.2*(1+AQ51)+AO51)</f>
        <v>8149986.2339999974</v>
      </c>
      <c r="U51" s="123">
        <f>IF(X51&lt;&gt;0,AJ51*1.2*(1+AQ51)+AO51-X51,AK51*1.2*(1+AQ51)+AO51)</f>
        <v>8027524.4399999995</v>
      </c>
      <c r="V51" s="64">
        <f t="shared" ref="V51:V57" si="305">IF(ISNUMBER(U51),U51/$U$58*$V$58,"")</f>
        <v>125.5586571347381</v>
      </c>
      <c r="W51" s="64">
        <f t="shared" ref="W51:W57" si="306">IF(ISNUMBER(T51),T51/$T$58*$W$58,"")</f>
        <v>127.47408430283662</v>
      </c>
      <c r="X51" s="68">
        <f>_xlfn.XLOOKUP(A51,'[1]My Input'!$B:$B,'[1]My Input'!$I:$I)</f>
        <v>0</v>
      </c>
      <c r="Y51" s="157"/>
      <c r="Z51" s="205">
        <f t="shared" ref="Z51:Z58" si="307">IF(AD51&lt;&gt;0,AM51*1.2*(1+AQ51)+AO51-AD51,AL51*(1-AG51)*1.2*(1+AQ51)+AO51)</f>
        <v>8222939.9129999969</v>
      </c>
      <c r="AA51" s="123">
        <f t="shared" ref="AA51:AA58" si="308">IF(AD51&lt;&gt;0,AJ51*1.2*(1+AX51)+AO51-AD51,AH51*(1-AG51)*1.2*(1+AV51)+AO51)</f>
        <v>8095768.0499999998</v>
      </c>
      <c r="AB51" s="64">
        <f t="shared" ref="AB51:AB57" si="309">IF(ISNUMBER(AA51),AA51/$AA$58*$AB$58,"")</f>
        <v>112.9561085499009</v>
      </c>
      <c r="AC51" s="64">
        <f t="shared" ref="AC51:AC57" si="310">IF(ISNUMBER(Z51),Z51/$Z$58*$AC$58,"")</f>
        <v>114.73047247347216</v>
      </c>
      <c r="AD51" s="69">
        <f>_xlfn.XLOOKUP(A51,'[1]My Input'!$B:$B,'[1]My Input'!$N:$N)</f>
        <v>240507.33</v>
      </c>
      <c r="AE51" s="70"/>
      <c r="AF51" s="71">
        <f>_xlfn.XLOOKUP(A51,'[1]My Input'!$B:$B,'[1]My Input'!$E:$E)</f>
        <v>0.19</v>
      </c>
      <c r="AG51" s="72">
        <f>_xlfn.XLOOKUP(A51,'[1]My Input'!$B:$B,'[1]My Input'!$G:$G)</f>
        <v>0.22</v>
      </c>
      <c r="AH51" s="73">
        <f t="shared" ref="AH51:AH58" si="311">(H51-AO51)/1.2/(1+AQ51)</f>
        <v>3176450</v>
      </c>
      <c r="AJ51" s="73">
        <f t="shared" ref="AJ51:AJ58" si="312">AH51*(1-AF51)</f>
        <v>2572924.5</v>
      </c>
      <c r="AK51" s="75">
        <f t="shared" ref="AK51:AK58" si="313">AH51*(1-AF51-R51)</f>
        <v>2477631</v>
      </c>
      <c r="AL51" s="76">
        <f t="shared" ref="AL51:AL58" si="314">(K51-AO51)/1.2/(1+AQ51)</f>
        <v>3224907.4999999991</v>
      </c>
      <c r="AM51" s="76">
        <f t="shared" ref="AM51:AM58" si="315">AL51*(1-AF51)</f>
        <v>2612175.0749999993</v>
      </c>
      <c r="AN51" s="76">
        <f t="shared" ref="AN51:AN58" si="316">AL51*(1-AF51-R51)</f>
        <v>2515427.8499999992</v>
      </c>
      <c r="AO51" s="77">
        <f>_xlfn.XLOOKUP(A51,'[1]My Input'!$B:$B,'[1]My Input'!$T:$T)</f>
        <v>0</v>
      </c>
      <c r="AP51" s="78">
        <f>_xlfn.XLOOKUP(A51,'[1]My Input'!$B:$B,'[1]My Input'!$S:$S)</f>
        <v>2000</v>
      </c>
      <c r="AQ51" s="67">
        <f>_xlfn.XLOOKUP(A51,'[1]My Input'!$B:$B,'[1]My Input'!$U:$U)</f>
        <v>1.7</v>
      </c>
      <c r="AS51" s="155">
        <v>923</v>
      </c>
      <c r="AV51" s="67" cm="1">
        <f t="array" ref="AV51">_xlfn.IFS(
 AND(AY51="ICE",  AP51&lt;=1400,AND(AK51&gt;900000,  AK51&lt;=1100000)),                    80%,
 AND(AY51="ICE",  AP51&lt;=1400,AK51&gt;1100000),                                       90%,
 AND(AY51="ICE",  AND(AP51&gt;1400,AP51&lt;=1600),   AK51&lt;=850000),                      75%,
 AND(AY51="ICE",  AND(AP51&gt;1400,AP51&lt;=1600),   AND(AK51&gt;850000,AK51&lt;=1100000)),     80%,
 AND(AY51="ICE",  AND(AP51&gt;1400,AP51&lt;=1600),   AND(AK51&gt;1100000,AK51&lt;=1650000)),    90%,
 AND(AY51="ICE",  AND(AP51&gt;1400,AP51&lt;=1600),   AK51&gt;1650000),                      100%,
 AND(AY51="ICE",  AND(AP51&gt;1600,AP51&lt;=2000),   AK51&lt;=1650000),                     150%,
 AND(AY51="ICE",  AND(AP51&gt;1600,AP51&lt;=2000),   AK51&gt;1650000),                      170%,
 AND(AY51="ICE",  AP51&gt;2000),                                                    220%,
 AND(AY51="PHEV",  AP51&lt;=1600,                AK51&lt;=1350000),                     45%,
 AND(AY51="PHEV",  AP51&lt;=1600,                AK51&gt;1350000),                      75%,
 AND(AY51="PHEV",  AND(AP51&gt;1600,AP51&lt;=1800),  AK51&lt;=1350000),                     85%,
 AND(AY51="BEV",    AZ51&lt;=160,                 AK51&lt;=1650000),                     25%,
 AND(AY51="BEV",    AZ51&lt;=160,                 AK51&gt;1650000),                      55%,
 AND(AY51="BEV",    AZ51&gt; 160,                 AK51&lt;=1650000),                     65%,
 AND(AY51="BEV",    AZ51&gt; 160,                 AK51&gt;1650000),                      75%)</f>
        <v>1.7</v>
      </c>
      <c r="AW51" s="67" cm="1">
        <f t="array" ref="AW51">_xlfn.IFS(
 X51=0,AV51,
 AND(AY51="ICE",  AP51&lt;=1400,AND((AJ51-BA51)&gt;900000,  (AJ51-BA51)&lt;=1100000)),                    80%,
 AND(AY51="ICE",  AP51&lt;=1400,(AJ51-BA51)&gt;1100000),                                       90%,
 AND(AY51="ICE",  AND(AP51&gt;1400,AP51&lt;=1600),   (AJ51-BA51)&lt;=850000),                      75%,
 AND(AY51="ICE",  AND(AP51&gt;1400,AP51&lt;=1600),   AND((AJ51-BA51)&gt;850000,(AJ51-BA51)&lt;=1100000)),     80%,
 AND(AY51="ICE",  AND(AP51&gt;1400,AP51&lt;=1600),   AND((AJ51-BA51)&gt;1100000,(AJ51-BA51)&lt;=1650000)),    90%,
 AND(AY51="ICE",  AND(AP51&gt;1400,AP51&lt;=1600),   (AJ51-BA51)&gt;1650000),                      100%,
 AND(AY51="ICE",  AND(AP51&gt;1600,AP51&lt;=2000),   (AJ51-BA51)&lt;=1650000),                     150%,
 AND(AY51="ICE",  AND(AP51&gt;1600,AP51&lt;=2000),   (AJ51-BA51)&gt;1650000),                      170%,
 AND(AY51="ICE",  AP51&gt;2000),                                                    220%,
 AND(AY51="PHEV",  AP51&lt;=1600,                (AJ51-BA51)&lt;=1350000),                     45%,
 AND(AY51="PHEV",  AP51&lt;=1600,                (AJ51-BA51)&gt;1350000),                      75%,
 AND(AY51="PHEV",  AND(AP51&gt;1600,AP51&lt;=1800),  (AJ51-BA51)&lt;=1350000),                     85%,
 AND(AY51="BEV",    AZ51&lt;=160,                 (AJ51-BA51)&lt;=1650000),                     25%,
 AND(AY51="BEV",    AZ51&lt;=160,                 (AJ51-BA51)&gt;1650000),                      55%,
 AND(AY51="BEV",    AZ51&gt; 160,                 (AJ51-BA51)&lt;=1650000),                     65%,
 AND(AY51="BEV",    AZ51&gt; 160,                 (AJ51-BA51)&gt;1650000),                      75%)</f>
        <v>1.7</v>
      </c>
      <c r="AX51" s="67" cm="1">
        <f t="array" ref="AX51">_xlfn.IFS(
 AD51=0,AV51,
 AND(AY51="ICE",  AP51&lt;=1400,AND(AJ51&gt;900000,  AJ51&lt;=1100000)),                    80%,
 AND(AY51="ICE",  AP51&lt;=1400,AJ51&gt;1100000),                                       90%,
 AND(AY51="ICE",  AND(AP51&gt;1400,AP51&lt;=1600),   AJ51&lt;=850000),                      75%,
 AND(AY51="ICE",  AND(AP51&gt;1400,AP51&lt;=1600),   AND(AJ51&gt;850000,AJ51&lt;=1100000)),     80%,
 AND(AY51="ICE",  AND(AP51&gt;1400,AP51&lt;=1600),   AND(AJ51&gt;1100000,AJ51&lt;=1650000)),    90%,
 AND(AY51="ICE",  AND(AP51&gt;1400,AP51&lt;=1600),   AJ51&gt;1650000),                      100%,
 AND(AY51="ICE",  AND(AP51&gt;1600,AP51&lt;=2000),   AJ51&lt;=1650000),                     150%,
 AND(AY51="ICE",  AND(AP51&gt;1600,AP51&lt;=2000),   AJ51&gt;1650000),                      170%,
 AND(AY51="ICE",  AP51&gt;2000),                                                    220%,
 AND(AY51="PHEV",  AP51&lt;=1600,                AJ51&lt;=1350000),                     45%,
 AND(AY51="PHEV",  AP51&lt;=1600,                AJ51&gt;1350000),                      75%,
 AND(AY51="PHEV",  AND(AP51&gt;1600,AP51&lt;=1800),  AJ51&lt;=1350000),                     85%,
 AND(AY51="BEV",    AZ51&lt;=160,                 AJ51&lt;=1650000),                     25%,
 AND(AY51="BEV",    AZ51&lt;=160,                 AJ51&gt;1650000),                      55%,
 AND(AY51="BEV",    AZ51&gt; 160,                 AJ51&lt;=1650000),                     65%,
 AND(AY51="BEV",    AZ51&gt; 160,                 AJ51&gt;1650000),                      75%)</f>
        <v>1.7</v>
      </c>
      <c r="AY51" s="80" t="str">
        <f>_xlfn.XLOOKUP(A51,'[1]My Input'!$B:$B,'[1]My Input'!$V:$V)</f>
        <v>ICE</v>
      </c>
      <c r="AZ51" s="80" t="str">
        <f>_xlfn.IFNA(_xlfn.XLOOKUP(A51,'[1]kW Tescil'!$A:$A,'[1]kW Tescil'!$C:$C),"-")</f>
        <v>-</v>
      </c>
      <c r="BA51" s="81">
        <f>_xlfn.XLOOKUP(A51,'[1]My Input'!$B:$B,'[1]My Input'!$H:$H)</f>
        <v>0</v>
      </c>
      <c r="BC51" s="82">
        <v>42.534728152822467</v>
      </c>
      <c r="BD51" s="82">
        <v>42.877199408271821</v>
      </c>
      <c r="BF51" s="83">
        <v>48.352911895027816</v>
      </c>
      <c r="BG51" s="83">
        <v>48.792937586352565</v>
      </c>
      <c r="BI51" s="84">
        <v>3433754.9529000008</v>
      </c>
      <c r="BL51" s="83">
        <v>39.581020656453845</v>
      </c>
    </row>
    <row r="52" spans="1:64" s="74" customFormat="1" ht="15" hidden="1" customHeight="1" thickBot="1" x14ac:dyDescent="0.3">
      <c r="A52" s="57" t="s">
        <v>98</v>
      </c>
      <c r="B52" s="57" t="str">
        <f t="shared" si="298"/>
        <v>AudiA6 Sedan TDI 150 kW QuattroS Line</v>
      </c>
      <c r="C52" s="58" t="s">
        <v>37</v>
      </c>
      <c r="D52" s="144" t="s">
        <v>38</v>
      </c>
      <c r="E52" s="214" t="s">
        <v>97</v>
      </c>
      <c r="F52" s="215" t="s">
        <v>51</v>
      </c>
      <c r="G52" s="157"/>
      <c r="H52" s="147">
        <v>10125530</v>
      </c>
      <c r="I52" s="90">
        <f t="shared" si="299"/>
        <v>126.02595314195817</v>
      </c>
      <c r="J52" s="157"/>
      <c r="K52" s="66">
        <f t="shared" si="300"/>
        <v>10282532.300000001</v>
      </c>
      <c r="L52" s="64">
        <f>K52/$K$67*$L$67</f>
        <v>93.983367761041251</v>
      </c>
      <c r="M52" s="157"/>
      <c r="N52" s="66">
        <f t="shared" si="301"/>
        <v>7465118.4498000005</v>
      </c>
      <c r="O52" s="147">
        <f t="shared" si="302"/>
        <v>7351134.7800000003</v>
      </c>
      <c r="P52" s="90">
        <f t="shared" si="303"/>
        <v>108.92243092983527</v>
      </c>
      <c r="Q52" s="207">
        <f t="shared" si="304"/>
        <v>110.61133730585466</v>
      </c>
      <c r="R52" s="67">
        <f>_xlfn.XLOOKUP(A52,'[1]My Input'!$B:$B,'[1]My Input'!$F:$F)</f>
        <v>2.4E-2</v>
      </c>
      <c r="S52" s="157"/>
      <c r="T52" s="158">
        <f t="shared" ref="T52:T58" si="317">IF(X52&lt;&gt;0,AM52*1.2*(1+AW52)+AO52-X52,AN52*1.2*(1+AV52)+AO52)</f>
        <v>7465118.4498000005</v>
      </c>
      <c r="U52" s="147">
        <f t="shared" ref="U52:U58" si="318">IF(X52&lt;&gt;0,AJ52*1.2*(1+AW52)+AO52-X52,AK52*1.2*(1+AV52)+AO52)</f>
        <v>7351134.7800000003</v>
      </c>
      <c r="V52" s="90">
        <f t="shared" si="305"/>
        <v>114.97923404556694</v>
      </c>
      <c r="W52" s="207">
        <f t="shared" si="306"/>
        <v>116.7620547174125</v>
      </c>
      <c r="X52" s="92">
        <f>_xlfn.XLOOKUP(A52,'[1]My Input'!$B:$B,'[1]My Input'!$I:$I)</f>
        <v>0</v>
      </c>
      <c r="Y52" s="157"/>
      <c r="Z52" s="91">
        <f t="shared" si="307"/>
        <v>7465118.4498000005</v>
      </c>
      <c r="AA52" s="147">
        <f t="shared" si="308"/>
        <v>7351134.7800000003</v>
      </c>
      <c r="AB52" s="90">
        <f t="shared" si="309"/>
        <v>102.56662160357126</v>
      </c>
      <c r="AC52" s="207">
        <f t="shared" si="310"/>
        <v>104.15697741654999</v>
      </c>
      <c r="AD52" s="93">
        <f>_xlfn.XLOOKUP(A52,'[1]My Input'!$B:$B,'[1]My Input'!$N:$N)</f>
        <v>0</v>
      </c>
      <c r="AE52" s="70"/>
      <c r="AF52" s="71">
        <f>_xlfn.XLOOKUP(A52,'[1]My Input'!$B:$B,'[1]My Input'!$E:$E)</f>
        <v>0.25</v>
      </c>
      <c r="AG52" s="72">
        <f>_xlfn.XLOOKUP(A52,'[1]My Input'!$B:$B,'[1]My Input'!$G:$G)</f>
        <v>0.27400000000000002</v>
      </c>
      <c r="AH52" s="73">
        <f t="shared" si="311"/>
        <v>3125163.5802469137</v>
      </c>
      <c r="AJ52" s="73">
        <f t="shared" si="312"/>
        <v>2343872.6851851852</v>
      </c>
      <c r="AK52" s="75">
        <f t="shared" si="313"/>
        <v>2268868.7592592593</v>
      </c>
      <c r="AL52" s="76">
        <f t="shared" si="314"/>
        <v>3173621.0802469137</v>
      </c>
      <c r="AM52" s="76">
        <f t="shared" si="315"/>
        <v>2380215.8101851852</v>
      </c>
      <c r="AN52" s="76">
        <f t="shared" si="316"/>
        <v>2304048.9042592593</v>
      </c>
      <c r="AO52" s="77">
        <f>_xlfn.XLOOKUP(A52,'[1]My Input'!$B:$B,'[1]My Input'!$T:$T)</f>
        <v>0</v>
      </c>
      <c r="AP52" s="78">
        <f>_xlfn.XLOOKUP(A52,'[1]My Input'!$B:$B,'[1]My Input'!$S:$S)</f>
        <v>2000</v>
      </c>
      <c r="AQ52" s="67">
        <f>_xlfn.XLOOKUP(A52,'[1]My Input'!$B:$B,'[1]My Input'!$U:$U)</f>
        <v>1.7</v>
      </c>
      <c r="AS52" s="155">
        <v>923</v>
      </c>
      <c r="AU52" s="74" t="s">
        <v>41</v>
      </c>
      <c r="AV52" s="67" cm="1">
        <f t="array" ref="AV52">_xlfn.IFS(
 AND(AY52="ICE",  AP52&lt;=1400,AND(AK52&gt;900000,  AK52&lt;=1100000)),                    80%,
 AND(AY52="ICE",  AP52&lt;=1400,AK52&gt;1100000),                                       90%,
 AND(AY52="ICE",  AND(AP52&gt;1400,AP52&lt;=1600),   AK52&lt;=850000),                      75%,
 AND(AY52="ICE",  AND(AP52&gt;1400,AP52&lt;=1600),   AND(AK52&gt;850000,AK52&lt;=1100000)),     80%,
 AND(AY52="ICE",  AND(AP52&gt;1400,AP52&lt;=1600),   AND(AK52&gt;1100000,AK52&lt;=1650000)),    90%,
 AND(AY52="ICE",  AND(AP52&gt;1400,AP52&lt;=1600),   AK52&gt;1650000),                      100%,
 AND(AY52="ICE",  AND(AP52&gt;1600,AP52&lt;=2000),   AK52&lt;=1650000),                     150%,
 AND(AY52="ICE",  AND(AP52&gt;1600,AP52&lt;=2000),   AK52&gt;1650000),                      170%,
 AND(AY52="ICE",  AP52&gt;2000),                                                    220%,
 AND(AY52="PHEV",  AP52&lt;=1600,                AK52&lt;=1350000),                     45%,
 AND(AY52="PHEV",  AP52&lt;=1600,                AK52&gt;1350000),                      75%,
 AND(AY52="PHEV",  AND(AP52&gt;1600,AP52&lt;=1800),  AK52&lt;=1350000),                     85%,
 AND(AY52="BEV",    AZ52&lt;=160,                 AK52&lt;=1650000),                     25%,
 AND(AY52="BEV",    AZ52&lt;=160,                 AK52&gt;1650000),                      55%,
 AND(AY52="BEV",    AZ52&gt; 160,                 AK52&lt;=1650000),                     65%,
 AND(AY52="BEV",    AZ52&gt; 160,                 AK52&gt;1650000),                      75%)</f>
        <v>1.7</v>
      </c>
      <c r="AW52" s="67" cm="1">
        <f t="array" ref="AW52">_xlfn.IFS(
 X52=0,AV52,
 AND(AY52="ICE",  AP52&lt;=1400,AND((AJ52-BA52)&gt;900000,  (AJ52-BA52)&lt;=1100000)),                    80%,
 AND(AY52="ICE",  AP52&lt;=1400,(AJ52-BA52)&gt;1100000),                                       90%,
 AND(AY52="ICE",  AND(AP52&gt;1400,AP52&lt;=1600),   (AJ52-BA52)&lt;=850000),                      75%,
 AND(AY52="ICE",  AND(AP52&gt;1400,AP52&lt;=1600),   AND((AJ52-BA52)&gt;850000,(AJ52-BA52)&lt;=1100000)),     80%,
 AND(AY52="ICE",  AND(AP52&gt;1400,AP52&lt;=1600),   AND((AJ52-BA52)&gt;1100000,(AJ52-BA52)&lt;=1650000)),    90%,
 AND(AY52="ICE",  AND(AP52&gt;1400,AP52&lt;=1600),   (AJ52-BA52)&gt;1650000),                      100%,
 AND(AY52="ICE",  AND(AP52&gt;1600,AP52&lt;=2000),   (AJ52-BA52)&lt;=1650000),                     150%,
 AND(AY52="ICE",  AND(AP52&gt;1600,AP52&lt;=2000),   (AJ52-BA52)&gt;1650000),                      170%,
 AND(AY52="ICE",  AP52&gt;2000),                                                    220%,
 AND(AY52="PHEV",  AP52&lt;=1600,                (AJ52-BA52)&lt;=1350000),                     45%,
 AND(AY52="PHEV",  AP52&lt;=1600,                (AJ52-BA52)&gt;1350000),                      75%,
 AND(AY52="PHEV",  AND(AP52&gt;1600,AP52&lt;=1800),  (AJ52-BA52)&lt;=1350000),                     85%,
 AND(AY52="BEV",    AZ52&lt;=160,                 (AJ52-BA52)&lt;=1650000),                     25%,
 AND(AY52="BEV",    AZ52&lt;=160,                 (AJ52-BA52)&gt;1650000),                      55%,
 AND(AY52="BEV",    AZ52&gt; 160,                 (AJ52-BA52)&lt;=1650000),                     65%,
 AND(AY52="BEV",    AZ52&gt; 160,                 (AJ52-BA52)&gt;1650000),                      75%)</f>
        <v>1.7</v>
      </c>
      <c r="AX52" s="67" cm="1">
        <f t="array" ref="AX52">_xlfn.IFS(
 AD52=0,AV52,
 AND(AY52="ICE",  AP52&lt;=1400,AND(AJ52&gt;900000,  AJ52&lt;=1100000)),                    80%,
 AND(AY52="ICE",  AP52&lt;=1400,AJ52&gt;1100000),                                       90%,
 AND(AY52="ICE",  AND(AP52&gt;1400,AP52&lt;=1600),   AJ52&lt;=850000),                      75%,
 AND(AY52="ICE",  AND(AP52&gt;1400,AP52&lt;=1600),   AND(AJ52&gt;850000,AJ52&lt;=1100000)),     80%,
 AND(AY52="ICE",  AND(AP52&gt;1400,AP52&lt;=1600),   AND(AJ52&gt;1100000,AJ52&lt;=1650000)),    90%,
 AND(AY52="ICE",  AND(AP52&gt;1400,AP52&lt;=1600),   AJ52&gt;1650000),                      100%,
 AND(AY52="ICE",  AND(AP52&gt;1600,AP52&lt;=2000),   AJ52&lt;=1650000),                     150%,
 AND(AY52="ICE",  AND(AP52&gt;1600,AP52&lt;=2000),   AJ52&gt;1650000),                      170%,
 AND(AY52="ICE",  AP52&gt;2000),                                                    220%,
 AND(AY52="PHEV",  AP52&lt;=1600,                AJ52&lt;=1350000),                     45%,
 AND(AY52="PHEV",  AP52&lt;=1600,                AJ52&gt;1350000),                      75%,
 AND(AY52="PHEV",  AND(AP52&gt;1600,AP52&lt;=1800),  AJ52&lt;=1350000),                     85%,
 AND(AY52="BEV",    AZ52&lt;=160,                 AJ52&lt;=1650000),                     25%,
 AND(AY52="BEV",    AZ52&lt;=160,                 AJ52&gt;1650000),                      55%,
 AND(AY52="BEV",    AZ52&gt; 160,                 AJ52&lt;=1650000),                     65%,
 AND(AY52="BEV",    AZ52&gt; 160,                 AJ52&gt;1650000),                      75%)</f>
        <v>1.7</v>
      </c>
      <c r="AY52" s="80" t="str">
        <f>_xlfn.XLOOKUP(A52,'[1]My Input'!$B:$B,'[1]My Input'!$V:$V)</f>
        <v>ICE</v>
      </c>
      <c r="AZ52" s="80" t="str">
        <f>_xlfn.IFNA(_xlfn.XLOOKUP(A52,'[1]kW Tescil'!$A:$A,'[1]kW Tescil'!$C:$C),"-")</f>
        <v>-</v>
      </c>
      <c r="BA52" s="81">
        <f>_xlfn.XLOOKUP(A52,'[1]My Input'!$B:$B,'[1]My Input'!$H:$H)</f>
        <v>0</v>
      </c>
      <c r="BC52" s="82">
        <v>14.458043373972373</v>
      </c>
      <c r="BD52" s="82">
        <v>6.8109198377505038</v>
      </c>
      <c r="BF52" s="83">
        <v>20.947413790425216</v>
      </c>
      <c r="BG52" s="83">
        <v>13.754128490396425</v>
      </c>
      <c r="BI52" s="84">
        <v>1215018.8453998249</v>
      </c>
      <c r="BL52" s="83">
        <v>17.475504605954029</v>
      </c>
    </row>
    <row r="53" spans="1:64" s="74" customFormat="1" ht="15" customHeight="1" thickBot="1" x14ac:dyDescent="0.3">
      <c r="A53" s="57" t="s">
        <v>99</v>
      </c>
      <c r="B53" s="57" t="str">
        <f t="shared" si="298"/>
        <v>MBE 180Exclusive</v>
      </c>
      <c r="C53" s="58" t="s">
        <v>37</v>
      </c>
      <c r="D53" s="144" t="s">
        <v>47</v>
      </c>
      <c r="E53" s="145" t="s">
        <v>100</v>
      </c>
      <c r="F53" s="146" t="s">
        <v>101</v>
      </c>
      <c r="G53" s="178"/>
      <c r="H53" s="147">
        <v>7585480</v>
      </c>
      <c r="I53" s="90">
        <f t="shared" si="299"/>
        <v>94.411586064063883</v>
      </c>
      <c r="J53" s="65">
        <v>0.08</v>
      </c>
      <c r="K53" s="66">
        <f t="shared" si="300"/>
        <v>7645708</v>
      </c>
      <c r="L53" s="64">
        <f>K53/$K$37*$L$37</f>
        <v>126.05946092106393</v>
      </c>
      <c r="M53" s="157"/>
      <c r="N53" s="66">
        <f t="shared" si="301"/>
        <v>7034051.3600000013</v>
      </c>
      <c r="O53" s="147">
        <f t="shared" si="302"/>
        <v>6978641.6000000015</v>
      </c>
      <c r="P53" s="90">
        <f t="shared" si="303"/>
        <v>103.40316568921284</v>
      </c>
      <c r="Q53" s="207">
        <f t="shared" si="304"/>
        <v>104.22417712990348</v>
      </c>
      <c r="R53" s="67">
        <f>_xlfn.XLOOKUP(A53,'[1]My Input'!$B:$B,'[1]My Input'!$F:$F)</f>
        <v>0</v>
      </c>
      <c r="S53" s="157"/>
      <c r="T53" s="158">
        <f t="shared" si="317"/>
        <v>7034051.3600000013</v>
      </c>
      <c r="U53" s="147">
        <f t="shared" si="318"/>
        <v>6978641.6000000015</v>
      </c>
      <c r="V53" s="90">
        <f t="shared" si="305"/>
        <v>109.15306137898477</v>
      </c>
      <c r="W53" s="90">
        <f t="shared" si="306"/>
        <v>110.01972645235305</v>
      </c>
      <c r="X53" s="92">
        <f>_xlfn.XLOOKUP(A53,'[1]My Input'!$B:$B,'[1]My Input'!$I:$I)</f>
        <v>0</v>
      </c>
      <c r="Y53" s="157"/>
      <c r="Z53" s="158">
        <f t="shared" si="307"/>
        <v>6953234.5300000012</v>
      </c>
      <c r="AA53" s="147">
        <f t="shared" si="308"/>
        <v>6897824.7700000014</v>
      </c>
      <c r="AB53" s="90">
        <f t="shared" si="309"/>
        <v>96.241819017815786</v>
      </c>
      <c r="AC53" s="90">
        <f t="shared" si="310"/>
        <v>97.014923042860573</v>
      </c>
      <c r="AD53" s="93">
        <f>_xlfn.XLOOKUP(A53,'[1]My Input'!$B:$B,'[1]My Input'!$N:$N)</f>
        <v>80816.83</v>
      </c>
      <c r="AE53" s="70"/>
      <c r="AF53" s="71">
        <f>_xlfn.XLOOKUP(A53,'[1]My Input'!$B:$B,'[1]My Input'!$E:$E)</f>
        <v>0.08</v>
      </c>
      <c r="AG53" s="72">
        <f>_xlfn.XLOOKUP(A53,'[1]My Input'!$B:$B,'[1]My Input'!$G:$G)</f>
        <v>0.08</v>
      </c>
      <c r="AH53" s="73">
        <f t="shared" si="311"/>
        <v>3160616.666666667</v>
      </c>
      <c r="AJ53" s="73">
        <f t="shared" si="312"/>
        <v>2907767.333333334</v>
      </c>
      <c r="AK53" s="75">
        <f t="shared" si="313"/>
        <v>2907767.333333334</v>
      </c>
      <c r="AL53" s="76">
        <f t="shared" si="314"/>
        <v>3185711.666666667</v>
      </c>
      <c r="AM53" s="76">
        <f t="shared" si="315"/>
        <v>2930854.7333333339</v>
      </c>
      <c r="AN53" s="76">
        <f t="shared" si="316"/>
        <v>2930854.7333333339</v>
      </c>
      <c r="AO53" s="77">
        <f>_xlfn.XLOOKUP(A53,'[1]My Input'!$B:$B,'[1]My Input'!$T:$T)</f>
        <v>0</v>
      </c>
      <c r="AP53" s="78">
        <f>_xlfn.XLOOKUP(A53,'[1]My Input'!$B:$B,'[1]My Input'!$S:$S)</f>
        <v>1600</v>
      </c>
      <c r="AQ53" s="67">
        <f>_xlfn.XLOOKUP(A53,'[1]My Input'!$B:$B,'[1]My Input'!$U:$U)</f>
        <v>1</v>
      </c>
      <c r="AS53" s="155">
        <v>478</v>
      </c>
      <c r="AU53" s="74" t="s">
        <v>41</v>
      </c>
      <c r="AV53" s="67" cm="1">
        <f t="array" ref="AV53">_xlfn.IFS(
 AND(AY53="ICE",  AP53&lt;=1400,AND(AK53&gt;900000,  AK53&lt;=1100000)),                    80%,
 AND(AY53="ICE",  AP53&lt;=1400,AK53&gt;1100000),                                       90%,
 AND(AY53="ICE",  AND(AP53&gt;1400,AP53&lt;=1600),   AK53&lt;=850000),                      75%,
 AND(AY53="ICE",  AND(AP53&gt;1400,AP53&lt;=1600),   AND(AK53&gt;850000,AK53&lt;=1100000)),     80%,
 AND(AY53="ICE",  AND(AP53&gt;1400,AP53&lt;=1600),   AND(AK53&gt;1100000,AK53&lt;=1650000)),    90%,
 AND(AY53="ICE",  AND(AP53&gt;1400,AP53&lt;=1600),   AK53&gt;1650000),                      100%,
 AND(AY53="ICE",  AND(AP53&gt;1600,AP53&lt;=2000),   AK53&lt;=1650000),                     150%,
 AND(AY53="ICE",  AND(AP53&gt;1600,AP53&lt;=2000),   AK53&gt;1650000),                      170%,
 AND(AY53="ICE",  AP53&gt;2000),                                                    220%,
 AND(AY53="PHEV",  AP53&lt;=1600,                AK53&lt;=1350000),                     45%,
 AND(AY53="PHEV",  AP53&lt;=1600,                AK53&gt;1350000),                      75%,
 AND(AY53="PHEV",  AND(AP53&gt;1600,AP53&lt;=1800),  AK53&lt;=1350000),                     85%,
 AND(AY53="BEV",    AZ53&lt;=160,                 AK53&lt;=1650000),                     25%,
 AND(AY53="BEV",    AZ53&lt;=160,                 AK53&gt;1650000),                      55%,
 AND(AY53="BEV",    AZ53&gt; 160,                 AK53&lt;=1650000),                     65%,
 AND(AY53="BEV",    AZ53&gt; 160,                 AK53&gt;1650000),                      75%)</f>
        <v>1</v>
      </c>
      <c r="AW53" s="67" cm="1">
        <f t="array" ref="AW53">_xlfn.IFS(
 X53=0,AV53,
 AND(AY53="ICE",  AP53&lt;=1400,AND((AJ53-BA53)&gt;900000,  (AJ53-BA53)&lt;=1100000)),                    80%,
 AND(AY53="ICE",  AP53&lt;=1400,(AJ53-BA53)&gt;1100000),                                       90%,
 AND(AY53="ICE",  AND(AP53&gt;1400,AP53&lt;=1600),   (AJ53-BA53)&lt;=850000),                      75%,
 AND(AY53="ICE",  AND(AP53&gt;1400,AP53&lt;=1600),   AND((AJ53-BA53)&gt;850000,(AJ53-BA53)&lt;=1100000)),     80%,
 AND(AY53="ICE",  AND(AP53&gt;1400,AP53&lt;=1600),   AND((AJ53-BA53)&gt;1100000,(AJ53-BA53)&lt;=1650000)),    90%,
 AND(AY53="ICE",  AND(AP53&gt;1400,AP53&lt;=1600),   (AJ53-BA53)&gt;1650000),                      100%,
 AND(AY53="ICE",  AND(AP53&gt;1600,AP53&lt;=2000),   (AJ53-BA53)&lt;=1650000),                     150%,
 AND(AY53="ICE",  AND(AP53&gt;1600,AP53&lt;=2000),   (AJ53-BA53)&gt;1650000),                      170%,
 AND(AY53="ICE",  AP53&gt;2000),                                                    220%,
 AND(AY53="PHEV",  AP53&lt;=1600,                (AJ53-BA53)&lt;=1350000),                     45%,
 AND(AY53="PHEV",  AP53&lt;=1600,                (AJ53-BA53)&gt;1350000),                      75%,
 AND(AY53="PHEV",  AND(AP53&gt;1600,AP53&lt;=1800),  (AJ53-BA53)&lt;=1350000),                     85%,
 AND(AY53="BEV",    AZ53&lt;=160,                 (AJ53-BA53)&lt;=1650000),                     25%,
 AND(AY53="BEV",    AZ53&lt;=160,                 (AJ53-BA53)&gt;1650000),                      55%,
 AND(AY53="BEV",    AZ53&gt; 160,                 (AJ53-BA53)&lt;=1650000),                     65%,
 AND(AY53="BEV",    AZ53&gt; 160,                 (AJ53-BA53)&gt;1650000),                      75%)</f>
        <v>1</v>
      </c>
      <c r="AX53" s="67" cm="1">
        <f t="array" ref="AX53">_xlfn.IFS(
 AD53=0,AV53,
 AND(AY53="ICE",  AP53&lt;=1400,AND(AJ53&gt;900000,  AJ53&lt;=1100000)),                    80%,
 AND(AY53="ICE",  AP53&lt;=1400,AJ53&gt;1100000),                                       90%,
 AND(AY53="ICE",  AND(AP53&gt;1400,AP53&lt;=1600),   AJ53&lt;=850000),                      75%,
 AND(AY53="ICE",  AND(AP53&gt;1400,AP53&lt;=1600),   AND(AJ53&gt;850000,AJ53&lt;=1100000)),     80%,
 AND(AY53="ICE",  AND(AP53&gt;1400,AP53&lt;=1600),   AND(AJ53&gt;1100000,AJ53&lt;=1650000)),    90%,
 AND(AY53="ICE",  AND(AP53&gt;1400,AP53&lt;=1600),   AJ53&gt;1650000),                      100%,
 AND(AY53="ICE",  AND(AP53&gt;1600,AP53&lt;=2000),   AJ53&lt;=1650000),                     150%,
 AND(AY53="ICE",  AND(AP53&gt;1600,AP53&lt;=2000),   AJ53&gt;1650000),                      170%,
 AND(AY53="ICE",  AP53&gt;2000),                                                    220%,
 AND(AY53="PHEV",  AP53&lt;=1600,                AJ53&lt;=1350000),                     45%,
 AND(AY53="PHEV",  AP53&lt;=1600,                AJ53&gt;1350000),                      75%,
 AND(AY53="PHEV",  AND(AP53&gt;1600,AP53&lt;=1800),  AJ53&lt;=1350000),                     85%,
 AND(AY53="BEV",    AZ53&lt;=160,                 AJ53&lt;=1650000),                     25%,
 AND(AY53="BEV",    AZ53&lt;=160,                 AJ53&gt;1650000),                      55%,
 AND(AY53="BEV",    AZ53&gt; 160,                 AJ53&lt;=1650000),                     65%,
 AND(AY53="BEV",    AZ53&gt; 160,                 AJ53&gt;1650000),                      75%)</f>
        <v>1</v>
      </c>
      <c r="AY53" s="80" t="str">
        <f>_xlfn.XLOOKUP(A53,'[1]My Input'!$B:$B,'[1]My Input'!$V:$V)</f>
        <v>ICE</v>
      </c>
      <c r="AZ53" s="80" t="str">
        <f>_xlfn.IFNA(_xlfn.XLOOKUP(A53,'[1]kW Tescil'!$A:$A,'[1]kW Tescil'!$C:$C),"-")</f>
        <v>-</v>
      </c>
      <c r="BA53" s="81">
        <f>_xlfn.XLOOKUP(A53,'[1]My Input'!$B:$B,'[1]My Input'!$H:$H)</f>
        <v>0</v>
      </c>
      <c r="BC53" s="82">
        <v>8.1544529754783213</v>
      </c>
      <c r="BD53" s="82">
        <v>8.5428700987720845</v>
      </c>
      <c r="BF53" s="83">
        <v>14.637293744980482</v>
      </c>
      <c r="BG53" s="83">
        <v>15.06012130990392</v>
      </c>
      <c r="BI53" s="84">
        <v>1366132.3495200006</v>
      </c>
      <c r="BL53" s="83">
        <v>4.4021382716384352</v>
      </c>
    </row>
    <row r="54" spans="1:64" s="74" customFormat="1" ht="15" customHeight="1" thickBot="1" x14ac:dyDescent="0.3">
      <c r="A54" s="57" t="s">
        <v>99</v>
      </c>
      <c r="B54" s="57" t="str">
        <f t="shared" si="298"/>
        <v>MBE 180Exclusive</v>
      </c>
      <c r="C54" s="85" t="s">
        <v>42</v>
      </c>
      <c r="D54" s="144" t="s">
        <v>47</v>
      </c>
      <c r="E54" s="145" t="s">
        <v>100</v>
      </c>
      <c r="F54" s="146" t="s">
        <v>101</v>
      </c>
      <c r="G54" s="178"/>
      <c r="H54" s="147">
        <v>8159980</v>
      </c>
      <c r="I54" s="90">
        <f t="shared" si="299"/>
        <v>101.56201770369707</v>
      </c>
      <c r="J54" s="65">
        <v>0.08</v>
      </c>
      <c r="K54" s="66">
        <f t="shared" si="300"/>
        <v>8220208</v>
      </c>
      <c r="L54" s="64">
        <f>K54/$K$37*$L$37</f>
        <v>135.53159356059859</v>
      </c>
      <c r="M54" s="157"/>
      <c r="N54" s="66">
        <f t="shared" si="301"/>
        <v>7562591.3600000013</v>
      </c>
      <c r="O54" s="147">
        <f t="shared" si="302"/>
        <v>7507181.6000000015</v>
      </c>
      <c r="P54" s="90">
        <f t="shared" si="303"/>
        <v>111.23459081833491</v>
      </c>
      <c r="Q54" s="207">
        <f t="shared" si="304"/>
        <v>112.05560225902556</v>
      </c>
      <c r="R54" s="67">
        <v>0</v>
      </c>
      <c r="S54" s="157"/>
      <c r="T54" s="158">
        <f t="shared" si="317"/>
        <v>7562591.3600000013</v>
      </c>
      <c r="U54" s="147">
        <f t="shared" si="318"/>
        <v>7507181.6000000015</v>
      </c>
      <c r="V54" s="90">
        <f t="shared" si="305"/>
        <v>117.41996522188289</v>
      </c>
      <c r="W54" s="90">
        <f t="shared" si="306"/>
        <v>118.28663029525117</v>
      </c>
      <c r="X54" s="92">
        <f>_xlfn.XLOOKUP(A54,'[1]My Input'!$B:$B,'[1]My Input'!$I:$I)</f>
        <v>0</v>
      </c>
      <c r="Y54" s="157"/>
      <c r="Z54" s="158">
        <f t="shared" si="307"/>
        <v>7481774.5300000012</v>
      </c>
      <c r="AA54" s="147">
        <f t="shared" si="308"/>
        <v>7426364.7700000014</v>
      </c>
      <c r="AB54" s="90">
        <f t="shared" si="309"/>
        <v>103.61626715469943</v>
      </c>
      <c r="AC54" s="90">
        <f t="shared" si="310"/>
        <v>104.38937117974423</v>
      </c>
      <c r="AD54" s="93">
        <f>_xlfn.XLOOKUP(A54,'[1]My Input'!$B:$B,'[1]My Input'!$N:$N)</f>
        <v>80816.83</v>
      </c>
      <c r="AE54" s="70"/>
      <c r="AF54" s="71">
        <v>0.08</v>
      </c>
      <c r="AG54" s="208">
        <f>SUM(AF54,R54)</f>
        <v>0.08</v>
      </c>
      <c r="AH54" s="73">
        <f t="shared" si="311"/>
        <v>3399991.666666667</v>
      </c>
      <c r="AJ54" s="73">
        <f t="shared" si="312"/>
        <v>3127992.333333334</v>
      </c>
      <c r="AK54" s="75">
        <f t="shared" si="313"/>
        <v>3127992.333333334</v>
      </c>
      <c r="AL54" s="76">
        <f t="shared" si="314"/>
        <v>3425086.666666667</v>
      </c>
      <c r="AM54" s="76">
        <f t="shared" si="315"/>
        <v>3151079.7333333339</v>
      </c>
      <c r="AN54" s="76">
        <f t="shared" si="316"/>
        <v>3151079.7333333339</v>
      </c>
      <c r="AO54" s="77">
        <f>_xlfn.XLOOKUP(A54,'[1]My Input'!$B:$B,'[1]My Input'!$T:$T)</f>
        <v>0</v>
      </c>
      <c r="AP54" s="78">
        <f>_xlfn.XLOOKUP(A54,'[1]My Input'!$B:$B,'[1]My Input'!$S:$S)</f>
        <v>1600</v>
      </c>
      <c r="AQ54" s="67">
        <f>_xlfn.XLOOKUP(A54,'[1]My Input'!$B:$B,'[1]My Input'!$U:$U)</f>
        <v>1</v>
      </c>
      <c r="AS54" s="153">
        <v>478</v>
      </c>
      <c r="AU54" s="74" t="s">
        <v>41</v>
      </c>
      <c r="AV54" s="67" cm="1">
        <f t="array" ref="AV54">_xlfn.IFS(
 AND(AY54="ICE",  AP54&lt;=1400,AND(AK54&gt;900000,  AK54&lt;=1100000)),                    80%,
 AND(AY54="ICE",  AP54&lt;=1400,AK54&gt;1100000),                                       90%,
 AND(AY54="ICE",  AND(AP54&gt;1400,AP54&lt;=1600),   AK54&lt;=850000),                      75%,
 AND(AY54="ICE",  AND(AP54&gt;1400,AP54&lt;=1600),   AND(AK54&gt;850000,AK54&lt;=1100000)),     80%,
 AND(AY54="ICE",  AND(AP54&gt;1400,AP54&lt;=1600),   AND(AK54&gt;1100000,AK54&lt;=1650000)),    90%,
 AND(AY54="ICE",  AND(AP54&gt;1400,AP54&lt;=1600),   AK54&gt;1650000),                      100%,
 AND(AY54="ICE",  AND(AP54&gt;1600,AP54&lt;=2000),   AK54&lt;=1650000),                     150%,
 AND(AY54="ICE",  AND(AP54&gt;1600,AP54&lt;=2000),   AK54&gt;1650000),                      170%,
 AND(AY54="ICE",  AP54&gt;2000),                                                    220%,
 AND(AY54="PHEV",  AP54&lt;=1600,                AK54&lt;=1350000),                     45%,
 AND(AY54="PHEV",  AP54&lt;=1600,                AK54&gt;1350000),                      75%,
 AND(AY54="PHEV",  AND(AP54&gt;1600,AP54&lt;=1800),  AK54&lt;=1350000),                     85%,
 AND(AY54="BEV",    AZ54&lt;=160,                 AK54&lt;=1650000),                     25%,
 AND(AY54="BEV",    AZ54&lt;=160,                 AK54&gt;1650000),                      55%,
 AND(AY54="BEV",    AZ54&gt; 160,                 AK54&lt;=1650000),                     65%,
 AND(AY54="BEV",    AZ54&gt; 160,                 AK54&gt;1650000),                      75%)</f>
        <v>1</v>
      </c>
      <c r="AW54" s="67" cm="1">
        <f t="array" ref="AW54">_xlfn.IFS(
 X54=0,AV54,
 AND(AY54="ICE",  AP54&lt;=1400,AND((AJ54-BA54)&gt;900000,  (AJ54-BA54)&lt;=1100000)),                    80%,
 AND(AY54="ICE",  AP54&lt;=1400,(AJ54-BA54)&gt;1100000),                                       90%,
 AND(AY54="ICE",  AND(AP54&gt;1400,AP54&lt;=1600),   (AJ54-BA54)&lt;=850000),                      75%,
 AND(AY54="ICE",  AND(AP54&gt;1400,AP54&lt;=1600),   AND((AJ54-BA54)&gt;850000,(AJ54-BA54)&lt;=1100000)),     80%,
 AND(AY54="ICE",  AND(AP54&gt;1400,AP54&lt;=1600),   AND((AJ54-BA54)&gt;1100000,(AJ54-BA54)&lt;=1650000)),    90%,
 AND(AY54="ICE",  AND(AP54&gt;1400,AP54&lt;=1600),   (AJ54-BA54)&gt;1650000),                      100%,
 AND(AY54="ICE",  AND(AP54&gt;1600,AP54&lt;=2000),   (AJ54-BA54)&lt;=1650000),                     150%,
 AND(AY54="ICE",  AND(AP54&gt;1600,AP54&lt;=2000),   (AJ54-BA54)&gt;1650000),                      170%,
 AND(AY54="ICE",  AP54&gt;2000),                                                    220%,
 AND(AY54="PHEV",  AP54&lt;=1600,                (AJ54-BA54)&lt;=1350000),                     45%,
 AND(AY54="PHEV",  AP54&lt;=1600,                (AJ54-BA54)&gt;1350000),                      75%,
 AND(AY54="PHEV",  AND(AP54&gt;1600,AP54&lt;=1800),  (AJ54-BA54)&lt;=1350000),                     85%,
 AND(AY54="BEV",    AZ54&lt;=160,                 (AJ54-BA54)&lt;=1650000),                     25%,
 AND(AY54="BEV",    AZ54&lt;=160,                 (AJ54-BA54)&gt;1650000),                      55%,
 AND(AY54="BEV",    AZ54&gt; 160,                 (AJ54-BA54)&lt;=1650000),                     65%,
 AND(AY54="BEV",    AZ54&gt; 160,                 (AJ54-BA54)&gt;1650000),                      75%)</f>
        <v>1</v>
      </c>
      <c r="AX54" s="67" cm="1">
        <f t="array" ref="AX54">_xlfn.IFS(
 AD54=0,AV54,
 AND(AY54="ICE",  AP54&lt;=1400,AND(AJ54&gt;900000,  AJ54&lt;=1100000)),                    80%,
 AND(AY54="ICE",  AP54&lt;=1400,AJ54&gt;1100000),                                       90%,
 AND(AY54="ICE",  AND(AP54&gt;1400,AP54&lt;=1600),   AJ54&lt;=850000),                      75%,
 AND(AY54="ICE",  AND(AP54&gt;1400,AP54&lt;=1600),   AND(AJ54&gt;850000,AJ54&lt;=1100000)),     80%,
 AND(AY54="ICE",  AND(AP54&gt;1400,AP54&lt;=1600),   AND(AJ54&gt;1100000,AJ54&lt;=1650000)),    90%,
 AND(AY54="ICE",  AND(AP54&gt;1400,AP54&lt;=1600),   AJ54&gt;1650000),                      100%,
 AND(AY54="ICE",  AND(AP54&gt;1600,AP54&lt;=2000),   AJ54&lt;=1650000),                     150%,
 AND(AY54="ICE",  AND(AP54&gt;1600,AP54&lt;=2000),   AJ54&gt;1650000),                      170%,
 AND(AY54="ICE",  AP54&gt;2000),                                                    220%,
 AND(AY54="PHEV",  AP54&lt;=1600,                AJ54&lt;=1350000),                     45%,
 AND(AY54="PHEV",  AP54&lt;=1600,                AJ54&gt;1350000),                      75%,
 AND(AY54="PHEV",  AND(AP54&gt;1600,AP54&lt;=1800),  AJ54&lt;=1350000),                     85%,
 AND(AY54="BEV",    AZ54&lt;=160,                 AJ54&lt;=1650000),                     25%,
 AND(AY54="BEV",    AZ54&lt;=160,                 AJ54&gt;1650000),                      55%,
 AND(AY54="BEV",    AZ54&gt; 160,                 AJ54&lt;=1650000),                     65%,
 AND(AY54="BEV",    AZ54&gt; 160,                 AJ54&gt;1650000),                      75%)</f>
        <v>1</v>
      </c>
      <c r="AY54" s="80" t="str">
        <f>_xlfn.XLOOKUP(A54,'[1]My Input'!$B:$B,'[1]My Input'!$V:$V)</f>
        <v>ICE</v>
      </c>
      <c r="AZ54" s="80" t="str">
        <f>_xlfn.IFNA(_xlfn.XLOOKUP(A54,'[1]kW Tescil'!$A:$A,'[1]kW Tescil'!$C:$C),"-")</f>
        <v>-</v>
      </c>
      <c r="BA54" s="81">
        <f>_xlfn.XLOOKUP(A54,'[1]My Input'!$B:$B,'[1]My Input'!$H:$H)</f>
        <v>0</v>
      </c>
      <c r="BC54" s="82">
        <v>8.1544529754783213</v>
      </c>
      <c r="BD54" s="82">
        <v>8.5428700987720845</v>
      </c>
      <c r="BF54" s="83">
        <v>14.637293744980482</v>
      </c>
      <c r="BG54" s="83">
        <v>15.06012130990392</v>
      </c>
      <c r="BI54" s="84">
        <v>1366132.3495200006</v>
      </c>
      <c r="BL54" s="83">
        <v>4.4021382716384352</v>
      </c>
    </row>
    <row r="55" spans="1:64" s="74" customFormat="1" ht="15" customHeight="1" thickBot="1" x14ac:dyDescent="0.3">
      <c r="A55" s="57" t="s">
        <v>102</v>
      </c>
      <c r="B55" s="57" t="str">
        <f t="shared" si="298"/>
        <v>MBE 180AMG</v>
      </c>
      <c r="C55" s="58" t="s">
        <v>37</v>
      </c>
      <c r="D55" s="144" t="s">
        <v>47</v>
      </c>
      <c r="E55" s="145" t="s">
        <v>100</v>
      </c>
      <c r="F55" s="146" t="s">
        <v>49</v>
      </c>
      <c r="G55" s="157"/>
      <c r="H55" s="147">
        <v>7647480</v>
      </c>
      <c r="I55" s="90">
        <f t="shared" si="299"/>
        <v>95.183260148758848</v>
      </c>
      <c r="J55" s="65">
        <v>0.08</v>
      </c>
      <c r="K55" s="66">
        <f t="shared" si="300"/>
        <v>7633620</v>
      </c>
      <c r="L55" s="64">
        <f>K55/$K$37*$L$37</f>
        <v>125.8601586767703</v>
      </c>
      <c r="M55" s="157"/>
      <c r="N55" s="66">
        <f t="shared" si="301"/>
        <v>7022930.3999999994</v>
      </c>
      <c r="O55" s="147">
        <f t="shared" si="302"/>
        <v>7035681.5999999996</v>
      </c>
      <c r="P55" s="90">
        <f t="shared" si="303"/>
        <v>104.24833254387873</v>
      </c>
      <c r="Q55" s="207">
        <f t="shared" si="304"/>
        <v>104.05939685669054</v>
      </c>
      <c r="R55" s="67">
        <f>_xlfn.XLOOKUP(A55,'[1]My Input'!$B:$B,'[1]My Input'!$F:$F)</f>
        <v>0</v>
      </c>
      <c r="S55" s="157"/>
      <c r="T55" s="91">
        <f t="shared" si="317"/>
        <v>7022930.3999999994</v>
      </c>
      <c r="U55" s="147">
        <f t="shared" si="318"/>
        <v>7035681.5999999996</v>
      </c>
      <c r="V55" s="90">
        <f t="shared" si="305"/>
        <v>110.04522506612085</v>
      </c>
      <c r="W55" s="207">
        <f t="shared" si="306"/>
        <v>109.84578331283528</v>
      </c>
      <c r="X55" s="92">
        <f>_xlfn.XLOOKUP(A55,'[1]My Input'!$B:$B,'[1]My Input'!$I:$I)</f>
        <v>0</v>
      </c>
      <c r="Y55" s="157"/>
      <c r="Z55" s="158">
        <f t="shared" si="307"/>
        <v>6942113.5699999994</v>
      </c>
      <c r="AA55" s="147">
        <f t="shared" si="308"/>
        <v>6954864.7699999996</v>
      </c>
      <c r="AB55" s="90">
        <f t="shared" si="309"/>
        <v>97.03766894729668</v>
      </c>
      <c r="AC55" s="207">
        <f t="shared" si="310"/>
        <v>96.859757979190135</v>
      </c>
      <c r="AD55" s="93">
        <f>_xlfn.XLOOKUP(A55,'[1]My Input'!$B:$B,'[1]My Input'!$N:$N)</f>
        <v>80816.83</v>
      </c>
      <c r="AE55" s="70"/>
      <c r="AF55" s="71">
        <f>_xlfn.XLOOKUP(A55,'[1]My Input'!$B:$B,'[1]My Input'!$E:$E)</f>
        <v>0.08</v>
      </c>
      <c r="AG55" s="72">
        <f>_xlfn.XLOOKUP(A55,'[1]My Input'!$B:$B,'[1]My Input'!$G:$G)</f>
        <v>0.08</v>
      </c>
      <c r="AH55" s="73">
        <f t="shared" si="311"/>
        <v>3186450</v>
      </c>
      <c r="AJ55" s="73">
        <f t="shared" si="312"/>
        <v>2931534</v>
      </c>
      <c r="AK55" s="75">
        <f t="shared" si="313"/>
        <v>2931534</v>
      </c>
      <c r="AL55" s="76">
        <f t="shared" si="314"/>
        <v>3180675</v>
      </c>
      <c r="AM55" s="76">
        <f t="shared" si="315"/>
        <v>2926221</v>
      </c>
      <c r="AN55" s="76">
        <f t="shared" si="316"/>
        <v>2926221</v>
      </c>
      <c r="AO55" s="77">
        <f>_xlfn.XLOOKUP(A55,'[1]My Input'!$B:$B,'[1]My Input'!$T:$T)</f>
        <v>0</v>
      </c>
      <c r="AP55" s="78">
        <f>_xlfn.XLOOKUP(A55,'[1]My Input'!$B:$B,'[1]My Input'!$S:$S)</f>
        <v>1600</v>
      </c>
      <c r="AQ55" s="67">
        <f>_xlfn.XLOOKUP(A55,'[1]My Input'!$B:$B,'[1]My Input'!$U:$U)</f>
        <v>1</v>
      </c>
      <c r="AS55" s="155">
        <v>-110</v>
      </c>
      <c r="AU55" s="74" t="s">
        <v>41</v>
      </c>
      <c r="AV55" s="67" cm="1">
        <f t="array" ref="AV55">_xlfn.IFS(
 AND(AY55="ICE",  AP55&lt;=1400,AND(AK55&gt;900000,  AK55&lt;=1100000)),                    80%,
 AND(AY55="ICE",  AP55&lt;=1400,AK55&gt;1100000),                                       90%,
 AND(AY55="ICE",  AND(AP55&gt;1400,AP55&lt;=1600),   AK55&lt;=850000),                      75%,
 AND(AY55="ICE",  AND(AP55&gt;1400,AP55&lt;=1600),   AND(AK55&gt;850000,AK55&lt;=1100000)),     80%,
 AND(AY55="ICE",  AND(AP55&gt;1400,AP55&lt;=1600),   AND(AK55&gt;1100000,AK55&lt;=1650000)),    90%,
 AND(AY55="ICE",  AND(AP55&gt;1400,AP55&lt;=1600),   AK55&gt;1650000),                      100%,
 AND(AY55="ICE",  AND(AP55&gt;1600,AP55&lt;=2000),   AK55&lt;=1650000),                     150%,
 AND(AY55="ICE",  AND(AP55&gt;1600,AP55&lt;=2000),   AK55&gt;1650000),                      170%,
 AND(AY55="ICE",  AP55&gt;2000),                                                    220%,
 AND(AY55="PHEV",  AP55&lt;=1600,                AK55&lt;=1350000),                     45%,
 AND(AY55="PHEV",  AP55&lt;=1600,                AK55&gt;1350000),                      75%,
 AND(AY55="PHEV",  AND(AP55&gt;1600,AP55&lt;=1800),  AK55&lt;=1350000),                     85%,
 AND(AY55="BEV",    AZ55&lt;=160,                 AK55&lt;=1650000),                     25%,
 AND(AY55="BEV",    AZ55&lt;=160,                 AK55&gt;1650000),                      55%,
 AND(AY55="BEV",    AZ55&gt; 160,                 AK55&lt;=1650000),                     65%,
 AND(AY55="BEV",    AZ55&gt; 160,                 AK55&gt;1650000),                      75%)</f>
        <v>1</v>
      </c>
      <c r="AW55" s="67" cm="1">
        <f t="array" ref="AW55">_xlfn.IFS(
 X55=0,AV55,
 AND(AY55="ICE",  AP55&lt;=1400,AND((AJ55-BA55)&gt;900000,  (AJ55-BA55)&lt;=1100000)),                    80%,
 AND(AY55="ICE",  AP55&lt;=1400,(AJ55-BA55)&gt;1100000),                                       90%,
 AND(AY55="ICE",  AND(AP55&gt;1400,AP55&lt;=1600),   (AJ55-BA55)&lt;=850000),                      75%,
 AND(AY55="ICE",  AND(AP55&gt;1400,AP55&lt;=1600),   AND((AJ55-BA55)&gt;850000,(AJ55-BA55)&lt;=1100000)),     80%,
 AND(AY55="ICE",  AND(AP55&gt;1400,AP55&lt;=1600),   AND((AJ55-BA55)&gt;1100000,(AJ55-BA55)&lt;=1650000)),    90%,
 AND(AY55="ICE",  AND(AP55&gt;1400,AP55&lt;=1600),   (AJ55-BA55)&gt;1650000),                      100%,
 AND(AY55="ICE",  AND(AP55&gt;1600,AP55&lt;=2000),   (AJ55-BA55)&lt;=1650000),                     150%,
 AND(AY55="ICE",  AND(AP55&gt;1600,AP55&lt;=2000),   (AJ55-BA55)&gt;1650000),                      170%,
 AND(AY55="ICE",  AP55&gt;2000),                                                    220%,
 AND(AY55="PHEV",  AP55&lt;=1600,                (AJ55-BA55)&lt;=1350000),                     45%,
 AND(AY55="PHEV",  AP55&lt;=1600,                (AJ55-BA55)&gt;1350000),                      75%,
 AND(AY55="PHEV",  AND(AP55&gt;1600,AP55&lt;=1800),  (AJ55-BA55)&lt;=1350000),                     85%,
 AND(AY55="BEV",    AZ55&lt;=160,                 (AJ55-BA55)&lt;=1650000),                     25%,
 AND(AY55="BEV",    AZ55&lt;=160,                 (AJ55-BA55)&gt;1650000),                      55%,
 AND(AY55="BEV",    AZ55&gt; 160,                 (AJ55-BA55)&lt;=1650000),                     65%,
 AND(AY55="BEV",    AZ55&gt; 160,                 (AJ55-BA55)&gt;1650000),                      75%)</f>
        <v>1</v>
      </c>
      <c r="AX55" s="67" cm="1">
        <f t="array" ref="AX55">_xlfn.IFS(
 AD55=0,AV55,
 AND(AY55="ICE",  AP55&lt;=1400,AND(AJ55&gt;900000,  AJ55&lt;=1100000)),                    80%,
 AND(AY55="ICE",  AP55&lt;=1400,AJ55&gt;1100000),                                       90%,
 AND(AY55="ICE",  AND(AP55&gt;1400,AP55&lt;=1600),   AJ55&lt;=850000),                      75%,
 AND(AY55="ICE",  AND(AP55&gt;1400,AP55&lt;=1600),   AND(AJ55&gt;850000,AJ55&lt;=1100000)),     80%,
 AND(AY55="ICE",  AND(AP55&gt;1400,AP55&lt;=1600),   AND(AJ55&gt;1100000,AJ55&lt;=1650000)),    90%,
 AND(AY55="ICE",  AND(AP55&gt;1400,AP55&lt;=1600),   AJ55&gt;1650000),                      100%,
 AND(AY55="ICE",  AND(AP55&gt;1600,AP55&lt;=2000),   AJ55&lt;=1650000),                     150%,
 AND(AY55="ICE",  AND(AP55&gt;1600,AP55&lt;=2000),   AJ55&gt;1650000),                      170%,
 AND(AY55="ICE",  AP55&gt;2000),                                                    220%,
 AND(AY55="PHEV",  AP55&lt;=1600,                AJ55&lt;=1350000),                     45%,
 AND(AY55="PHEV",  AP55&lt;=1600,                AJ55&gt;1350000),                      75%,
 AND(AY55="PHEV",  AND(AP55&gt;1600,AP55&lt;=1800),  AJ55&lt;=1350000),                     85%,
 AND(AY55="BEV",    AZ55&lt;=160,                 AJ55&lt;=1650000),                     25%,
 AND(AY55="BEV",    AZ55&lt;=160,                 AJ55&gt;1650000),                      55%,
 AND(AY55="BEV",    AZ55&gt; 160,                 AJ55&lt;=1650000),                     65%,
 AND(AY55="BEV",    AZ55&gt; 160,                 AJ55&gt;1650000),                      75%)</f>
        <v>1</v>
      </c>
      <c r="AY55" s="80" t="str">
        <f>_xlfn.XLOOKUP(A55,'[1]My Input'!$B:$B,'[1]My Input'!$V:$V)</f>
        <v>ICE</v>
      </c>
      <c r="AZ55" s="80" t="str">
        <f>_xlfn.IFNA(_xlfn.XLOOKUP(A55,'[1]kW Tescil'!$A:$A,'[1]kW Tescil'!$C:$C),"-")</f>
        <v>-</v>
      </c>
      <c r="BA55" s="81">
        <f>_xlfn.XLOOKUP(A55,'[1]My Input'!$B:$B,'[1]My Input'!$H:$H)</f>
        <v>0</v>
      </c>
      <c r="BC55" s="82">
        <v>8.2476017653212921</v>
      </c>
      <c r="BD55" s="82">
        <v>8.5776739247480265</v>
      </c>
      <c r="BF55" s="83">
        <v>14.782217117025226</v>
      </c>
      <c r="BG55" s="83">
        <v>15.085289985175876</v>
      </c>
      <c r="BI55" s="84">
        <v>1375915.3495200006</v>
      </c>
      <c r="BL55" s="83">
        <v>4.465590971948302</v>
      </c>
    </row>
    <row r="56" spans="1:64" s="74" customFormat="1" ht="15" customHeight="1" thickBot="1" x14ac:dyDescent="0.3">
      <c r="A56" s="57" t="s">
        <v>102</v>
      </c>
      <c r="B56" s="57" t="str">
        <f t="shared" si="298"/>
        <v>MBE 180AMG</v>
      </c>
      <c r="C56" s="85" t="s">
        <v>42</v>
      </c>
      <c r="D56" s="144" t="s">
        <v>47</v>
      </c>
      <c r="E56" s="145" t="s">
        <v>100</v>
      </c>
      <c r="F56" s="146" t="s">
        <v>49</v>
      </c>
      <c r="G56" s="178"/>
      <c r="H56" s="147">
        <v>8528300</v>
      </c>
      <c r="I56" s="90">
        <f t="shared" si="299"/>
        <v>106.14625962103335</v>
      </c>
      <c r="J56" s="65">
        <v>0.08</v>
      </c>
      <c r="K56" s="66">
        <f t="shared" si="300"/>
        <v>8514440</v>
      </c>
      <c r="L56" s="64">
        <f>K56/$K$37*$L$37</f>
        <v>140.38277638182672</v>
      </c>
      <c r="M56" s="157"/>
      <c r="N56" s="66">
        <f t="shared" si="301"/>
        <v>7833284.8000000007</v>
      </c>
      <c r="O56" s="147">
        <f t="shared" si="302"/>
        <v>7846036</v>
      </c>
      <c r="P56" s="90">
        <f t="shared" si="303"/>
        <v>116.25542720398889</v>
      </c>
      <c r="Q56" s="207">
        <f t="shared" si="304"/>
        <v>116.06649151680072</v>
      </c>
      <c r="R56" s="67">
        <v>0</v>
      </c>
      <c r="S56" s="157"/>
      <c r="T56" s="158">
        <f t="shared" si="317"/>
        <v>7833284.8000000007</v>
      </c>
      <c r="U56" s="147">
        <f t="shared" si="318"/>
        <v>7846036</v>
      </c>
      <c r="V56" s="90">
        <f t="shared" si="305"/>
        <v>122.71999311294681</v>
      </c>
      <c r="W56" s="90">
        <f t="shared" si="306"/>
        <v>122.52055135966124</v>
      </c>
      <c r="X56" s="92">
        <f>_xlfn.XLOOKUP(A56,'[1]My Input'!$B:$B,'[1]My Input'!$I:$I)</f>
        <v>0</v>
      </c>
      <c r="Y56" s="157"/>
      <c r="Z56" s="158">
        <f t="shared" si="307"/>
        <v>7752467.9700000007</v>
      </c>
      <c r="AA56" s="147">
        <f t="shared" si="308"/>
        <v>7765219.1699999999</v>
      </c>
      <c r="AB56" s="90">
        <f t="shared" si="309"/>
        <v>108.34412918738346</v>
      </c>
      <c r="AC56" s="90">
        <f t="shared" si="310"/>
        <v>108.16621821927694</v>
      </c>
      <c r="AD56" s="93">
        <f>_xlfn.XLOOKUP(A56,'[1]My Input'!$B:$B,'[1]My Input'!$N:$N)</f>
        <v>80816.83</v>
      </c>
      <c r="AE56" s="70"/>
      <c r="AF56" s="71">
        <v>0.08</v>
      </c>
      <c r="AG56" s="208">
        <f>SUM(AF56,R56)</f>
        <v>0.08</v>
      </c>
      <c r="AH56" s="73">
        <f t="shared" si="311"/>
        <v>3553458.3333333335</v>
      </c>
      <c r="AJ56" s="73">
        <f t="shared" si="312"/>
        <v>3269181.666666667</v>
      </c>
      <c r="AK56" s="75">
        <f t="shared" si="313"/>
        <v>3269181.666666667</v>
      </c>
      <c r="AL56" s="76">
        <f t="shared" si="314"/>
        <v>3547683.3333333335</v>
      </c>
      <c r="AM56" s="76">
        <f t="shared" si="315"/>
        <v>3263868.666666667</v>
      </c>
      <c r="AN56" s="76">
        <f t="shared" si="316"/>
        <v>3263868.666666667</v>
      </c>
      <c r="AO56" s="77">
        <f>_xlfn.XLOOKUP(A56,'[1]My Input'!$B:$B,'[1]My Input'!$T:$T)</f>
        <v>0</v>
      </c>
      <c r="AP56" s="78">
        <f>_xlfn.XLOOKUP(A56,'[1]My Input'!$B:$B,'[1]My Input'!$S:$S)</f>
        <v>1600</v>
      </c>
      <c r="AQ56" s="67">
        <f>_xlfn.XLOOKUP(A56,'[1]My Input'!$B:$B,'[1]My Input'!$U:$U)</f>
        <v>1</v>
      </c>
      <c r="AS56" s="153">
        <v>-110</v>
      </c>
      <c r="AU56" s="74" t="s">
        <v>41</v>
      </c>
      <c r="AV56" s="67" cm="1">
        <f t="array" ref="AV56">_xlfn.IFS(
 AND(AY56="ICE",  AP56&lt;=1400,AND(AK56&gt;900000,  AK56&lt;=1100000)),                    80%,
 AND(AY56="ICE",  AP56&lt;=1400,AK56&gt;1100000),                                       90%,
 AND(AY56="ICE",  AND(AP56&gt;1400,AP56&lt;=1600),   AK56&lt;=850000),                      75%,
 AND(AY56="ICE",  AND(AP56&gt;1400,AP56&lt;=1600),   AND(AK56&gt;850000,AK56&lt;=1100000)),     80%,
 AND(AY56="ICE",  AND(AP56&gt;1400,AP56&lt;=1600),   AND(AK56&gt;1100000,AK56&lt;=1650000)),    90%,
 AND(AY56="ICE",  AND(AP56&gt;1400,AP56&lt;=1600),   AK56&gt;1650000),                      100%,
 AND(AY56="ICE",  AND(AP56&gt;1600,AP56&lt;=2000),   AK56&lt;=1650000),                     150%,
 AND(AY56="ICE",  AND(AP56&gt;1600,AP56&lt;=2000),   AK56&gt;1650000),                      170%,
 AND(AY56="ICE",  AP56&gt;2000),                                                    220%,
 AND(AY56="PHEV",  AP56&lt;=1600,                AK56&lt;=1350000),                     45%,
 AND(AY56="PHEV",  AP56&lt;=1600,                AK56&gt;1350000),                      75%,
 AND(AY56="PHEV",  AND(AP56&gt;1600,AP56&lt;=1800),  AK56&lt;=1350000),                     85%,
 AND(AY56="BEV",    AZ56&lt;=160,                 AK56&lt;=1650000),                     25%,
 AND(AY56="BEV",    AZ56&lt;=160,                 AK56&gt;1650000),                      55%,
 AND(AY56="BEV",    AZ56&gt; 160,                 AK56&lt;=1650000),                     65%,
 AND(AY56="BEV",    AZ56&gt; 160,                 AK56&gt;1650000),                      75%)</f>
        <v>1</v>
      </c>
      <c r="AW56" s="67" cm="1">
        <f t="array" ref="AW56">_xlfn.IFS(
 X56=0,AV56,
 AND(AY56="ICE",  AP56&lt;=1400,AND((AJ56-BA56)&gt;900000,  (AJ56-BA56)&lt;=1100000)),                    80%,
 AND(AY56="ICE",  AP56&lt;=1400,(AJ56-BA56)&gt;1100000),                                       90%,
 AND(AY56="ICE",  AND(AP56&gt;1400,AP56&lt;=1600),   (AJ56-BA56)&lt;=850000),                      75%,
 AND(AY56="ICE",  AND(AP56&gt;1400,AP56&lt;=1600),   AND((AJ56-BA56)&gt;850000,(AJ56-BA56)&lt;=1100000)),     80%,
 AND(AY56="ICE",  AND(AP56&gt;1400,AP56&lt;=1600),   AND((AJ56-BA56)&gt;1100000,(AJ56-BA56)&lt;=1650000)),    90%,
 AND(AY56="ICE",  AND(AP56&gt;1400,AP56&lt;=1600),   (AJ56-BA56)&gt;1650000),                      100%,
 AND(AY56="ICE",  AND(AP56&gt;1600,AP56&lt;=2000),   (AJ56-BA56)&lt;=1650000),                     150%,
 AND(AY56="ICE",  AND(AP56&gt;1600,AP56&lt;=2000),   (AJ56-BA56)&gt;1650000),                      170%,
 AND(AY56="ICE",  AP56&gt;2000),                                                    220%,
 AND(AY56="PHEV",  AP56&lt;=1600,                (AJ56-BA56)&lt;=1350000),                     45%,
 AND(AY56="PHEV",  AP56&lt;=1600,                (AJ56-BA56)&gt;1350000),                      75%,
 AND(AY56="PHEV",  AND(AP56&gt;1600,AP56&lt;=1800),  (AJ56-BA56)&lt;=1350000),                     85%,
 AND(AY56="BEV",    AZ56&lt;=160,                 (AJ56-BA56)&lt;=1650000),                     25%,
 AND(AY56="BEV",    AZ56&lt;=160,                 (AJ56-BA56)&gt;1650000),                      55%,
 AND(AY56="BEV",    AZ56&gt; 160,                 (AJ56-BA56)&lt;=1650000),                     65%,
 AND(AY56="BEV",    AZ56&gt; 160,                 (AJ56-BA56)&gt;1650000),                      75%)</f>
        <v>1</v>
      </c>
      <c r="AX56" s="67" cm="1">
        <f t="array" ref="AX56">_xlfn.IFS(
 AD56=0,AV56,
 AND(AY56="ICE",  AP56&lt;=1400,AND(AJ56&gt;900000,  AJ56&lt;=1100000)),                    80%,
 AND(AY56="ICE",  AP56&lt;=1400,AJ56&gt;1100000),                                       90%,
 AND(AY56="ICE",  AND(AP56&gt;1400,AP56&lt;=1600),   AJ56&lt;=850000),                      75%,
 AND(AY56="ICE",  AND(AP56&gt;1400,AP56&lt;=1600),   AND(AJ56&gt;850000,AJ56&lt;=1100000)),     80%,
 AND(AY56="ICE",  AND(AP56&gt;1400,AP56&lt;=1600),   AND(AJ56&gt;1100000,AJ56&lt;=1650000)),    90%,
 AND(AY56="ICE",  AND(AP56&gt;1400,AP56&lt;=1600),   AJ56&gt;1650000),                      100%,
 AND(AY56="ICE",  AND(AP56&gt;1600,AP56&lt;=2000),   AJ56&lt;=1650000),                     150%,
 AND(AY56="ICE",  AND(AP56&gt;1600,AP56&lt;=2000),   AJ56&gt;1650000),                      170%,
 AND(AY56="ICE",  AP56&gt;2000),                                                    220%,
 AND(AY56="PHEV",  AP56&lt;=1600,                AJ56&lt;=1350000),                     45%,
 AND(AY56="PHEV",  AP56&lt;=1600,                AJ56&gt;1350000),                      75%,
 AND(AY56="PHEV",  AND(AP56&gt;1600,AP56&lt;=1800),  AJ56&lt;=1350000),                     85%,
 AND(AY56="BEV",    AZ56&lt;=160,                 AJ56&lt;=1650000),                     25%,
 AND(AY56="BEV",    AZ56&lt;=160,                 AJ56&gt;1650000),                      55%,
 AND(AY56="BEV",    AZ56&gt; 160,                 AJ56&lt;=1650000),                     65%,
 AND(AY56="BEV",    AZ56&gt; 160,                 AJ56&gt;1650000),                      75%)</f>
        <v>1</v>
      </c>
      <c r="AY56" s="80" t="str">
        <f>_xlfn.XLOOKUP(A56,'[1]My Input'!$B:$B,'[1]My Input'!$V:$V)</f>
        <v>ICE</v>
      </c>
      <c r="AZ56" s="80" t="str">
        <f>_xlfn.IFNA(_xlfn.XLOOKUP(A56,'[1]kW Tescil'!$A:$A,'[1]kW Tescil'!$C:$C),"-")</f>
        <v>-</v>
      </c>
      <c r="BA56" s="81">
        <f>_xlfn.XLOOKUP(A56,'[1]My Input'!$B:$B,'[1]My Input'!$H:$H)</f>
        <v>0</v>
      </c>
      <c r="BC56" s="82">
        <v>8.2476017653212921</v>
      </c>
      <c r="BD56" s="82">
        <v>8.5776739247480265</v>
      </c>
      <c r="BF56" s="83">
        <v>14.782217117025226</v>
      </c>
      <c r="BG56" s="83">
        <v>15.085289985175876</v>
      </c>
      <c r="BI56" s="84">
        <v>1375915.3495200006</v>
      </c>
      <c r="BL56" s="83">
        <v>4.465590971948302</v>
      </c>
    </row>
    <row r="57" spans="1:64" s="74" customFormat="1" ht="15" customHeight="1" x14ac:dyDescent="0.25">
      <c r="A57" s="57" t="s">
        <v>103</v>
      </c>
      <c r="B57" s="57" t="str">
        <f>D57&amp;E57&amp;F57</f>
        <v>BMW520i SedanM Sport</v>
      </c>
      <c r="C57" s="85" t="s">
        <v>42</v>
      </c>
      <c r="D57" s="144" t="s">
        <v>44</v>
      </c>
      <c r="E57" s="145" t="s">
        <v>104</v>
      </c>
      <c r="F57" s="146" t="s">
        <v>53</v>
      </c>
      <c r="G57" s="178"/>
      <c r="H57" s="147">
        <v>8275200</v>
      </c>
      <c r="I57" s="90">
        <f t="shared" si="299"/>
        <v>102.99608686560921</v>
      </c>
      <c r="J57" s="65">
        <v>0.08</v>
      </c>
      <c r="K57" s="66">
        <f t="shared" si="300"/>
        <v>8275199.9999999991</v>
      </c>
      <c r="L57" s="64">
        <v>100</v>
      </c>
      <c r="M57" s="157"/>
      <c r="N57" s="66">
        <f t="shared" si="301"/>
        <v>7613183.9999999981</v>
      </c>
      <c r="O57" s="147">
        <f t="shared" si="302"/>
        <v>7613183.9999999981</v>
      </c>
      <c r="P57" s="90">
        <f t="shared" si="303"/>
        <v>112.80523799566721</v>
      </c>
      <c r="Q57" s="207">
        <f t="shared" si="304"/>
        <v>112.80523799566724</v>
      </c>
      <c r="R57" s="67">
        <v>0.05</v>
      </c>
      <c r="S57" s="157"/>
      <c r="T57" s="158">
        <f t="shared" si="317"/>
        <v>7526943.9999999981</v>
      </c>
      <c r="U57" s="147">
        <f t="shared" si="318"/>
        <v>7526944</v>
      </c>
      <c r="V57" s="90">
        <f t="shared" si="305"/>
        <v>117.72906928307954</v>
      </c>
      <c r="W57" s="90">
        <f t="shared" si="306"/>
        <v>117.72906928307954</v>
      </c>
      <c r="X57" s="92">
        <v>500000</v>
      </c>
      <c r="Y57" s="157"/>
      <c r="Z57" s="158">
        <f t="shared" si="307"/>
        <v>7745124.6499999985</v>
      </c>
      <c r="AA57" s="147">
        <f t="shared" si="308"/>
        <v>7745124.6500000004</v>
      </c>
      <c r="AB57" s="90">
        <f t="shared" si="309"/>
        <v>108.06376063329944</v>
      </c>
      <c r="AC57" s="90">
        <f t="shared" si="310"/>
        <v>108.06376063329941</v>
      </c>
      <c r="AD57" s="93">
        <v>281819.34999999998</v>
      </c>
      <c r="AE57" s="70"/>
      <c r="AF57" s="71">
        <f>_xlfn.XLOOKUP(A57,'[1]My Input'!$B:$B,'[1]My Input'!$E:$E)</f>
        <v>0.03</v>
      </c>
      <c r="AG57" s="208">
        <f>_xlfn.XLOOKUP(A57,'[1]My Input'!$B:$B,'[1]My Input'!$G:$G)</f>
        <v>0.16</v>
      </c>
      <c r="AH57" s="73">
        <f t="shared" si="311"/>
        <v>3448000</v>
      </c>
      <c r="AJ57" s="73">
        <f t="shared" si="312"/>
        <v>3344560</v>
      </c>
      <c r="AK57" s="75">
        <f t="shared" si="313"/>
        <v>3172159.9999999995</v>
      </c>
      <c r="AL57" s="76">
        <f t="shared" si="314"/>
        <v>3447999.9999999995</v>
      </c>
      <c r="AM57" s="76">
        <f t="shared" si="315"/>
        <v>3344559.9999999995</v>
      </c>
      <c r="AN57" s="76">
        <f t="shared" si="316"/>
        <v>3172159.9999999995</v>
      </c>
      <c r="AO57" s="77">
        <f>_xlfn.XLOOKUP(A57,'[1]My Input'!$B:$B,'[1]My Input'!$T:$T)</f>
        <v>0</v>
      </c>
      <c r="AP57" s="78">
        <f>_xlfn.XLOOKUP(A57,'[1]My Input'!$B:$B,'[1]My Input'!$S:$S)</f>
        <v>1600</v>
      </c>
      <c r="AQ57" s="67">
        <f>_xlfn.XLOOKUP(A57,'[1]My Input'!$B:$B,'[1]My Input'!$U:$U)</f>
        <v>1</v>
      </c>
      <c r="AS57" s="153">
        <f>_xlfn.XLOOKUP(A57,'[1]My Input'!$B:$B,'[1]My Input'!$Q:$Q)</f>
        <v>0</v>
      </c>
      <c r="AU57" s="74" t="s">
        <v>41</v>
      </c>
      <c r="AV57" s="67" cm="1">
        <f t="array" ref="AV57">_xlfn.IFS(
 AND(AY57="ICE",  AP57&lt;=1400,AND(AK57&gt;900000,  AK57&lt;=1100000)),                    80%,
 AND(AY57="ICE",  AP57&lt;=1400,AK57&gt;1100000),                                       90%,
 AND(AY57="ICE",  AND(AP57&gt;1400,AP57&lt;=1600),   AK57&lt;=850000),                      75%,
 AND(AY57="ICE",  AND(AP57&gt;1400,AP57&lt;=1600),   AND(AK57&gt;850000,AK57&lt;=1100000)),     80%,
 AND(AY57="ICE",  AND(AP57&gt;1400,AP57&lt;=1600),   AND(AK57&gt;1100000,AK57&lt;=1650000)),    90%,
 AND(AY57="ICE",  AND(AP57&gt;1400,AP57&lt;=1600),   AK57&gt;1650000),                      100%,
 AND(AY57="ICE",  AND(AP57&gt;1600,AP57&lt;=2000),   AK57&lt;=1650000),                     150%,
 AND(AY57="ICE",  AND(AP57&gt;1600,AP57&lt;=2000),   AK57&gt;1650000),                      170%,
 AND(AY57="ICE",  AP57&gt;2000),                                                    220%,
 AND(AY57="PHEV",  AP57&lt;=1600,                AK57&lt;=1350000),                     45%,
 AND(AY57="PHEV",  AP57&lt;=1600,                AK57&gt;1350000),                      75%,
 AND(AY57="PHEV",  AND(AP57&gt;1600,AP57&lt;=1800),  AK57&lt;=1350000),                     85%,
 AND(AY57="BEV",    AZ57&lt;=160,                 AK57&lt;=1650000),                     25%,
 AND(AY57="BEV",    AZ57&lt;=160,                 AK57&gt;1650000),                      55%,
 AND(AY57="BEV",    AZ57&gt; 160,                 AK57&lt;=1650000),                     65%,
 AND(AY57="BEV",    AZ57&gt; 160,                 AK57&gt;1650000),                      75%)</f>
        <v>1</v>
      </c>
      <c r="AW57" s="67" cm="1">
        <f t="array" ref="AW57">_xlfn.IFS(
 X57=0,AV57,
 AND(AY57="ICE",  AP57&lt;=1400,AND((AJ57-BA57)&gt;900000,  (AJ57-BA57)&lt;=1100000)),                    80%,
 AND(AY57="ICE",  AP57&lt;=1400,(AJ57-BA57)&gt;1100000),                                       90%,
 AND(AY57="ICE",  AND(AP57&gt;1400,AP57&lt;=1600),   (AJ57-BA57)&lt;=850000),                      75%,
 AND(AY57="ICE",  AND(AP57&gt;1400,AP57&lt;=1600),   AND((AJ57-BA57)&gt;850000,(AJ57-BA57)&lt;=1100000)),     80%,
 AND(AY57="ICE",  AND(AP57&gt;1400,AP57&lt;=1600),   AND((AJ57-BA57)&gt;1100000,(AJ57-BA57)&lt;=1650000)),    90%,
 AND(AY57="ICE",  AND(AP57&gt;1400,AP57&lt;=1600),   (AJ57-BA57)&gt;1650000),                      100%,
 AND(AY57="ICE",  AND(AP57&gt;1600,AP57&lt;=2000),   (AJ57-BA57)&lt;=1650000),                     150%,
 AND(AY57="ICE",  AND(AP57&gt;1600,AP57&lt;=2000),   (AJ57-BA57)&gt;1650000),                      170%,
 AND(AY57="ICE",  AP57&gt;2000),                                                    220%,
 AND(AY57="PHEV",  AP57&lt;=1600,                (AJ57-BA57)&lt;=1350000),                     45%,
 AND(AY57="PHEV",  AP57&lt;=1600,                (AJ57-BA57)&gt;1350000),                      75%,
 AND(AY57="PHEV",  AND(AP57&gt;1600,AP57&lt;=1800),  (AJ57-BA57)&lt;=1350000),                     85%,
 AND(AY57="BEV",    AZ57&lt;=160,                 (AJ57-BA57)&lt;=1650000),                     25%,
 AND(AY57="BEV",    AZ57&lt;=160,                 (AJ57-BA57)&gt;1650000),                      55%,
 AND(AY57="BEV",    AZ57&gt; 160,                 (AJ57-BA57)&lt;=1650000),                     65%,
 AND(AY57="BEV",    AZ57&gt; 160,                 (AJ57-BA57)&gt;1650000),                      75%)</f>
        <v>1</v>
      </c>
      <c r="AX57" s="67" cm="1">
        <f t="array" ref="AX57">_xlfn.IFS(
 AD57=0,AV57,
 AND(AY57="ICE",  AP57&lt;=1400,AND(AJ57&gt;900000,  AJ57&lt;=1100000)),                    80%,
 AND(AY57="ICE",  AP57&lt;=1400,AJ57&gt;1100000),                                       90%,
 AND(AY57="ICE",  AND(AP57&gt;1400,AP57&lt;=1600),   AJ57&lt;=850000),                      75%,
 AND(AY57="ICE",  AND(AP57&gt;1400,AP57&lt;=1600),   AND(AJ57&gt;850000,AJ57&lt;=1100000)),     80%,
 AND(AY57="ICE",  AND(AP57&gt;1400,AP57&lt;=1600),   AND(AJ57&gt;1100000,AJ57&lt;=1650000)),    90%,
 AND(AY57="ICE",  AND(AP57&gt;1400,AP57&lt;=1600),   AJ57&gt;1650000),                      100%,
 AND(AY57="ICE",  AND(AP57&gt;1600,AP57&lt;=2000),   AJ57&lt;=1650000),                     150%,
 AND(AY57="ICE",  AND(AP57&gt;1600,AP57&lt;=2000),   AJ57&gt;1650000),                      170%,
 AND(AY57="ICE",  AP57&gt;2000),                                                    220%,
 AND(AY57="PHEV",  AP57&lt;=1600,                AJ57&lt;=1350000),                     45%,
 AND(AY57="PHEV",  AP57&lt;=1600,                AJ57&gt;1350000),                      75%,
 AND(AY57="PHEV",  AND(AP57&gt;1600,AP57&lt;=1800),  AJ57&lt;=1350000),                     85%,
 AND(AY57="BEV",    AZ57&lt;=160,                 AJ57&lt;=1650000),                     25%,
 AND(AY57="BEV",    AZ57&lt;=160,                 AJ57&gt;1650000),                      55%,
 AND(AY57="BEV",    AZ57&gt; 160,                 AJ57&lt;=1650000),                     65%,
 AND(AY57="BEV",    AZ57&gt; 160,                 AJ57&gt;1650000),                      75%)</f>
        <v>1</v>
      </c>
      <c r="AY57" s="80" t="str">
        <f>_xlfn.XLOOKUP(A57,'[1]My Input'!$B:$B,'[1]My Input'!$V:$V)</f>
        <v>ICE</v>
      </c>
      <c r="AZ57" s="80" t="str">
        <f>_xlfn.IFNA(_xlfn.XLOOKUP(A57,'[1]kW Tescil'!$A:$A,'[1]kW Tescil'!$C:$C),"-")</f>
        <v>-</v>
      </c>
      <c r="BA57" s="81">
        <f>_xlfn.XLOOKUP(A57,'[1]My Input'!$B:$B,'[1]My Input'!$H:$H)</f>
        <v>583333.33333333337</v>
      </c>
      <c r="BC57" s="82">
        <v>0</v>
      </c>
      <c r="BD57" s="82">
        <v>0</v>
      </c>
      <c r="BF57" s="83">
        <v>0</v>
      </c>
      <c r="BG57" s="83">
        <v>0</v>
      </c>
      <c r="BI57" s="84">
        <v>239322.62342159916</v>
      </c>
      <c r="BL57" s="83">
        <v>0</v>
      </c>
    </row>
    <row r="58" spans="1:64" s="74" customFormat="1" ht="15" customHeight="1" thickBot="1" x14ac:dyDescent="0.3">
      <c r="A58" s="57" t="s">
        <v>103</v>
      </c>
      <c r="B58" s="57" t="str">
        <f t="shared" ref="B58:B65" si="319">D58&amp;E58&amp;F58</f>
        <v>BMW520i SedanM Sport</v>
      </c>
      <c r="C58" s="58" t="s">
        <v>37</v>
      </c>
      <c r="D58" s="209" t="s">
        <v>44</v>
      </c>
      <c r="E58" s="210" t="s">
        <v>104</v>
      </c>
      <c r="F58" s="96" t="s">
        <v>53</v>
      </c>
      <c r="G58" s="101"/>
      <c r="H58" s="182">
        <v>8034480</v>
      </c>
      <c r="I58" s="99">
        <v>100</v>
      </c>
      <c r="J58" s="65">
        <v>0.16</v>
      </c>
      <c r="K58" s="100">
        <f t="shared" si="300"/>
        <v>8034479.9999999991</v>
      </c>
      <c r="L58" s="99">
        <v>100</v>
      </c>
      <c r="M58" s="101"/>
      <c r="N58" s="100">
        <f t="shared" si="301"/>
        <v>6748963.1999999983</v>
      </c>
      <c r="O58" s="98">
        <f t="shared" si="302"/>
        <v>6748963.2000000002</v>
      </c>
      <c r="P58" s="99">
        <v>100</v>
      </c>
      <c r="Q58" s="99">
        <v>100</v>
      </c>
      <c r="R58" s="67">
        <f>_xlfn.XLOOKUP(A58,'[1]My Input'!$B:$B,'[1]My Input'!$F:$F)</f>
        <v>0.13</v>
      </c>
      <c r="S58" s="101"/>
      <c r="T58" s="100">
        <f t="shared" si="317"/>
        <v>6393445.5999999987</v>
      </c>
      <c r="U58" s="182">
        <f t="shared" si="318"/>
        <v>6393445.5999999996</v>
      </c>
      <c r="V58" s="99">
        <v>100</v>
      </c>
      <c r="W58" s="99">
        <v>100</v>
      </c>
      <c r="X58" s="102">
        <f>_xlfn.XLOOKUP(A58,'[1]My Input'!$B:$B,'[1]My Input'!$I:$I)</f>
        <v>1400000</v>
      </c>
      <c r="Y58" s="101"/>
      <c r="Z58" s="100">
        <f t="shared" si="307"/>
        <v>7167180.379999999</v>
      </c>
      <c r="AA58" s="98">
        <f t="shared" si="308"/>
        <v>7167180.3799999999</v>
      </c>
      <c r="AB58" s="99">
        <v>100</v>
      </c>
      <c r="AC58" s="99">
        <v>100</v>
      </c>
      <c r="AD58" s="98">
        <f>_xlfn.XLOOKUP(A58,'[1]My Input'!$B:$B,'[1]My Input'!$N:$N)</f>
        <v>626265.22</v>
      </c>
      <c r="AE58" s="70"/>
      <c r="AF58" s="71">
        <f>_xlfn.XLOOKUP(A58,'[1]My Input'!$B:$B,'[1]My Input'!$E:$E)</f>
        <v>0.03</v>
      </c>
      <c r="AG58" s="72">
        <f>_xlfn.XLOOKUP(A58,'[1]My Input'!$B:$B,'[1]My Input'!$G:$G)</f>
        <v>0.16</v>
      </c>
      <c r="AH58" s="73">
        <f t="shared" si="311"/>
        <v>3347700</v>
      </c>
      <c r="AJ58" s="73">
        <f t="shared" si="312"/>
        <v>3247269</v>
      </c>
      <c r="AK58" s="75">
        <f t="shared" si="313"/>
        <v>2812068</v>
      </c>
      <c r="AL58" s="76">
        <f t="shared" si="314"/>
        <v>3347699.9999999995</v>
      </c>
      <c r="AM58" s="76">
        <f t="shared" si="315"/>
        <v>3247268.9999999995</v>
      </c>
      <c r="AN58" s="76">
        <f t="shared" si="316"/>
        <v>2812067.9999999995</v>
      </c>
      <c r="AO58" s="77">
        <f>_xlfn.XLOOKUP(A58,'[1]My Input'!$B:$B,'[1]My Input'!$T:$T)</f>
        <v>0</v>
      </c>
      <c r="AP58" s="78">
        <f>_xlfn.XLOOKUP(A58,'[1]My Input'!$B:$B,'[1]My Input'!$S:$S)</f>
        <v>1600</v>
      </c>
      <c r="AQ58" s="67">
        <f>_xlfn.XLOOKUP(A58,'[1]My Input'!$B:$B,'[1]My Input'!$U:$U)</f>
        <v>1</v>
      </c>
      <c r="AS58" s="103">
        <f>_xlfn.XLOOKUP(A58,'[1]My Input'!$B:$B,'[1]My Input'!$Q:$Q)</f>
        <v>0</v>
      </c>
      <c r="AU58" s="74" t="s">
        <v>41</v>
      </c>
      <c r="AV58" s="67" cm="1">
        <f t="array" ref="AV58">_xlfn.IFS(
 AND(AY58="ICE",  AP58&lt;=1400,AND(AK58&gt;900000,  AK58&lt;=1100000)),                    80%,
 AND(AY58="ICE",  AP58&lt;=1400,AK58&gt;1100000),                                       90%,
 AND(AY58="ICE",  AND(AP58&gt;1400,AP58&lt;=1600),   AK58&lt;=850000),                      75%,
 AND(AY58="ICE",  AND(AP58&gt;1400,AP58&lt;=1600),   AND(AK58&gt;850000,AK58&lt;=1100000)),     80%,
 AND(AY58="ICE",  AND(AP58&gt;1400,AP58&lt;=1600),   AND(AK58&gt;1100000,AK58&lt;=1650000)),    90%,
 AND(AY58="ICE",  AND(AP58&gt;1400,AP58&lt;=1600),   AK58&gt;1650000),                      100%,
 AND(AY58="ICE",  AND(AP58&gt;1600,AP58&lt;=2000),   AK58&lt;=1650000),                     150%,
 AND(AY58="ICE",  AND(AP58&gt;1600,AP58&lt;=2000),   AK58&gt;1650000),                      170%,
 AND(AY58="ICE",  AP58&gt;2000),                                                    220%,
 AND(AY58="PHEV",  AP58&lt;=1600,                AK58&lt;=1350000),                     45%,
 AND(AY58="PHEV",  AP58&lt;=1600,                AK58&gt;1350000),                      75%,
 AND(AY58="PHEV",  AND(AP58&gt;1600,AP58&lt;=1800),  AK58&lt;=1350000),                     85%,
 AND(AY58="BEV",    AZ58&lt;=160,                 AK58&lt;=1650000),                     25%,
 AND(AY58="BEV",    AZ58&lt;=160,                 AK58&gt;1650000),                      55%,
 AND(AY58="BEV",    AZ58&gt; 160,                 AK58&lt;=1650000),                     65%,
 AND(AY58="BEV",    AZ58&gt; 160,                 AK58&gt;1650000),                      75%)</f>
        <v>1</v>
      </c>
      <c r="AW58" s="67" cm="1">
        <f t="array" ref="AW58">_xlfn.IFS(
 X58=0,AV58,
 AND(AY58="ICE",  AP58&lt;=1400,AND((AJ58-BA58)&gt;900000,  (AJ58-BA58)&lt;=1100000)),                    80%,
 AND(AY58="ICE",  AP58&lt;=1400,(AJ58-BA58)&gt;1100000),                                       90%,
 AND(AY58="ICE",  AND(AP58&gt;1400,AP58&lt;=1600),   (AJ58-BA58)&lt;=850000),                      75%,
 AND(AY58="ICE",  AND(AP58&gt;1400,AP58&lt;=1600),   AND((AJ58-BA58)&gt;850000,(AJ58-BA58)&lt;=1100000)),     80%,
 AND(AY58="ICE",  AND(AP58&gt;1400,AP58&lt;=1600),   AND((AJ58-BA58)&gt;1100000,(AJ58-BA58)&lt;=1650000)),    90%,
 AND(AY58="ICE",  AND(AP58&gt;1400,AP58&lt;=1600),   (AJ58-BA58)&gt;1650000),                      100%,
 AND(AY58="ICE",  AND(AP58&gt;1600,AP58&lt;=2000),   (AJ58-BA58)&lt;=1650000),                     150%,
 AND(AY58="ICE",  AND(AP58&gt;1600,AP58&lt;=2000),   (AJ58-BA58)&gt;1650000),                      170%,
 AND(AY58="ICE",  AP58&gt;2000),                                                    220%,
 AND(AY58="PHEV",  AP58&lt;=1600,                (AJ58-BA58)&lt;=1350000),                     45%,
 AND(AY58="PHEV",  AP58&lt;=1600,                (AJ58-BA58)&gt;1350000),                      75%,
 AND(AY58="PHEV",  AND(AP58&gt;1600,AP58&lt;=1800),  (AJ58-BA58)&lt;=1350000),                     85%,
 AND(AY58="BEV",    AZ58&lt;=160,                 (AJ58-BA58)&lt;=1650000),                     25%,
 AND(AY58="BEV",    AZ58&lt;=160,                 (AJ58-BA58)&gt;1650000),                      55%,
 AND(AY58="BEV",    AZ58&gt; 160,                 (AJ58-BA58)&lt;=1650000),                     65%,
 AND(AY58="BEV",    AZ58&gt; 160,                 (AJ58-BA58)&gt;1650000),                      75%)</f>
        <v>1</v>
      </c>
      <c r="AX58" s="67" cm="1">
        <f t="array" ref="AX58">_xlfn.IFS(
 AD58=0,AV58,
 AND(AY58="ICE",  AP58&lt;=1400,AND(AJ58&gt;900000,  AJ58&lt;=1100000)),                    80%,
 AND(AY58="ICE",  AP58&lt;=1400,AJ58&gt;1100000),                                       90%,
 AND(AY58="ICE",  AND(AP58&gt;1400,AP58&lt;=1600),   AJ58&lt;=850000),                      75%,
 AND(AY58="ICE",  AND(AP58&gt;1400,AP58&lt;=1600),   AND(AJ58&gt;850000,AJ58&lt;=1100000)),     80%,
 AND(AY58="ICE",  AND(AP58&gt;1400,AP58&lt;=1600),   AND(AJ58&gt;1100000,AJ58&lt;=1650000)),    90%,
 AND(AY58="ICE",  AND(AP58&gt;1400,AP58&lt;=1600),   AJ58&gt;1650000),                      100%,
 AND(AY58="ICE",  AND(AP58&gt;1600,AP58&lt;=2000),   AJ58&lt;=1650000),                     150%,
 AND(AY58="ICE",  AND(AP58&gt;1600,AP58&lt;=2000),   AJ58&gt;1650000),                      170%,
 AND(AY58="ICE",  AP58&gt;2000),                                                    220%,
 AND(AY58="PHEV",  AP58&lt;=1600,                AJ58&lt;=1350000),                     45%,
 AND(AY58="PHEV",  AP58&lt;=1600,                AJ58&gt;1350000),                      75%,
 AND(AY58="PHEV",  AND(AP58&gt;1600,AP58&lt;=1800),  AJ58&lt;=1350000),                     85%,
 AND(AY58="BEV",    AZ58&lt;=160,                 AJ58&lt;=1650000),                     25%,
 AND(AY58="BEV",    AZ58&lt;=160,                 AJ58&gt;1650000),                      55%,
 AND(AY58="BEV",    AZ58&gt; 160,                 AJ58&lt;=1650000),                     65%,
 AND(AY58="BEV",    AZ58&gt; 160,                 AJ58&gt;1650000),                      75%)</f>
        <v>1</v>
      </c>
      <c r="AY58" s="80" t="str">
        <f>_xlfn.XLOOKUP(A58,'[1]My Input'!$B:$B,'[1]My Input'!$V:$V)</f>
        <v>ICE</v>
      </c>
      <c r="AZ58" s="80" t="str">
        <f>_xlfn.IFNA(_xlfn.XLOOKUP(A58,'[1]kW Tescil'!$A:$A,'[1]kW Tescil'!$C:$C),"-")</f>
        <v>-</v>
      </c>
      <c r="BA58" s="81">
        <f>_xlfn.XLOOKUP(A58,'[1]My Input'!$B:$B,'[1]My Input'!$H:$H)</f>
        <v>583333.33333333337</v>
      </c>
      <c r="BC58" s="82">
        <v>0</v>
      </c>
      <c r="BD58" s="82">
        <v>0</v>
      </c>
      <c r="BF58" s="83">
        <v>0</v>
      </c>
      <c r="BG58" s="83">
        <v>0</v>
      </c>
      <c r="BI58" s="84">
        <v>239322.62342159916</v>
      </c>
      <c r="BL58" s="83">
        <v>0</v>
      </c>
    </row>
    <row r="59" spans="1:64" s="74" customFormat="1" ht="7.15" customHeight="1" thickBot="1" x14ac:dyDescent="0.3">
      <c r="A59" s="57"/>
      <c r="B59" s="57"/>
      <c r="C59" s="216"/>
      <c r="D59" s="195"/>
      <c r="E59" s="87"/>
      <c r="F59" s="87"/>
      <c r="G59" s="217"/>
      <c r="H59" s="218"/>
      <c r="I59" s="219"/>
      <c r="J59" s="65"/>
      <c r="K59" s="218"/>
      <c r="L59" s="219"/>
      <c r="M59" s="217"/>
      <c r="N59" s="218"/>
      <c r="O59" s="218"/>
      <c r="P59" s="219"/>
      <c r="Q59" s="219"/>
      <c r="R59" s="196"/>
      <c r="S59" s="217"/>
      <c r="T59" s="218"/>
      <c r="U59" s="218"/>
      <c r="V59" s="219"/>
      <c r="W59" s="219"/>
      <c r="X59" s="191"/>
      <c r="Y59" s="217"/>
      <c r="Z59" s="218"/>
      <c r="AA59" s="218"/>
      <c r="AB59" s="219"/>
      <c r="AC59" s="219"/>
      <c r="AD59" s="190"/>
      <c r="AE59" s="220"/>
      <c r="AF59" s="115"/>
      <c r="AG59" s="19"/>
      <c r="AH59" s="199"/>
      <c r="AI59" s="218"/>
      <c r="AJ59" s="199"/>
      <c r="AK59" s="198"/>
      <c r="AL59" s="199"/>
      <c r="AM59" s="76"/>
      <c r="AN59" s="199"/>
      <c r="AO59" s="200"/>
      <c r="AP59" s="78"/>
      <c r="AQ59" s="67"/>
      <c r="AR59" s="218"/>
      <c r="AS59" s="221"/>
      <c r="AT59" s="218"/>
      <c r="AU59" s="74" t="s">
        <v>41</v>
      </c>
      <c r="AV59" s="67"/>
      <c r="AW59" s="67"/>
      <c r="AX59" s="67"/>
      <c r="AY59" s="80"/>
      <c r="AZ59" s="80"/>
      <c r="BA59" s="81"/>
      <c r="BC59" s="82">
        <v>0</v>
      </c>
      <c r="BD59" s="82">
        <v>0</v>
      </c>
      <c r="BF59" s="83">
        <v>0</v>
      </c>
      <c r="BG59" s="83">
        <v>0</v>
      </c>
      <c r="BI59" s="84">
        <v>0</v>
      </c>
      <c r="BL59" s="83">
        <v>0</v>
      </c>
    </row>
    <row r="60" spans="1:64" s="74" customFormat="1" ht="15" hidden="1" customHeight="1" thickBot="1" x14ac:dyDescent="0.3">
      <c r="A60" s="57" t="s">
        <v>105</v>
      </c>
      <c r="B60" s="57" t="str">
        <f t="shared" ref="B60:B145" si="320">D60&amp;E60&amp;F60</f>
        <v>MBE 220 d 4MATICEdition 1 AMG</v>
      </c>
      <c r="C60" s="85" t="s">
        <v>106</v>
      </c>
      <c r="D60" s="59" t="s">
        <v>47</v>
      </c>
      <c r="E60" s="222" t="s">
        <v>107</v>
      </c>
      <c r="F60" s="223" t="s">
        <v>69</v>
      </c>
      <c r="G60" s="65"/>
      <c r="H60" s="63" t="e">
        <v>#N/A</v>
      </c>
      <c r="I60" s="64" t="e">
        <f t="shared" ref="I60:I66" si="321">H60/$H$67*$I$67</f>
        <v>#N/A</v>
      </c>
      <c r="J60" s="65"/>
      <c r="K60" s="66" t="e">
        <f t="shared" ref="K60:K67" si="322">(((H60-AO60)/(1+AQ60)/1.2/$AS$1)+AS60)*(1+AQ60)*(1.2)*$AS$1+AO60</f>
        <v>#N/A</v>
      </c>
      <c r="L60" s="64" t="e">
        <f t="shared" ref="L60:L66" si="323">K60/$K$67*$L$67</f>
        <v>#N/A</v>
      </c>
      <c r="M60" s="65"/>
      <c r="N60" s="66" t="e">
        <f t="shared" ref="N60:N67" si="324">AN60*1.2*(1+AV60)+AO60</f>
        <v>#N/A</v>
      </c>
      <c r="O60" s="63" t="e">
        <f t="shared" ref="O60:O67" si="325">AK60*1.2*(1+AV60)+AO60</f>
        <v>#N/A</v>
      </c>
      <c r="P60" s="64" t="str">
        <f>IF(ISNUMBER(O60),O60/$O$67*$P$67,"")</f>
        <v/>
      </c>
      <c r="Q60" s="64" t="str">
        <f>IF(ISNUMBER(N60),N60/$N$67*$Q$67,"")</f>
        <v/>
      </c>
      <c r="R60" s="67" t="e">
        <f>_xlfn.XLOOKUP(A60,'[1]My Input'!$B:$B,'[1]My Input'!$F:$F)</f>
        <v>#N/A</v>
      </c>
      <c r="S60" s="65"/>
      <c r="T60" s="66" t="e">
        <f>IF(X60&lt;&gt;0,AM60*1.2*(1+AQ60)+AO60-X60,AN60*1.2*(1+AQ60)+AO60)</f>
        <v>#N/A</v>
      </c>
      <c r="U60" s="63" t="e">
        <f>IF(X60&lt;&gt;0,AJ60*1.2*(1+AQ60)+AO60-X60,AK60*1.2*(1+AQ60)+AO60)</f>
        <v>#N/A</v>
      </c>
      <c r="V60" s="64" t="str">
        <f>IF(ISNUMBER(U60),U60/$U$67*$V$67,"")</f>
        <v/>
      </c>
      <c r="W60" s="64" t="str">
        <f>IF(ISNUMBER(T60),T60/$T$67*$W$67,"")</f>
        <v/>
      </c>
      <c r="X60" s="68" t="e">
        <f>_xlfn.XLOOKUP(A60,'[1]My Input'!$B:$B,'[1]My Input'!$I:$I)</f>
        <v>#N/A</v>
      </c>
      <c r="Y60" s="65"/>
      <c r="Z60" s="66" t="e">
        <f t="shared" ref="Z60:Z145" si="326">IF(AD60&lt;&gt;0,AM60*1.2*(1+AQ60)+AO60-AD60,AL60*(1-AG60)*1.2*(1+AQ60)+AO60)</f>
        <v>#N/A</v>
      </c>
      <c r="AA60" s="63" t="e">
        <f t="shared" ref="AA60:AA67" si="327">IF(AD60&lt;&gt;0,AJ60*1.2*(1+AX60)+AO60-AD60,AH60*(1-AG60)*1.2*(1+AV60)+AO60)</f>
        <v>#N/A</v>
      </c>
      <c r="AB60" s="64" t="str">
        <f>IF(ISNUMBER(AA60),AA60/$AA$67*$AB$67,"")</f>
        <v/>
      </c>
      <c r="AC60" s="64" t="str">
        <f>IF(ISNUMBER(Z60),Z60/$Z$67*$AC$67,"")</f>
        <v/>
      </c>
      <c r="AD60" s="69" t="e">
        <f>_xlfn.XLOOKUP(A60,'[1]My Input'!$B:$B,'[1]My Input'!$N:$N)</f>
        <v>#N/A</v>
      </c>
      <c r="AE60" s="70"/>
      <c r="AF60" s="71" t="e">
        <f>_xlfn.XLOOKUP(A60,'[1]My Input'!$B:$B,'[1]My Input'!$E:$E)</f>
        <v>#N/A</v>
      </c>
      <c r="AG60" s="72" t="e">
        <f>_xlfn.XLOOKUP(A60,'[1]My Input'!$B:$B,'[1]My Input'!$G:$G)</f>
        <v>#N/A</v>
      </c>
      <c r="AH60" s="73" t="e">
        <f t="shared" ref="AH60:AH67" si="328">(H60-AO60)/1.2/(1+AQ60)</f>
        <v>#N/A</v>
      </c>
      <c r="AJ60" s="73" t="e">
        <f t="shared" ref="AJ60:AJ67" si="329">AH60*(1-AF60)</f>
        <v>#N/A</v>
      </c>
      <c r="AK60" s="75" t="e">
        <f t="shared" ref="AK60:AK67" si="330">AH60*(1-AF60-R60)</f>
        <v>#N/A</v>
      </c>
      <c r="AL60" s="76" t="e">
        <f t="shared" ref="AL60:AL67" si="331">(K60-AO60)/1.2/(1+AQ60)</f>
        <v>#N/A</v>
      </c>
      <c r="AM60" s="76" t="e">
        <f t="shared" ref="AM60:AM67" si="332">AL60*(1-AF60)</f>
        <v>#N/A</v>
      </c>
      <c r="AN60" s="76" t="e">
        <f t="shared" ref="AN60:AN67" si="333">AL60*(1-AF60-R60)</f>
        <v>#N/A</v>
      </c>
      <c r="AO60" s="77" t="e">
        <f>_xlfn.XLOOKUP(A60,'[1]My Input'!$B:$B,'[1]My Input'!$T:$T)</f>
        <v>#N/A</v>
      </c>
      <c r="AP60" s="78" t="e">
        <f>_xlfn.XLOOKUP(A60,'[1]My Input'!$B:$B,'[1]My Input'!$S:$S)</f>
        <v>#N/A</v>
      </c>
      <c r="AQ60" s="67" t="e">
        <f>_xlfn.XLOOKUP(A60,'[1]My Input'!$B:$B,'[1]My Input'!$U:$U)</f>
        <v>#N/A</v>
      </c>
      <c r="AS60" s="103" t="e">
        <f>_xlfn.XLOOKUP(A60,'[1]My Input'!$B:$B,'[1]My Input'!$Q:$Q)</f>
        <v>#N/A</v>
      </c>
      <c r="AV60" s="67" t="e" cm="1">
        <f t="array" ref="AV60">_xlfn.IFS(
 AND(AY60="ICE",  AP60&lt;=1400,AND(AK60&gt;900000,  AK60&lt;=1100000)),                    80%,
 AND(AY60="ICE",  AP60&lt;=1400,AK60&gt;1100000),                                       90%,
 AND(AY60="ICE",  AND(AP60&gt;1400,AP60&lt;=1600),   AK60&lt;=850000),                      75%,
 AND(AY60="ICE",  AND(AP60&gt;1400,AP60&lt;=1600),   AND(AK60&gt;850000,AK60&lt;=1100000)),     80%,
 AND(AY60="ICE",  AND(AP60&gt;1400,AP60&lt;=1600),   AND(AK60&gt;1100000,AK60&lt;=1650000)),    90%,
 AND(AY60="ICE",  AND(AP60&gt;1400,AP60&lt;=1600),   AK60&gt;1650000),                      100%,
 AND(AY60="ICE",  AND(AP60&gt;1600,AP60&lt;=2000),   AK60&lt;=1650000),                     150%,
 AND(AY60="ICE",  AND(AP60&gt;1600,AP60&lt;=2000),   AK60&gt;1650000),                      170%,
 AND(AY60="ICE",  AP60&gt;2000),                                                    220%,
 AND(AY60="PHEV",  AP60&lt;=1600,                AK60&lt;=1350000),                     45%,
 AND(AY60="PHEV",  AP60&lt;=1600,                AK60&gt;1350000),                      75%,
 AND(AY60="PHEV",  AND(AP60&gt;1600,AP60&lt;=1800),  AK60&lt;=1350000),                     85%,
 AND(AY60="BEV",    AZ60&lt;=160,                 AK60&lt;=1650000),                     25%,
 AND(AY60="BEV",    AZ60&lt;=160,                 AK60&gt;1650000),                      55%,
 AND(AY60="BEV",    AZ60&gt; 160,                 AK60&lt;=1650000),                     65%,
 AND(AY60="BEV",    AZ60&gt; 160,                 AK60&gt;1650000),                      75%)</f>
        <v>#N/A</v>
      </c>
      <c r="AW60" s="67" t="e" cm="1">
        <f t="array" ref="AW60">_xlfn.IFS(
 X60=0,AV60,
 AND(AY60="ICE",  AP60&lt;=1400,AND((AJ60-BA60)&gt;900000,  (AJ60-BA60)&lt;=1100000)),                    80%,
 AND(AY60="ICE",  AP60&lt;=1400,(AJ60-BA60)&gt;1100000),                                       90%,
 AND(AY60="ICE",  AND(AP60&gt;1400,AP60&lt;=1600),   (AJ60-BA60)&lt;=850000),                      75%,
 AND(AY60="ICE",  AND(AP60&gt;1400,AP60&lt;=1600),   AND((AJ60-BA60)&gt;850000,(AJ60-BA60)&lt;=1100000)),     80%,
 AND(AY60="ICE",  AND(AP60&gt;1400,AP60&lt;=1600),   AND((AJ60-BA60)&gt;1100000,(AJ60-BA60)&lt;=1650000)),    90%,
 AND(AY60="ICE",  AND(AP60&gt;1400,AP60&lt;=1600),   (AJ60-BA60)&gt;1650000),                      100%,
 AND(AY60="ICE",  AND(AP60&gt;1600,AP60&lt;=2000),   (AJ60-BA60)&lt;=1650000),                     150%,
 AND(AY60="ICE",  AND(AP60&gt;1600,AP60&lt;=2000),   (AJ60-BA60)&gt;1650000),                      170%,
 AND(AY60="ICE",  AP60&gt;2000),                                                    220%,
 AND(AY60="PHEV",  AP60&lt;=1600,                (AJ60-BA60)&lt;=1350000),                     45%,
 AND(AY60="PHEV",  AP60&lt;=1600,                (AJ60-BA60)&gt;1350000),                      75%,
 AND(AY60="PHEV",  AND(AP60&gt;1600,AP60&lt;=1800),  (AJ60-BA60)&lt;=1350000),                     85%,
 AND(AY60="BEV",    AZ60&lt;=160,                 (AJ60-BA60)&lt;=1650000),                     25%,
 AND(AY60="BEV",    AZ60&lt;=160,                 (AJ60-BA60)&gt;1650000),                      55%,
 AND(AY60="BEV",    AZ60&gt; 160,                 (AJ60-BA60)&lt;=1650000),                     65%,
 AND(AY60="BEV",    AZ60&gt; 160,                 (AJ60-BA60)&gt;1650000),                      75%)</f>
        <v>#N/A</v>
      </c>
      <c r="AX60" s="67" t="e" cm="1">
        <f t="array" ref="AX60">_xlfn.IFS(
 AD60=0,AV60,
 AND(AY60="ICE",  AP60&lt;=1400,AND(AJ60&gt;900000,  AJ60&lt;=1100000)),                    80%,
 AND(AY60="ICE",  AP60&lt;=1400,AJ60&gt;1100000),                                       90%,
 AND(AY60="ICE",  AND(AP60&gt;1400,AP60&lt;=1600),   AJ60&lt;=850000),                      75%,
 AND(AY60="ICE",  AND(AP60&gt;1400,AP60&lt;=1600),   AND(AJ60&gt;850000,AJ60&lt;=1100000)),     80%,
 AND(AY60="ICE",  AND(AP60&gt;1400,AP60&lt;=1600),   AND(AJ60&gt;1100000,AJ60&lt;=1650000)),    90%,
 AND(AY60="ICE",  AND(AP60&gt;1400,AP60&lt;=1600),   AJ60&gt;1650000),                      100%,
 AND(AY60="ICE",  AND(AP60&gt;1600,AP60&lt;=2000),   AJ60&lt;=1650000),                     150%,
 AND(AY60="ICE",  AND(AP60&gt;1600,AP60&lt;=2000),   AJ60&gt;1650000),                      170%,
 AND(AY60="ICE",  AP60&gt;2000),                                                    220%,
 AND(AY60="PHEV",  AP60&lt;=1600,                AJ60&lt;=1350000),                     45%,
 AND(AY60="PHEV",  AP60&lt;=1600,                AJ60&gt;1350000),                      75%,
 AND(AY60="PHEV",  AND(AP60&gt;1600,AP60&lt;=1800),  AJ60&lt;=1350000),                     85%,
 AND(AY60="BEV",    AZ60&lt;=160,                 AJ60&lt;=1650000),                     25%,
 AND(AY60="BEV",    AZ60&lt;=160,                 AJ60&gt;1650000),                      55%,
 AND(AY60="BEV",    AZ60&gt; 160,                 AJ60&lt;=1650000),                     65%,
 AND(AY60="BEV",    AZ60&gt; 160,                 AJ60&gt;1650000),                      75%)</f>
        <v>#N/A</v>
      </c>
      <c r="AY60" s="80" t="e">
        <f>_xlfn.XLOOKUP(A60,'[1]My Input'!$B:$B,'[1]My Input'!$V:$V)</f>
        <v>#N/A</v>
      </c>
      <c r="AZ60" s="80" t="str">
        <f>_xlfn.IFNA(_xlfn.XLOOKUP(A60,'[1]kW Tescil'!$A:$A,'[1]kW Tescil'!$C:$C),"-")</f>
        <v>-</v>
      </c>
      <c r="BA60" s="81" t="e">
        <f>_xlfn.XLOOKUP(A60,'[1]My Input'!$B:$B,'[1]My Input'!$H:$H)</f>
        <v>#N/A</v>
      </c>
      <c r="BC60" s="82" t="e">
        <v>#VALUE!</v>
      </c>
      <c r="BD60" s="82" t="e">
        <v>#VALUE!</v>
      </c>
      <c r="BF60" s="83" t="e">
        <v>#VALUE!</v>
      </c>
      <c r="BG60" s="83" t="e">
        <v>#VALUE!</v>
      </c>
      <c r="BI60" s="84" t="e">
        <v>#N/A</v>
      </c>
      <c r="BL60" s="83" t="e">
        <v>#VALUE!</v>
      </c>
    </row>
    <row r="61" spans="1:64" s="74" customFormat="1" ht="15" customHeight="1" thickBot="1" x14ac:dyDescent="0.3">
      <c r="A61" s="57" t="s">
        <v>96</v>
      </c>
      <c r="B61" s="57" t="str">
        <f>D61&amp;E61&amp;F61</f>
        <v>AudiA6 Sedan TDI 150 kW QuattroAdvanced</v>
      </c>
      <c r="C61" s="58" t="s">
        <v>37</v>
      </c>
      <c r="D61" s="59" t="s">
        <v>38</v>
      </c>
      <c r="E61" s="222" t="s">
        <v>97</v>
      </c>
      <c r="F61" s="223" t="s">
        <v>40</v>
      </c>
      <c r="G61" s="157"/>
      <c r="H61" s="63">
        <f>H51</f>
        <v>10291698</v>
      </c>
      <c r="I61" s="64">
        <f t="shared" si="321"/>
        <v>94.067143170517696</v>
      </c>
      <c r="J61" s="65">
        <v>0.22</v>
      </c>
      <c r="K61" s="66">
        <f>(((H61-AO61)/(1+AQ61)/1.2/$AS$1)+AS61)*(1+AQ61)*(1.2)*$AS$1+AO61</f>
        <v>10803869.1</v>
      </c>
      <c r="L61" s="64">
        <f t="shared" si="323"/>
        <v>98.748437957004967</v>
      </c>
      <c r="M61" s="157"/>
      <c r="N61" s="66">
        <f>AN61*1.2*(1+AV61)+AO61</f>
        <v>8427017.8980000019</v>
      </c>
      <c r="O61" s="63">
        <f>AK61*1.2*(1+AV61)+AO61</f>
        <v>8027524.4399999995</v>
      </c>
      <c r="P61" s="64">
        <f t="shared" ref="P61:P62" si="334">IF(ISNUMBER(O61),O61/$O$67*$P$67,"")</f>
        <v>78.055714545748728</v>
      </c>
      <c r="Q61" s="64">
        <f t="shared" ref="Q61:Q62" si="335">IF(ISNUMBER(N61),N61/$N$67*$Q$67,"")</f>
        <v>81.940193198365847</v>
      </c>
      <c r="R61" s="67">
        <f>_xlfn.XLOOKUP(A61,'[1]My Input'!$B:$B,'[1]My Input'!$F:$F)</f>
        <v>0.03</v>
      </c>
      <c r="S61" s="157"/>
      <c r="T61" s="205">
        <f>IF(X61&lt;&gt;0,AM61*1.2*(1+AQ61)+AO61-X61,AN61*1.2*(1+AQ61)+AO61)</f>
        <v>8427017.8980000019</v>
      </c>
      <c r="U61" s="63">
        <f>IF(X61&lt;&gt;0,AJ61*1.2*(1+AQ61)+AO61-X61,AK61*1.2*(1+AQ61)+AO61)</f>
        <v>8027524.4399999995</v>
      </c>
      <c r="V61" s="64">
        <f t="shared" ref="V61:V62" si="336">IF(ISNUMBER(U61),U61/$U$67*$V$67,"")</f>
        <v>78.055714545748728</v>
      </c>
      <c r="W61" s="64">
        <f t="shared" ref="W61:W62" si="337">IF(ISNUMBER(T61),T61/$T$67*$W$67,"")</f>
        <v>81.940193198365847</v>
      </c>
      <c r="X61" s="68">
        <f>_xlfn.XLOOKUP(A61,'[1]My Input'!$B:$B,'[1]My Input'!$I:$I)</f>
        <v>0</v>
      </c>
      <c r="Y61" s="157"/>
      <c r="Z61" s="205">
        <f>IF(AD61&lt;&gt;0,AM61*1.2*(1+AQ61)+AO61-AD61,AL61*(1-AG61)*1.2*(1+AQ61)+AO61)</f>
        <v>8510626.6410000026</v>
      </c>
      <c r="AA61" s="63">
        <f>IF(AD61&lt;&gt;0,AJ61*1.2*(1+AX61)+AO61-AD61,AH61*(1-AG61)*1.2*(1+AV61)+AO61)</f>
        <v>8095768.0499999998</v>
      </c>
      <c r="AB61" s="64">
        <f t="shared" ref="AB61:AB62" si="338">IF(ISNUMBER(AA61),AA61/$AA$67*$AB$67,"")</f>
        <v>77.426937065676213</v>
      </c>
      <c r="AC61" s="64">
        <f t="shared" ref="AC61:AC62" si="339">IF(ISNUMBER(Z61),Z61/$Z$67*$AC$67,"")</f>
        <v>81.394593972115416</v>
      </c>
      <c r="AD61" s="69">
        <f>_xlfn.XLOOKUP(A61,'[1]My Input'!$B:$B,'[1]My Input'!$N:$N)</f>
        <v>240507.33</v>
      </c>
      <c r="AE61" s="70"/>
      <c r="AF61" s="71">
        <f>_xlfn.XLOOKUP(A61,'[1]My Input'!$B:$B,'[1]My Input'!$E:$E)</f>
        <v>0.19</v>
      </c>
      <c r="AG61" s="72">
        <f>_xlfn.XLOOKUP(A61,'[1]My Input'!$B:$B,'[1]My Input'!$G:$G)</f>
        <v>0.22</v>
      </c>
      <c r="AH61" s="73">
        <f>(H61-AO61)/1.2/(1+AQ61)</f>
        <v>3176450</v>
      </c>
      <c r="AJ61" s="73">
        <f>AH61*(1-AF61)</f>
        <v>2572924.5</v>
      </c>
      <c r="AK61" s="75">
        <f>AH61*(1-AF61-R61)</f>
        <v>2477631</v>
      </c>
      <c r="AL61" s="76">
        <f>(K61-AO61)/1.2/(1+AQ61)</f>
        <v>3334527.5</v>
      </c>
      <c r="AM61" s="76">
        <f>AL61*(1-AF61)</f>
        <v>2700967.2750000004</v>
      </c>
      <c r="AN61" s="76">
        <f>AL61*(1-AF61-R61)</f>
        <v>2600931.4500000002</v>
      </c>
      <c r="AO61" s="77">
        <f>_xlfn.XLOOKUP(A61,'[1]My Input'!$B:$B,'[1]My Input'!$T:$T)</f>
        <v>0</v>
      </c>
      <c r="AP61" s="78">
        <f>_xlfn.XLOOKUP(A61,'[1]My Input'!$B:$B,'[1]My Input'!$S:$S)</f>
        <v>2000</v>
      </c>
      <c r="AQ61" s="67">
        <f>_xlfn.XLOOKUP(A61,'[1]My Input'!$B:$B,'[1]My Input'!$U:$U)</f>
        <v>1.7</v>
      </c>
      <c r="AS61" s="155">
        <v>3011</v>
      </c>
      <c r="AV61" s="67" cm="1">
        <f t="array" ref="AV61">_xlfn.IFS(
 AND(AY61="ICE",  AP61&lt;=1400,AND(AK61&gt;900000,  AK61&lt;=1100000)),                    80%,
 AND(AY61="ICE",  AP61&lt;=1400,AK61&gt;1100000),                                       90%,
 AND(AY61="ICE",  AND(AP61&gt;1400,AP61&lt;=1600),   AK61&lt;=850000),                      75%,
 AND(AY61="ICE",  AND(AP61&gt;1400,AP61&lt;=1600),   AND(AK61&gt;850000,AK61&lt;=1100000)),     80%,
 AND(AY61="ICE",  AND(AP61&gt;1400,AP61&lt;=1600),   AND(AK61&gt;1100000,AK61&lt;=1650000)),    90%,
 AND(AY61="ICE",  AND(AP61&gt;1400,AP61&lt;=1600),   AK61&gt;1650000),                      100%,
 AND(AY61="ICE",  AND(AP61&gt;1600,AP61&lt;=2000),   AK61&lt;=1650000),                     150%,
 AND(AY61="ICE",  AND(AP61&gt;1600,AP61&lt;=2000),   AK61&gt;1650000),                      170%,
 AND(AY61="ICE",  AP61&gt;2000),                                                    220%,
 AND(AY61="PHEV",  AP61&lt;=1600,                AK61&lt;=1350000),                     45%,
 AND(AY61="PHEV",  AP61&lt;=1600,                AK61&gt;1350000),                      75%,
 AND(AY61="PHEV",  AND(AP61&gt;1600,AP61&lt;=1800),  AK61&lt;=1350000),                     85%,
 AND(AY61="BEV",    AZ61&lt;=160,                 AK61&lt;=1650000),                     25%,
 AND(AY61="BEV",    AZ61&lt;=160,                 AK61&gt;1650000),                      55%,
 AND(AY61="BEV",    AZ61&gt; 160,                 AK61&lt;=1650000),                     65%,
 AND(AY61="BEV",    AZ61&gt; 160,                 AK61&gt;1650000),                      75%)</f>
        <v>1.7</v>
      </c>
      <c r="AW61" s="67" cm="1">
        <f t="array" ref="AW61">_xlfn.IFS(
 X61=0,AV61,
 AND(AY61="ICE",  AP61&lt;=1400,AND((AJ61-BA61)&gt;900000,  (AJ61-BA61)&lt;=1100000)),                    80%,
 AND(AY61="ICE",  AP61&lt;=1400,(AJ61-BA61)&gt;1100000),                                       90%,
 AND(AY61="ICE",  AND(AP61&gt;1400,AP61&lt;=1600),   (AJ61-BA61)&lt;=850000),                      75%,
 AND(AY61="ICE",  AND(AP61&gt;1400,AP61&lt;=1600),   AND((AJ61-BA61)&gt;850000,(AJ61-BA61)&lt;=1100000)),     80%,
 AND(AY61="ICE",  AND(AP61&gt;1400,AP61&lt;=1600),   AND((AJ61-BA61)&gt;1100000,(AJ61-BA61)&lt;=1650000)),    90%,
 AND(AY61="ICE",  AND(AP61&gt;1400,AP61&lt;=1600),   (AJ61-BA61)&gt;1650000),                      100%,
 AND(AY61="ICE",  AND(AP61&gt;1600,AP61&lt;=2000),   (AJ61-BA61)&lt;=1650000),                     150%,
 AND(AY61="ICE",  AND(AP61&gt;1600,AP61&lt;=2000),   (AJ61-BA61)&gt;1650000),                      170%,
 AND(AY61="ICE",  AP61&gt;2000),                                                    220%,
 AND(AY61="PHEV",  AP61&lt;=1600,                (AJ61-BA61)&lt;=1350000),                     45%,
 AND(AY61="PHEV",  AP61&lt;=1600,                (AJ61-BA61)&gt;1350000),                      75%,
 AND(AY61="PHEV",  AND(AP61&gt;1600,AP61&lt;=1800),  (AJ61-BA61)&lt;=1350000),                     85%,
 AND(AY61="BEV",    AZ61&lt;=160,                 (AJ61-BA61)&lt;=1650000),                     25%,
 AND(AY61="BEV",    AZ61&lt;=160,                 (AJ61-BA61)&gt;1650000),                      55%,
 AND(AY61="BEV",    AZ61&gt; 160,                 (AJ61-BA61)&lt;=1650000),                     65%,
 AND(AY61="BEV",    AZ61&gt; 160,                 (AJ61-BA61)&gt;1650000),                      75%)</f>
        <v>1.7</v>
      </c>
      <c r="AX61" s="67" cm="1">
        <f t="array" ref="AX61">_xlfn.IFS(
 AD61=0,AV61,
 AND(AY61="ICE",  AP61&lt;=1400,AND(AJ61&gt;900000,  AJ61&lt;=1100000)),                    80%,
 AND(AY61="ICE",  AP61&lt;=1400,AJ61&gt;1100000),                                       90%,
 AND(AY61="ICE",  AND(AP61&gt;1400,AP61&lt;=1600),   AJ61&lt;=850000),                      75%,
 AND(AY61="ICE",  AND(AP61&gt;1400,AP61&lt;=1600),   AND(AJ61&gt;850000,AJ61&lt;=1100000)),     80%,
 AND(AY61="ICE",  AND(AP61&gt;1400,AP61&lt;=1600),   AND(AJ61&gt;1100000,AJ61&lt;=1650000)),    90%,
 AND(AY61="ICE",  AND(AP61&gt;1400,AP61&lt;=1600),   AJ61&gt;1650000),                      100%,
 AND(AY61="ICE",  AND(AP61&gt;1600,AP61&lt;=2000),   AJ61&lt;=1650000),                     150%,
 AND(AY61="ICE",  AND(AP61&gt;1600,AP61&lt;=2000),   AJ61&gt;1650000),                      170%,
 AND(AY61="ICE",  AP61&gt;2000),                                                    220%,
 AND(AY61="PHEV",  AP61&lt;=1600,                AJ61&lt;=1350000),                     45%,
 AND(AY61="PHEV",  AP61&lt;=1600,                AJ61&gt;1350000),                      75%,
 AND(AY61="PHEV",  AND(AP61&gt;1600,AP61&lt;=1800),  AJ61&lt;=1350000),                     85%,
 AND(AY61="BEV",    AZ61&lt;=160,                 AJ61&lt;=1650000),                     25%,
 AND(AY61="BEV",    AZ61&lt;=160,                 AJ61&gt;1650000),                      55%,
 AND(AY61="BEV",    AZ61&gt; 160,                 AJ61&lt;=1650000),                     65%,
 AND(AY61="BEV",    AZ61&gt; 160,                 AJ61&gt;1650000),                      75%)</f>
        <v>1.7</v>
      </c>
      <c r="AY61" s="80" t="str">
        <f>_xlfn.XLOOKUP(A61,'[1]My Input'!$B:$B,'[1]My Input'!$V:$V)</f>
        <v>ICE</v>
      </c>
      <c r="AZ61" s="80" t="str">
        <f>_xlfn.IFNA(_xlfn.XLOOKUP(A61,'[1]kW Tescil'!$A:$A,'[1]kW Tescil'!$C:$C),"-")</f>
        <v>-</v>
      </c>
      <c r="BA61" s="81">
        <f>_xlfn.XLOOKUP(A61,'[1]My Input'!$B:$B,'[1]My Input'!$H:$H)</f>
        <v>0</v>
      </c>
      <c r="BC61" s="82">
        <v>-11.209352584475852</v>
      </c>
      <c r="BD61" s="82">
        <v>-8.9320346768917034</v>
      </c>
      <c r="BF61" s="83">
        <v>-7.6305248290525753</v>
      </c>
      <c r="BG61" s="83">
        <v>-5.2707264645980985</v>
      </c>
      <c r="BI61" s="84">
        <v>-535064.14009999949</v>
      </c>
      <c r="BL61" s="83">
        <v>-22.743228859728504</v>
      </c>
    </row>
    <row r="62" spans="1:64" s="74" customFormat="1" ht="15" hidden="1" customHeight="1" thickBot="1" x14ac:dyDescent="0.3">
      <c r="A62" s="57" t="s">
        <v>98</v>
      </c>
      <c r="B62" s="57" t="str">
        <f>D62&amp;E62&amp;F62</f>
        <v>AudiA6 Sedan TDI 150 kW QuattroS Line</v>
      </c>
      <c r="C62" s="58" t="s">
        <v>37</v>
      </c>
      <c r="D62" s="86" t="s">
        <v>38</v>
      </c>
      <c r="E62" s="224" t="s">
        <v>97</v>
      </c>
      <c r="F62" s="225" t="s">
        <v>51</v>
      </c>
      <c r="G62" s="157"/>
      <c r="H62" s="89">
        <f>H52</f>
        <v>10125530</v>
      </c>
      <c r="I62" s="90">
        <f t="shared" si="321"/>
        <v>92.54835112606024</v>
      </c>
      <c r="J62" s="157"/>
      <c r="K62" s="66">
        <f>(((H62-AO62)/(1+AQ62)/1.2/$AS$1)+AS62)*(1+AQ62)*(1.2)*$AS$1+AO62</f>
        <v>10637701.100000001</v>
      </c>
      <c r="L62" s="64">
        <f t="shared" si="323"/>
        <v>97.229645912547539</v>
      </c>
      <c r="M62" s="157"/>
      <c r="N62" s="66">
        <f>AN62*1.2*(1+AV62)+AO62</f>
        <v>7722970.9986000005</v>
      </c>
      <c r="O62" s="89">
        <f>AK62*1.2*(1+AV62)+AO62</f>
        <v>7351134.7800000003</v>
      </c>
      <c r="P62" s="90">
        <f t="shared" si="334"/>
        <v>71.478832890978452</v>
      </c>
      <c r="Q62" s="207">
        <f t="shared" si="335"/>
        <v>75.094386098414361</v>
      </c>
      <c r="R62" s="67">
        <f>_xlfn.XLOOKUP(A62,'[1]My Input'!$B:$B,'[1]My Input'!$F:$F)</f>
        <v>2.4E-2</v>
      </c>
      <c r="S62" s="157"/>
      <c r="T62" s="158">
        <f t="shared" ref="T62:T67" si="340">IF(X62&lt;&gt;0,AM62*1.2*(1+AW62)+AO62-X62,AN62*1.2*(1+AV62)+AO62)</f>
        <v>7722970.9986000005</v>
      </c>
      <c r="U62" s="89">
        <f t="shared" ref="U62:U67" si="341">IF(X62&lt;&gt;0,AJ62*1.2*(1+AW62)+AO62-X62,AK62*1.2*(1+AV62)+AO62)</f>
        <v>7351134.7800000003</v>
      </c>
      <c r="V62" s="90">
        <f t="shared" si="336"/>
        <v>71.478832890978452</v>
      </c>
      <c r="W62" s="207">
        <f t="shared" si="337"/>
        <v>75.094386098414361</v>
      </c>
      <c r="X62" s="92">
        <f>_xlfn.XLOOKUP(A62,'[1]My Input'!$B:$B,'[1]My Input'!$I:$I)</f>
        <v>0</v>
      </c>
      <c r="Y62" s="157"/>
      <c r="Z62" s="91">
        <f>IF(AD62&lt;&gt;0,AM62*1.2*(1+AQ62)+AO62-AD62,AL62*(1-AG62)*1.2*(1+AQ62)+AO62)</f>
        <v>7722970.9986000005</v>
      </c>
      <c r="AA62" s="89">
        <f>IF(AD62&lt;&gt;0,AJ62*1.2*(1+AX62)+AO62-AD62,AH62*(1-AG62)*1.2*(1+AV62)+AO62)</f>
        <v>7351134.7800000003</v>
      </c>
      <c r="AB62" s="90">
        <f t="shared" si="338"/>
        <v>70.305355397671448</v>
      </c>
      <c r="AC62" s="207">
        <f t="shared" si="339"/>
        <v>73.861551587887305</v>
      </c>
      <c r="AD62" s="93">
        <f>_xlfn.XLOOKUP(A62,'[1]My Input'!$B:$B,'[1]My Input'!$N:$N)</f>
        <v>0</v>
      </c>
      <c r="AE62" s="70"/>
      <c r="AF62" s="71">
        <f>_xlfn.XLOOKUP(A62,'[1]My Input'!$B:$B,'[1]My Input'!$E:$E)</f>
        <v>0.25</v>
      </c>
      <c r="AG62" s="72">
        <f>_xlfn.XLOOKUP(A62,'[1]My Input'!$B:$B,'[1]My Input'!$G:$G)</f>
        <v>0.27400000000000002</v>
      </c>
      <c r="AH62" s="73">
        <f>(H62-AO62)/1.2/(1+AQ62)</f>
        <v>3125163.5802469137</v>
      </c>
      <c r="AJ62" s="73">
        <f>AH62*(1-AF62)</f>
        <v>2343872.6851851852</v>
      </c>
      <c r="AK62" s="75">
        <f>AH62*(1-AF62-R62)</f>
        <v>2268868.7592592593</v>
      </c>
      <c r="AL62" s="76">
        <f>(K62-AO62)/1.2/(1+AQ62)</f>
        <v>3283241.0802469137</v>
      </c>
      <c r="AM62" s="76">
        <f>AL62*(1-AF62)</f>
        <v>2462430.8101851852</v>
      </c>
      <c r="AN62" s="76">
        <f>AL62*(1-AF62-R62)</f>
        <v>2383633.0242592595</v>
      </c>
      <c r="AO62" s="77">
        <f>_xlfn.XLOOKUP(A62,'[1]My Input'!$B:$B,'[1]My Input'!$T:$T)</f>
        <v>0</v>
      </c>
      <c r="AP62" s="78">
        <f>_xlfn.XLOOKUP(A62,'[1]My Input'!$B:$B,'[1]My Input'!$S:$S)</f>
        <v>2000</v>
      </c>
      <c r="AQ62" s="67">
        <f>_xlfn.XLOOKUP(A62,'[1]My Input'!$B:$B,'[1]My Input'!$U:$U)</f>
        <v>1.7</v>
      </c>
      <c r="AS62" s="155">
        <v>3011</v>
      </c>
      <c r="AU62" s="74" t="s">
        <v>41</v>
      </c>
      <c r="AV62" s="67" cm="1">
        <f t="array" ref="AV62">_xlfn.IFS(
 AND(AY62="ICE",  AP62&lt;=1400,AND(AK62&gt;900000,  AK62&lt;=1100000)),                    80%,
 AND(AY62="ICE",  AP62&lt;=1400,AK62&gt;1100000),                                       90%,
 AND(AY62="ICE",  AND(AP62&gt;1400,AP62&lt;=1600),   AK62&lt;=850000),                      75%,
 AND(AY62="ICE",  AND(AP62&gt;1400,AP62&lt;=1600),   AND(AK62&gt;850000,AK62&lt;=1100000)),     80%,
 AND(AY62="ICE",  AND(AP62&gt;1400,AP62&lt;=1600),   AND(AK62&gt;1100000,AK62&lt;=1650000)),    90%,
 AND(AY62="ICE",  AND(AP62&gt;1400,AP62&lt;=1600),   AK62&gt;1650000),                      100%,
 AND(AY62="ICE",  AND(AP62&gt;1600,AP62&lt;=2000),   AK62&lt;=1650000),                     150%,
 AND(AY62="ICE",  AND(AP62&gt;1600,AP62&lt;=2000),   AK62&gt;1650000),                      170%,
 AND(AY62="ICE",  AP62&gt;2000),                                                    220%,
 AND(AY62="PHEV",  AP62&lt;=1600,                AK62&lt;=1350000),                     45%,
 AND(AY62="PHEV",  AP62&lt;=1600,                AK62&gt;1350000),                      75%,
 AND(AY62="PHEV",  AND(AP62&gt;1600,AP62&lt;=1800),  AK62&lt;=1350000),                     85%,
 AND(AY62="BEV",    AZ62&lt;=160,                 AK62&lt;=1650000),                     25%,
 AND(AY62="BEV",    AZ62&lt;=160,                 AK62&gt;1650000),                      55%,
 AND(AY62="BEV",    AZ62&gt; 160,                 AK62&lt;=1650000),                     65%,
 AND(AY62="BEV",    AZ62&gt; 160,                 AK62&gt;1650000),                      75%)</f>
        <v>1.7</v>
      </c>
      <c r="AW62" s="67" cm="1">
        <f t="array" ref="AW62">_xlfn.IFS(
 X62=0,AV62,
 AND(AY62="ICE",  AP62&lt;=1400,AND((AJ62-BA62)&gt;900000,  (AJ62-BA62)&lt;=1100000)),                    80%,
 AND(AY62="ICE",  AP62&lt;=1400,(AJ62-BA62)&gt;1100000),                                       90%,
 AND(AY62="ICE",  AND(AP62&gt;1400,AP62&lt;=1600),   (AJ62-BA62)&lt;=850000),                      75%,
 AND(AY62="ICE",  AND(AP62&gt;1400,AP62&lt;=1600),   AND((AJ62-BA62)&gt;850000,(AJ62-BA62)&lt;=1100000)),     80%,
 AND(AY62="ICE",  AND(AP62&gt;1400,AP62&lt;=1600),   AND((AJ62-BA62)&gt;1100000,(AJ62-BA62)&lt;=1650000)),    90%,
 AND(AY62="ICE",  AND(AP62&gt;1400,AP62&lt;=1600),   (AJ62-BA62)&gt;1650000),                      100%,
 AND(AY62="ICE",  AND(AP62&gt;1600,AP62&lt;=2000),   (AJ62-BA62)&lt;=1650000),                     150%,
 AND(AY62="ICE",  AND(AP62&gt;1600,AP62&lt;=2000),   (AJ62-BA62)&gt;1650000),                      170%,
 AND(AY62="ICE",  AP62&gt;2000),                                                    220%,
 AND(AY62="PHEV",  AP62&lt;=1600,                (AJ62-BA62)&lt;=1350000),                     45%,
 AND(AY62="PHEV",  AP62&lt;=1600,                (AJ62-BA62)&gt;1350000),                      75%,
 AND(AY62="PHEV",  AND(AP62&gt;1600,AP62&lt;=1800),  (AJ62-BA62)&lt;=1350000),                     85%,
 AND(AY62="BEV",    AZ62&lt;=160,                 (AJ62-BA62)&lt;=1650000),                     25%,
 AND(AY62="BEV",    AZ62&lt;=160,                 (AJ62-BA62)&gt;1650000),                      55%,
 AND(AY62="BEV",    AZ62&gt; 160,                 (AJ62-BA62)&lt;=1650000),                     65%,
 AND(AY62="BEV",    AZ62&gt; 160,                 (AJ62-BA62)&gt;1650000),                      75%)</f>
        <v>1.7</v>
      </c>
      <c r="AX62" s="67" cm="1">
        <f t="array" ref="AX62">_xlfn.IFS(
 AD62=0,AV62,
 AND(AY62="ICE",  AP62&lt;=1400,AND(AJ62&gt;900000,  AJ62&lt;=1100000)),                    80%,
 AND(AY62="ICE",  AP62&lt;=1400,AJ62&gt;1100000),                                       90%,
 AND(AY62="ICE",  AND(AP62&gt;1400,AP62&lt;=1600),   AJ62&lt;=850000),                      75%,
 AND(AY62="ICE",  AND(AP62&gt;1400,AP62&lt;=1600),   AND(AJ62&gt;850000,AJ62&lt;=1100000)),     80%,
 AND(AY62="ICE",  AND(AP62&gt;1400,AP62&lt;=1600),   AND(AJ62&gt;1100000,AJ62&lt;=1650000)),    90%,
 AND(AY62="ICE",  AND(AP62&gt;1400,AP62&lt;=1600),   AJ62&gt;1650000),                      100%,
 AND(AY62="ICE",  AND(AP62&gt;1600,AP62&lt;=2000),   AJ62&lt;=1650000),                     150%,
 AND(AY62="ICE",  AND(AP62&gt;1600,AP62&lt;=2000),   AJ62&gt;1650000),                      170%,
 AND(AY62="ICE",  AP62&gt;2000),                                                    220%,
 AND(AY62="PHEV",  AP62&lt;=1600,                AJ62&lt;=1350000),                     45%,
 AND(AY62="PHEV",  AP62&lt;=1600,                AJ62&gt;1350000),                      75%,
 AND(AY62="PHEV",  AND(AP62&gt;1600,AP62&lt;=1800),  AJ62&lt;=1350000),                     85%,
 AND(AY62="BEV",    AZ62&lt;=160,                 AJ62&lt;=1650000),                     25%,
 AND(AY62="BEV",    AZ62&lt;=160,                 AJ62&gt;1650000),                      55%,
 AND(AY62="BEV",    AZ62&gt; 160,                 AJ62&lt;=1650000),                     65%,
 AND(AY62="BEV",    AZ62&gt; 160,                 AJ62&gt;1650000),                      75%)</f>
        <v>1.7</v>
      </c>
      <c r="AY62" s="80" t="str">
        <f>_xlfn.XLOOKUP(A62,'[1]My Input'!$B:$B,'[1]My Input'!$V:$V)</f>
        <v>ICE</v>
      </c>
      <c r="AZ62" s="80" t="str">
        <f>_xlfn.IFNA(_xlfn.XLOOKUP(A62,'[1]kW Tescil'!$A:$A,'[1]kW Tescil'!$C:$C),"-")</f>
        <v>-</v>
      </c>
      <c r="BA62" s="81">
        <f>_xlfn.XLOOKUP(A62,'[1]My Input'!$B:$B,'[1]My Input'!$H:$H)</f>
        <v>0</v>
      </c>
      <c r="BC62" s="82">
        <v>6.2061024672061649E-2</v>
      </c>
      <c r="BD62" s="82">
        <v>-6.1537977336873126</v>
      </c>
      <c r="BF62" s="83">
        <v>3.0361679446535703</v>
      </c>
      <c r="BG62" s="83">
        <v>-2.8413982770019999</v>
      </c>
      <c r="BI62" s="84">
        <v>723958.80451660976</v>
      </c>
      <c r="BL62" s="83">
        <v>2.345705272988198</v>
      </c>
    </row>
    <row r="63" spans="1:64" s="74" customFormat="1" ht="15" customHeight="1" thickBot="1" x14ac:dyDescent="0.3">
      <c r="A63" s="57" t="s">
        <v>108</v>
      </c>
      <c r="B63" s="57" t="str">
        <f t="shared" ref="B63:B148" si="342">D63&amp;E63&amp;F63</f>
        <v>MBE 220 d 4MATICAMG</v>
      </c>
      <c r="C63" s="58" t="s">
        <v>37</v>
      </c>
      <c r="D63" s="86" t="s">
        <v>47</v>
      </c>
      <c r="E63" s="87" t="s">
        <v>107</v>
      </c>
      <c r="F63" s="88" t="s">
        <v>49</v>
      </c>
      <c r="G63" s="178"/>
      <c r="H63" s="89">
        <v>10917352</v>
      </c>
      <c r="I63" s="90">
        <f t="shared" si="321"/>
        <v>99.785682948230487</v>
      </c>
      <c r="J63" s="65">
        <v>0.02</v>
      </c>
      <c r="K63" s="66">
        <f t="shared" ref="K63:K70" si="343">(((H63-AO63)/(1+AQ63)/1.2/$AS$1)+AS63)*(1+AQ63)*(1.2)*$AS$1+AO63</f>
        <v>10665263.800000001</v>
      </c>
      <c r="L63" s="64">
        <f t="shared" si="323"/>
        <v>97.481571731500452</v>
      </c>
      <c r="M63" s="157"/>
      <c r="N63" s="66">
        <f t="shared" ref="N63:N70" si="344">AN63*1.2*(1+AV63)+AO63</f>
        <v>10451958.524</v>
      </c>
      <c r="O63" s="89">
        <f t="shared" ref="O63:O70" si="345">AK63*1.2*(1+AV63)+AO63</f>
        <v>10699004.960000001</v>
      </c>
      <c r="P63" s="90">
        <f>IF(ISNUMBER(O63),O63/$O$67*$P$67,"")</f>
        <v>104.03188222262327</v>
      </c>
      <c r="Q63" s="207">
        <f>IF(ISNUMBER(N63),N63/$N$67*$Q$67,"")</f>
        <v>101.62972372007492</v>
      </c>
      <c r="R63" s="67">
        <f>_xlfn.XLOOKUP(A63,'[1]My Input'!$B:$B,'[1]My Input'!$F:$F)</f>
        <v>0</v>
      </c>
      <c r="S63" s="157"/>
      <c r="T63" s="158">
        <f t="shared" si="340"/>
        <v>10451958.524</v>
      </c>
      <c r="U63" s="89">
        <f t="shared" si="341"/>
        <v>10699004.960000001</v>
      </c>
      <c r="V63" s="90">
        <f>IF(ISNUMBER(U63),U63/$U$67*$V$67,"")</f>
        <v>104.03188222262327</v>
      </c>
      <c r="W63" s="90">
        <f>IF(ISNUMBER(T63),T63/$T$67*$W$67,"")</f>
        <v>101.62972372007492</v>
      </c>
      <c r="X63" s="92">
        <f>_xlfn.XLOOKUP(A63,'[1]My Input'!$B:$B,'[1]My Input'!$I:$I)</f>
        <v>0</v>
      </c>
      <c r="Y63" s="157"/>
      <c r="Z63" s="158">
        <f t="shared" ref="Z63:Z148" si="346">IF(AD63&lt;&gt;0,AM63*1.2*(1+AQ63)+AO63-AD63,AL63*(1-AG63)*1.2*(1+AQ63)+AO63)</f>
        <v>10371141.694</v>
      </c>
      <c r="AA63" s="89">
        <f t="shared" ref="AA63:AA70" si="347">IF(AD63&lt;&gt;0,AJ63*1.2*(1+AX63)+AO63-AD63,AH63*(1-AG63)*1.2*(1+AV63)+AO63)</f>
        <v>10618188.130000001</v>
      </c>
      <c r="AB63" s="90">
        <f>IF(ISNUMBER(AA63),AA63/$AA$67*$AB$67,"")</f>
        <v>101.55105470110651</v>
      </c>
      <c r="AC63" s="90">
        <f>IF(ISNUMBER(Z63),Z63/$Z$67*$AC$67,"")</f>
        <v>99.188332753746394</v>
      </c>
      <c r="AD63" s="93">
        <f>_xlfn.XLOOKUP(A63,'[1]My Input'!$B:$B,'[1]My Input'!$N:$N)</f>
        <v>80816.83</v>
      </c>
      <c r="AE63" s="70"/>
      <c r="AF63" s="71">
        <f>_xlfn.XLOOKUP(A63,'[1]My Input'!$B:$B,'[1]My Input'!$E:$E)</f>
        <v>0.02</v>
      </c>
      <c r="AG63" s="72">
        <f>_xlfn.XLOOKUP(A63,'[1]My Input'!$B:$B,'[1]My Input'!$G:$G)</f>
        <v>0.02</v>
      </c>
      <c r="AH63" s="73">
        <f t="shared" ref="AH63:AH70" si="348">(H63-AO63)/1.2/(1+AQ63)</f>
        <v>3369553.0864197533</v>
      </c>
      <c r="AJ63" s="73">
        <f t="shared" ref="AJ63:AJ70" si="349">AH63*(1-AF63)</f>
        <v>3302162.0246913582</v>
      </c>
      <c r="AK63" s="75">
        <f t="shared" ref="AK63:AK70" si="350">AH63*(1-AF63-R63)</f>
        <v>3302162.0246913582</v>
      </c>
      <c r="AL63" s="76">
        <f t="shared" ref="AL63:AL70" si="351">(K63-AO63)/1.2/(1+AQ63)</f>
        <v>3291748.0864197533</v>
      </c>
      <c r="AM63" s="76">
        <f t="shared" ref="AM63:AM70" si="352">AL63*(1-AF63)</f>
        <v>3225913.1246913583</v>
      </c>
      <c r="AN63" s="76">
        <f t="shared" ref="AN63:AN70" si="353">AL63*(1-AF63-R63)</f>
        <v>3225913.1246913583</v>
      </c>
      <c r="AO63" s="77">
        <f>_xlfn.XLOOKUP(A63,'[1]My Input'!$B:$B,'[1]My Input'!$T:$T)</f>
        <v>0</v>
      </c>
      <c r="AP63" s="78">
        <f>_xlfn.XLOOKUP(A63,'[1]My Input'!$B:$B,'[1]My Input'!$S:$S)</f>
        <v>2000</v>
      </c>
      <c r="AQ63" s="67">
        <f>_xlfn.XLOOKUP(A63,'[1]My Input'!$B:$B,'[1]My Input'!$U:$U)</f>
        <v>1.7</v>
      </c>
      <c r="AS63" s="155">
        <v>-1482</v>
      </c>
      <c r="AU63" s="74" t="s">
        <v>41</v>
      </c>
      <c r="AV63" s="67" cm="1">
        <f t="array" ref="AV63">_xlfn.IFS(
 AND(AY63="ICE",  AP63&lt;=1400,AND(AK63&gt;900000,  AK63&lt;=1100000)),                    80%,
 AND(AY63="ICE",  AP63&lt;=1400,AK63&gt;1100000),                                       90%,
 AND(AY63="ICE",  AND(AP63&gt;1400,AP63&lt;=1600),   AK63&lt;=850000),                      75%,
 AND(AY63="ICE",  AND(AP63&gt;1400,AP63&lt;=1600),   AND(AK63&gt;850000,AK63&lt;=1100000)),     80%,
 AND(AY63="ICE",  AND(AP63&gt;1400,AP63&lt;=1600),   AND(AK63&gt;1100000,AK63&lt;=1650000)),    90%,
 AND(AY63="ICE",  AND(AP63&gt;1400,AP63&lt;=1600),   AK63&gt;1650000),                      100%,
 AND(AY63="ICE",  AND(AP63&gt;1600,AP63&lt;=2000),   AK63&lt;=1650000),                     150%,
 AND(AY63="ICE",  AND(AP63&gt;1600,AP63&lt;=2000),   AK63&gt;1650000),                      170%,
 AND(AY63="ICE",  AP63&gt;2000),                                                    220%,
 AND(AY63="PHEV",  AP63&lt;=1600,                AK63&lt;=1350000),                     45%,
 AND(AY63="PHEV",  AP63&lt;=1600,                AK63&gt;1350000),                      75%,
 AND(AY63="PHEV",  AND(AP63&gt;1600,AP63&lt;=1800),  AK63&lt;=1350000),                     85%,
 AND(AY63="BEV",    AZ63&lt;=160,                 AK63&lt;=1650000),                     25%,
 AND(AY63="BEV",    AZ63&lt;=160,                 AK63&gt;1650000),                      55%,
 AND(AY63="BEV",    AZ63&gt; 160,                 AK63&lt;=1650000),                     65%,
 AND(AY63="BEV",    AZ63&gt; 160,                 AK63&gt;1650000),                      75%)</f>
        <v>1.7</v>
      </c>
      <c r="AW63" s="67" cm="1">
        <f t="array" ref="AW63">_xlfn.IFS(
 X63=0,AV63,
 AND(AY63="ICE",  AP63&lt;=1400,AND((AJ63-BA63)&gt;900000,  (AJ63-BA63)&lt;=1100000)),                    80%,
 AND(AY63="ICE",  AP63&lt;=1400,(AJ63-BA63)&gt;1100000),                                       90%,
 AND(AY63="ICE",  AND(AP63&gt;1400,AP63&lt;=1600),   (AJ63-BA63)&lt;=850000),                      75%,
 AND(AY63="ICE",  AND(AP63&gt;1400,AP63&lt;=1600),   AND((AJ63-BA63)&gt;850000,(AJ63-BA63)&lt;=1100000)),     80%,
 AND(AY63="ICE",  AND(AP63&gt;1400,AP63&lt;=1600),   AND((AJ63-BA63)&gt;1100000,(AJ63-BA63)&lt;=1650000)),    90%,
 AND(AY63="ICE",  AND(AP63&gt;1400,AP63&lt;=1600),   (AJ63-BA63)&gt;1650000),                      100%,
 AND(AY63="ICE",  AND(AP63&gt;1600,AP63&lt;=2000),   (AJ63-BA63)&lt;=1650000),                     150%,
 AND(AY63="ICE",  AND(AP63&gt;1600,AP63&lt;=2000),   (AJ63-BA63)&gt;1650000),                      170%,
 AND(AY63="ICE",  AP63&gt;2000),                                                    220%,
 AND(AY63="PHEV",  AP63&lt;=1600,                (AJ63-BA63)&lt;=1350000),                     45%,
 AND(AY63="PHEV",  AP63&lt;=1600,                (AJ63-BA63)&gt;1350000),                      75%,
 AND(AY63="PHEV",  AND(AP63&gt;1600,AP63&lt;=1800),  (AJ63-BA63)&lt;=1350000),                     85%,
 AND(AY63="BEV",    AZ63&lt;=160,                 (AJ63-BA63)&lt;=1650000),                     25%,
 AND(AY63="BEV",    AZ63&lt;=160,                 (AJ63-BA63)&gt;1650000),                      55%,
 AND(AY63="BEV",    AZ63&gt; 160,                 (AJ63-BA63)&lt;=1650000),                     65%,
 AND(AY63="BEV",    AZ63&gt; 160,                 (AJ63-BA63)&gt;1650000),                      75%)</f>
        <v>1.7</v>
      </c>
      <c r="AX63" s="67" cm="1">
        <f t="array" ref="AX63">_xlfn.IFS(
 AD63=0,AV63,
 AND(AY63="ICE",  AP63&lt;=1400,AND(AJ63&gt;900000,  AJ63&lt;=1100000)),                    80%,
 AND(AY63="ICE",  AP63&lt;=1400,AJ63&gt;1100000),                                       90%,
 AND(AY63="ICE",  AND(AP63&gt;1400,AP63&lt;=1600),   AJ63&lt;=850000),                      75%,
 AND(AY63="ICE",  AND(AP63&gt;1400,AP63&lt;=1600),   AND(AJ63&gt;850000,AJ63&lt;=1100000)),     80%,
 AND(AY63="ICE",  AND(AP63&gt;1400,AP63&lt;=1600),   AND(AJ63&gt;1100000,AJ63&lt;=1650000)),    90%,
 AND(AY63="ICE",  AND(AP63&gt;1400,AP63&lt;=1600),   AJ63&gt;1650000),                      100%,
 AND(AY63="ICE",  AND(AP63&gt;1600,AP63&lt;=2000),   AJ63&lt;=1650000),                     150%,
 AND(AY63="ICE",  AND(AP63&gt;1600,AP63&lt;=2000),   AJ63&gt;1650000),                      170%,
 AND(AY63="ICE",  AP63&gt;2000),                                                    220%,
 AND(AY63="PHEV",  AP63&lt;=1600,                AJ63&lt;=1350000),                     45%,
 AND(AY63="PHEV",  AP63&lt;=1600,                AJ63&gt;1350000),                      75%,
 AND(AY63="PHEV",  AND(AP63&gt;1600,AP63&lt;=1800),  AJ63&lt;=1350000),                     85%,
 AND(AY63="BEV",    AZ63&lt;=160,                 AJ63&lt;=1650000),                     25%,
 AND(AY63="BEV",    AZ63&lt;=160,                 AJ63&gt;1650000),                      55%,
 AND(AY63="BEV",    AZ63&gt; 160,                 AJ63&lt;=1650000),                     65%,
 AND(AY63="BEV",    AZ63&gt; 160,                 AJ63&gt;1650000),                      75%)</f>
        <v>1.7</v>
      </c>
      <c r="AY63" s="80" t="str">
        <f>_xlfn.XLOOKUP(A63,'[1]My Input'!$B:$B,'[1]My Input'!$V:$V)</f>
        <v>ICE</v>
      </c>
      <c r="AZ63" s="80" t="str">
        <f>_xlfn.IFNA(_xlfn.XLOOKUP(A63,'[1]kW Tescil'!$A:$A,'[1]kW Tescil'!$C:$C),"-")</f>
        <v>-</v>
      </c>
      <c r="BA63" s="81">
        <f>_xlfn.XLOOKUP(A63,'[1]My Input'!$B:$B,'[1]My Input'!$H:$H)</f>
        <v>0</v>
      </c>
      <c r="BC63" s="82">
        <v>18.502137117357364</v>
      </c>
      <c r="BD63" s="82">
        <v>14.493408074576507</v>
      </c>
      <c r="BF63" s="83">
        <v>22.339754508308118</v>
      </c>
      <c r="BG63" s="83">
        <v>18.358753911794338</v>
      </c>
      <c r="BI63" s="84">
        <v>2401112.5514000002</v>
      </c>
      <c r="BL63" s="83">
        <v>6.9682608421047121</v>
      </c>
    </row>
    <row r="64" spans="1:64" s="74" customFormat="1" ht="15" customHeight="1" thickBot="1" x14ac:dyDescent="0.3">
      <c r="A64" s="57" t="s">
        <v>108</v>
      </c>
      <c r="B64" s="57" t="str">
        <f t="shared" si="342"/>
        <v>MBE 220 d 4MATICAMG</v>
      </c>
      <c r="C64" s="85" t="s">
        <v>42</v>
      </c>
      <c r="D64" s="86" t="s">
        <v>47</v>
      </c>
      <c r="E64" s="87" t="s">
        <v>107</v>
      </c>
      <c r="F64" s="88" t="s">
        <v>49</v>
      </c>
      <c r="G64" s="178"/>
      <c r="H64" s="89">
        <v>11760852</v>
      </c>
      <c r="I64" s="90">
        <f t="shared" si="321"/>
        <v>107.4953568294823</v>
      </c>
      <c r="J64" s="65">
        <v>0.02</v>
      </c>
      <c r="K64" s="66">
        <f t="shared" si="343"/>
        <v>11508763.800000003</v>
      </c>
      <c r="L64" s="64">
        <f t="shared" si="323"/>
        <v>105.19124561275228</v>
      </c>
      <c r="M64" s="157"/>
      <c r="N64" s="66">
        <f t="shared" si="344"/>
        <v>11278588.524</v>
      </c>
      <c r="O64" s="89">
        <f t="shared" si="345"/>
        <v>11525634.960000001</v>
      </c>
      <c r="P64" s="90">
        <f>IF(ISNUMBER(O64),O64/$O$67*$P$67,"")</f>
        <v>112.06962733286454</v>
      </c>
      <c r="Q64" s="207">
        <f>IF(ISNUMBER(N64),N64/$N$67*$Q$67,"")</f>
        <v>109.6674688303162</v>
      </c>
      <c r="R64" s="67">
        <f>_xlfn.XLOOKUP(A64,'[1]My Input'!$B:$B,'[1]My Input'!$F:$F)</f>
        <v>0</v>
      </c>
      <c r="S64" s="157"/>
      <c r="T64" s="158">
        <f t="shared" si="340"/>
        <v>11278588.524</v>
      </c>
      <c r="U64" s="89">
        <f t="shared" si="341"/>
        <v>11525634.960000001</v>
      </c>
      <c r="V64" s="90">
        <f>IF(ISNUMBER(U64),U64/$U$67*$V$67,"")</f>
        <v>112.06962733286454</v>
      </c>
      <c r="W64" s="90">
        <f>IF(ISNUMBER(T64),T64/$T$67*$W$67,"")</f>
        <v>109.6674688303162</v>
      </c>
      <c r="X64" s="92">
        <f>_xlfn.XLOOKUP(A64,'[1]My Input'!$B:$B,'[1]My Input'!$I:$I)</f>
        <v>0</v>
      </c>
      <c r="Y64" s="157"/>
      <c r="Z64" s="158">
        <f t="shared" si="346"/>
        <v>11197771.694</v>
      </c>
      <c r="AA64" s="89">
        <f t="shared" si="347"/>
        <v>11444818.130000001</v>
      </c>
      <c r="AB64" s="90">
        <f>IF(ISNUMBER(AA64),AA64/$AA$67*$AB$67,"")</f>
        <v>109.45684308230894</v>
      </c>
      <c r="AC64" s="90">
        <f>IF(ISNUMBER(Z64),Z64/$Z$67*$AC$67,"")</f>
        <v>107.09412113494885</v>
      </c>
      <c r="AD64" s="93">
        <f>_xlfn.XLOOKUP(A64,'[1]My Input'!$B:$B,'[1]My Input'!$N:$N)</f>
        <v>80816.83</v>
      </c>
      <c r="AE64" s="70"/>
      <c r="AF64" s="71">
        <v>0.02</v>
      </c>
      <c r="AG64" s="208">
        <f>SUM(AF64,R64)</f>
        <v>0.02</v>
      </c>
      <c r="AH64" s="73">
        <f t="shared" si="348"/>
        <v>3629892.5925925924</v>
      </c>
      <c r="AJ64" s="73">
        <f t="shared" si="349"/>
        <v>3557294.7407407407</v>
      </c>
      <c r="AK64" s="75">
        <f t="shared" si="350"/>
        <v>3557294.7407407407</v>
      </c>
      <c r="AL64" s="76">
        <f t="shared" si="351"/>
        <v>3552087.5925925928</v>
      </c>
      <c r="AM64" s="76">
        <f t="shared" si="352"/>
        <v>3481045.8407407408</v>
      </c>
      <c r="AN64" s="76">
        <f t="shared" si="353"/>
        <v>3481045.8407407408</v>
      </c>
      <c r="AO64" s="77">
        <f>_xlfn.XLOOKUP(A64,'[1]My Input'!$B:$B,'[1]My Input'!$T:$T)</f>
        <v>0</v>
      </c>
      <c r="AP64" s="78">
        <f>_xlfn.XLOOKUP(A64,'[1]My Input'!$B:$B,'[1]My Input'!$S:$S)</f>
        <v>2000</v>
      </c>
      <c r="AQ64" s="67">
        <f>_xlfn.XLOOKUP(A64,'[1]My Input'!$B:$B,'[1]My Input'!$U:$U)</f>
        <v>1.7</v>
      </c>
      <c r="AS64" s="153">
        <v>-1482</v>
      </c>
      <c r="AU64" s="74" t="s">
        <v>41</v>
      </c>
      <c r="AV64" s="67" cm="1">
        <f t="array" ref="AV64">_xlfn.IFS(
 AND(AY64="ICE",  AP64&lt;=1400,AND(AK64&gt;900000,  AK64&lt;=1100000)),                    80%,
 AND(AY64="ICE",  AP64&lt;=1400,AK64&gt;1100000),                                       90%,
 AND(AY64="ICE",  AND(AP64&gt;1400,AP64&lt;=1600),   AK64&lt;=850000),                      75%,
 AND(AY64="ICE",  AND(AP64&gt;1400,AP64&lt;=1600),   AND(AK64&gt;850000,AK64&lt;=1100000)),     80%,
 AND(AY64="ICE",  AND(AP64&gt;1400,AP64&lt;=1600),   AND(AK64&gt;1100000,AK64&lt;=1650000)),    90%,
 AND(AY64="ICE",  AND(AP64&gt;1400,AP64&lt;=1600),   AK64&gt;1650000),                      100%,
 AND(AY64="ICE",  AND(AP64&gt;1600,AP64&lt;=2000),   AK64&lt;=1650000),                     150%,
 AND(AY64="ICE",  AND(AP64&gt;1600,AP64&lt;=2000),   AK64&gt;1650000),                      170%,
 AND(AY64="ICE",  AP64&gt;2000),                                                    220%,
 AND(AY64="PHEV",  AP64&lt;=1600,                AK64&lt;=1350000),                     45%,
 AND(AY64="PHEV",  AP64&lt;=1600,                AK64&gt;1350000),                      75%,
 AND(AY64="PHEV",  AND(AP64&gt;1600,AP64&lt;=1800),  AK64&lt;=1350000),                     85%,
 AND(AY64="BEV",    AZ64&lt;=160,                 AK64&lt;=1650000),                     25%,
 AND(AY64="BEV",    AZ64&lt;=160,                 AK64&gt;1650000),                      55%,
 AND(AY64="BEV",    AZ64&gt; 160,                 AK64&lt;=1650000),                     65%,
 AND(AY64="BEV",    AZ64&gt; 160,                 AK64&gt;1650000),                      75%)</f>
        <v>1.7</v>
      </c>
      <c r="AW64" s="67" cm="1">
        <f t="array" ref="AW64">_xlfn.IFS(
 X64=0,AV64,
 AND(AY64="ICE",  AP64&lt;=1400,AND((AJ64-BA64)&gt;900000,  (AJ64-BA64)&lt;=1100000)),                    80%,
 AND(AY64="ICE",  AP64&lt;=1400,(AJ64-BA64)&gt;1100000),                                       90%,
 AND(AY64="ICE",  AND(AP64&gt;1400,AP64&lt;=1600),   (AJ64-BA64)&lt;=850000),                      75%,
 AND(AY64="ICE",  AND(AP64&gt;1400,AP64&lt;=1600),   AND((AJ64-BA64)&gt;850000,(AJ64-BA64)&lt;=1100000)),     80%,
 AND(AY64="ICE",  AND(AP64&gt;1400,AP64&lt;=1600),   AND((AJ64-BA64)&gt;1100000,(AJ64-BA64)&lt;=1650000)),    90%,
 AND(AY64="ICE",  AND(AP64&gt;1400,AP64&lt;=1600),   (AJ64-BA64)&gt;1650000),                      100%,
 AND(AY64="ICE",  AND(AP64&gt;1600,AP64&lt;=2000),   (AJ64-BA64)&lt;=1650000),                     150%,
 AND(AY64="ICE",  AND(AP64&gt;1600,AP64&lt;=2000),   (AJ64-BA64)&gt;1650000),                      170%,
 AND(AY64="ICE",  AP64&gt;2000),                                                    220%,
 AND(AY64="PHEV",  AP64&lt;=1600,                (AJ64-BA64)&lt;=1350000),                     45%,
 AND(AY64="PHEV",  AP64&lt;=1600,                (AJ64-BA64)&gt;1350000),                      75%,
 AND(AY64="PHEV",  AND(AP64&gt;1600,AP64&lt;=1800),  (AJ64-BA64)&lt;=1350000),                     85%,
 AND(AY64="BEV",    AZ64&lt;=160,                 (AJ64-BA64)&lt;=1650000),                     25%,
 AND(AY64="BEV",    AZ64&lt;=160,                 (AJ64-BA64)&gt;1650000),                      55%,
 AND(AY64="BEV",    AZ64&gt; 160,                 (AJ64-BA64)&lt;=1650000),                     65%,
 AND(AY64="BEV",    AZ64&gt; 160,                 (AJ64-BA64)&gt;1650000),                      75%)</f>
        <v>1.7</v>
      </c>
      <c r="AX64" s="67" cm="1">
        <f t="array" ref="AX64">_xlfn.IFS(
 AD64=0,AV64,
 AND(AY64="ICE",  AP64&lt;=1400,AND(AJ64&gt;900000,  AJ64&lt;=1100000)),                    80%,
 AND(AY64="ICE",  AP64&lt;=1400,AJ64&gt;1100000),                                       90%,
 AND(AY64="ICE",  AND(AP64&gt;1400,AP64&lt;=1600),   AJ64&lt;=850000),                      75%,
 AND(AY64="ICE",  AND(AP64&gt;1400,AP64&lt;=1600),   AND(AJ64&gt;850000,AJ64&lt;=1100000)),     80%,
 AND(AY64="ICE",  AND(AP64&gt;1400,AP64&lt;=1600),   AND(AJ64&gt;1100000,AJ64&lt;=1650000)),    90%,
 AND(AY64="ICE",  AND(AP64&gt;1400,AP64&lt;=1600),   AJ64&gt;1650000),                      100%,
 AND(AY64="ICE",  AND(AP64&gt;1600,AP64&lt;=2000),   AJ64&lt;=1650000),                     150%,
 AND(AY64="ICE",  AND(AP64&gt;1600,AP64&lt;=2000),   AJ64&gt;1650000),                      170%,
 AND(AY64="ICE",  AP64&gt;2000),                                                    220%,
 AND(AY64="PHEV",  AP64&lt;=1600,                AJ64&lt;=1350000),                     45%,
 AND(AY64="PHEV",  AP64&lt;=1600,                AJ64&gt;1350000),                      75%,
 AND(AY64="PHEV",  AND(AP64&gt;1600,AP64&lt;=1800),  AJ64&lt;=1350000),                     85%,
 AND(AY64="BEV",    AZ64&lt;=160,                 AJ64&lt;=1650000),                     25%,
 AND(AY64="BEV",    AZ64&lt;=160,                 AJ64&gt;1650000),                      55%,
 AND(AY64="BEV",    AZ64&gt; 160,                 AJ64&lt;=1650000),                     65%,
 AND(AY64="BEV",    AZ64&gt; 160,                 AJ64&gt;1650000),                      75%)</f>
        <v>1.7</v>
      </c>
      <c r="AY64" s="80" t="str">
        <f>_xlfn.XLOOKUP(A64,'[1]My Input'!$B:$B,'[1]My Input'!$V:$V)</f>
        <v>ICE</v>
      </c>
      <c r="AZ64" s="80" t="str">
        <f>_xlfn.IFNA(_xlfn.XLOOKUP(A64,'[1]kW Tescil'!$A:$A,'[1]kW Tescil'!$C:$C),"-")</f>
        <v>-</v>
      </c>
      <c r="BA64" s="81">
        <f>_xlfn.XLOOKUP(A64,'[1]My Input'!$B:$B,'[1]My Input'!$H:$H)</f>
        <v>0</v>
      </c>
      <c r="BC64" s="82">
        <v>18.502137117357364</v>
      </c>
      <c r="BD64" s="82">
        <v>14.493408074576507</v>
      </c>
      <c r="BF64" s="83">
        <v>22.339754508308118</v>
      </c>
      <c r="BG64" s="83">
        <v>18.358753911794338</v>
      </c>
      <c r="BI64" s="84">
        <v>2401112.5514000002</v>
      </c>
      <c r="BL64" s="83">
        <v>6.9682608421047121</v>
      </c>
    </row>
    <row r="65" spans="1:64" s="74" customFormat="1" ht="15" customHeight="1" thickBot="1" x14ac:dyDescent="0.3">
      <c r="A65" s="57" t="s">
        <v>109</v>
      </c>
      <c r="B65" s="57" t="str">
        <f t="shared" si="342"/>
        <v>MBE 220 d 4MATICExclusive</v>
      </c>
      <c r="C65" s="58" t="s">
        <v>37</v>
      </c>
      <c r="D65" s="86" t="s">
        <v>47</v>
      </c>
      <c r="E65" s="87" t="s">
        <v>107</v>
      </c>
      <c r="F65" s="88" t="s">
        <v>101</v>
      </c>
      <c r="G65" s="65"/>
      <c r="H65" s="226">
        <v>10681430</v>
      </c>
      <c r="I65" s="227">
        <f t="shared" si="321"/>
        <v>97.629332407136587</v>
      </c>
      <c r="J65" s="65">
        <v>0.02</v>
      </c>
      <c r="K65" s="228">
        <f t="shared" si="343"/>
        <v>10522896.799999999</v>
      </c>
      <c r="L65" s="229">
        <f t="shared" si="323"/>
        <v>96.180323193916337</v>
      </c>
      <c r="M65" s="65"/>
      <c r="N65" s="91">
        <f t="shared" si="344"/>
        <v>10312438.864</v>
      </c>
      <c r="O65" s="226">
        <f t="shared" si="345"/>
        <v>10467801.4</v>
      </c>
      <c r="P65" s="90">
        <f>IF(ISNUMBER(O65),O65/$O$67*$P$67,"")</f>
        <v>101.78377208403602</v>
      </c>
      <c r="Q65" s="90">
        <f>IF(ISNUMBER(N65),N65/$N$67*$Q$67,"")</f>
        <v>100.27310290429577</v>
      </c>
      <c r="R65" s="230">
        <f>_xlfn.XLOOKUP(A65,'[1]My Input'!$B:$B,'[1]My Input'!$F:$F)</f>
        <v>0</v>
      </c>
      <c r="S65" s="65"/>
      <c r="T65" s="91">
        <f t="shared" si="340"/>
        <v>10312438.864</v>
      </c>
      <c r="U65" s="226">
        <f t="shared" si="341"/>
        <v>10467801.4</v>
      </c>
      <c r="V65" s="90">
        <f>IF(ISNUMBER(U65),U65/$U$67*$V$67,"")</f>
        <v>101.78377208403602</v>
      </c>
      <c r="W65" s="90">
        <f>IF(ISNUMBER(T65),T65/$T$67*$W$67,"")</f>
        <v>100.27310290429577</v>
      </c>
      <c r="X65" s="231">
        <f>_xlfn.XLOOKUP(A65,'[1]My Input'!$B:$B,'[1]My Input'!$I:$I)</f>
        <v>0</v>
      </c>
      <c r="Y65" s="65"/>
      <c r="Z65" s="91">
        <f t="shared" si="346"/>
        <v>10231622.034</v>
      </c>
      <c r="AA65" s="226">
        <f t="shared" si="347"/>
        <v>10386984.57</v>
      </c>
      <c r="AB65" s="90">
        <f>IF(ISNUMBER(AA65),AA65/$AA$67*$AB$67,"")</f>
        <v>99.339852085255814</v>
      </c>
      <c r="AC65" s="90">
        <f>IF(ISNUMBER(Z65),Z65/$Z$67*$AC$67,"")</f>
        <v>97.853983762084695</v>
      </c>
      <c r="AD65" s="232">
        <f>_xlfn.XLOOKUP(A65,'[1]My Input'!$B:$B,'[1]My Input'!$N:$N)</f>
        <v>80816.83</v>
      </c>
      <c r="AE65" s="70"/>
      <c r="AF65" s="71">
        <f>_xlfn.XLOOKUP(A65,'[1]My Input'!$B:$B,'[1]My Input'!$E:$E)</f>
        <v>0.02</v>
      </c>
      <c r="AG65" s="72">
        <f>_xlfn.XLOOKUP(A65,'[1]My Input'!$B:$B,'[1]My Input'!$G:$G)</f>
        <v>0.02</v>
      </c>
      <c r="AH65" s="73">
        <f t="shared" si="348"/>
        <v>3296737.6543209879</v>
      </c>
      <c r="AJ65" s="73">
        <f t="shared" si="349"/>
        <v>3230802.9012345681</v>
      </c>
      <c r="AK65" s="75">
        <f t="shared" si="350"/>
        <v>3230802.9012345681</v>
      </c>
      <c r="AL65" s="76">
        <f t="shared" si="351"/>
        <v>3247807.6543209874</v>
      </c>
      <c r="AM65" s="76">
        <f t="shared" si="352"/>
        <v>3182851.5012345677</v>
      </c>
      <c r="AN65" s="76">
        <f t="shared" si="353"/>
        <v>3182851.5012345677</v>
      </c>
      <c r="AO65" s="77">
        <f>_xlfn.XLOOKUP(A65,'[1]My Input'!$B:$B,'[1]My Input'!$T:$T)</f>
        <v>0</v>
      </c>
      <c r="AP65" s="78">
        <f>_xlfn.XLOOKUP(A65,'[1]My Input'!$B:$B,'[1]My Input'!$S:$S)</f>
        <v>2000</v>
      </c>
      <c r="AQ65" s="67">
        <f>_xlfn.XLOOKUP(A65,'[1]My Input'!$B:$B,'[1]My Input'!$U:$U)</f>
        <v>1.7</v>
      </c>
      <c r="AS65" s="103">
        <v>-932</v>
      </c>
      <c r="AU65" s="74" t="s">
        <v>41</v>
      </c>
      <c r="AV65" s="67" cm="1">
        <f t="array" ref="AV65">_xlfn.IFS(
 AND(AY65="ICE",  AP65&lt;=1400,AND(AK65&gt;900000,  AK65&lt;=1100000)),                    80%,
 AND(AY65="ICE",  AP65&lt;=1400,AK65&gt;1100000),                                       90%,
 AND(AY65="ICE",  AND(AP65&gt;1400,AP65&lt;=1600),   AK65&lt;=850000),                      75%,
 AND(AY65="ICE",  AND(AP65&gt;1400,AP65&lt;=1600),   AND(AK65&gt;850000,AK65&lt;=1100000)),     80%,
 AND(AY65="ICE",  AND(AP65&gt;1400,AP65&lt;=1600),   AND(AK65&gt;1100000,AK65&lt;=1650000)),    90%,
 AND(AY65="ICE",  AND(AP65&gt;1400,AP65&lt;=1600),   AK65&gt;1650000),                      100%,
 AND(AY65="ICE",  AND(AP65&gt;1600,AP65&lt;=2000),   AK65&lt;=1650000),                     150%,
 AND(AY65="ICE",  AND(AP65&gt;1600,AP65&lt;=2000),   AK65&gt;1650000),                      170%,
 AND(AY65="ICE",  AP65&gt;2000),                                                    220%,
 AND(AY65="PHEV",  AP65&lt;=1600,                AK65&lt;=1350000),                     45%,
 AND(AY65="PHEV",  AP65&lt;=1600,                AK65&gt;1350000),                      75%,
 AND(AY65="PHEV",  AND(AP65&gt;1600,AP65&lt;=1800),  AK65&lt;=1350000),                     85%,
 AND(AY65="BEV",    AZ65&lt;=160,                 AK65&lt;=1650000),                     25%,
 AND(AY65="BEV",    AZ65&lt;=160,                 AK65&gt;1650000),                      55%,
 AND(AY65="BEV",    AZ65&gt; 160,                 AK65&lt;=1650000),                     65%,
 AND(AY65="BEV",    AZ65&gt; 160,                 AK65&gt;1650000),                      75%)</f>
        <v>1.7</v>
      </c>
      <c r="AW65" s="67" cm="1">
        <f t="array" ref="AW65">_xlfn.IFS(
 X65=0,AV65,
 AND(AY65="ICE",  AP65&lt;=1400,AND((AJ65-BA65)&gt;900000,  (AJ65-BA65)&lt;=1100000)),                    80%,
 AND(AY65="ICE",  AP65&lt;=1400,(AJ65-BA65)&gt;1100000),                                       90%,
 AND(AY65="ICE",  AND(AP65&gt;1400,AP65&lt;=1600),   (AJ65-BA65)&lt;=850000),                      75%,
 AND(AY65="ICE",  AND(AP65&gt;1400,AP65&lt;=1600),   AND((AJ65-BA65)&gt;850000,(AJ65-BA65)&lt;=1100000)),     80%,
 AND(AY65="ICE",  AND(AP65&gt;1400,AP65&lt;=1600),   AND((AJ65-BA65)&gt;1100000,(AJ65-BA65)&lt;=1650000)),    90%,
 AND(AY65="ICE",  AND(AP65&gt;1400,AP65&lt;=1600),   (AJ65-BA65)&gt;1650000),                      100%,
 AND(AY65="ICE",  AND(AP65&gt;1600,AP65&lt;=2000),   (AJ65-BA65)&lt;=1650000),                     150%,
 AND(AY65="ICE",  AND(AP65&gt;1600,AP65&lt;=2000),   (AJ65-BA65)&gt;1650000),                      170%,
 AND(AY65="ICE",  AP65&gt;2000),                                                    220%,
 AND(AY65="PHEV",  AP65&lt;=1600,                (AJ65-BA65)&lt;=1350000),                     45%,
 AND(AY65="PHEV",  AP65&lt;=1600,                (AJ65-BA65)&gt;1350000),                      75%,
 AND(AY65="PHEV",  AND(AP65&gt;1600,AP65&lt;=1800),  (AJ65-BA65)&lt;=1350000),                     85%,
 AND(AY65="BEV",    AZ65&lt;=160,                 (AJ65-BA65)&lt;=1650000),                     25%,
 AND(AY65="BEV",    AZ65&lt;=160,                 (AJ65-BA65)&gt;1650000),                      55%,
 AND(AY65="BEV",    AZ65&gt; 160,                 (AJ65-BA65)&lt;=1650000),                     65%,
 AND(AY65="BEV",    AZ65&gt; 160,                 (AJ65-BA65)&gt;1650000),                      75%)</f>
        <v>1.7</v>
      </c>
      <c r="AX65" s="67" cm="1">
        <f t="array" ref="AX65">_xlfn.IFS(
 AD65=0,AV65,
 AND(AY65="ICE",  AP65&lt;=1400,AND(AJ65&gt;900000,  AJ65&lt;=1100000)),                    80%,
 AND(AY65="ICE",  AP65&lt;=1400,AJ65&gt;1100000),                                       90%,
 AND(AY65="ICE",  AND(AP65&gt;1400,AP65&lt;=1600),   AJ65&lt;=850000),                      75%,
 AND(AY65="ICE",  AND(AP65&gt;1400,AP65&lt;=1600),   AND(AJ65&gt;850000,AJ65&lt;=1100000)),     80%,
 AND(AY65="ICE",  AND(AP65&gt;1400,AP65&lt;=1600),   AND(AJ65&gt;1100000,AJ65&lt;=1650000)),    90%,
 AND(AY65="ICE",  AND(AP65&gt;1400,AP65&lt;=1600),   AJ65&gt;1650000),                      100%,
 AND(AY65="ICE",  AND(AP65&gt;1600,AP65&lt;=2000),   AJ65&lt;=1650000),                     150%,
 AND(AY65="ICE",  AND(AP65&gt;1600,AP65&lt;=2000),   AJ65&gt;1650000),                      170%,
 AND(AY65="ICE",  AP65&gt;2000),                                                    220%,
 AND(AY65="PHEV",  AP65&lt;=1600,                AJ65&lt;=1350000),                     45%,
 AND(AY65="PHEV",  AP65&lt;=1600,                AJ65&gt;1350000),                      75%,
 AND(AY65="PHEV",  AND(AP65&gt;1600,AP65&lt;=1800),  AJ65&lt;=1350000),                     85%,
 AND(AY65="BEV",    AZ65&lt;=160,                 AJ65&lt;=1650000),                     25%,
 AND(AY65="BEV",    AZ65&lt;=160,                 AJ65&gt;1650000),                      55%,
 AND(AY65="BEV",    AZ65&gt; 160,                 AJ65&lt;=1650000),                     65%,
 AND(AY65="BEV",    AZ65&gt; 160,                 AJ65&gt;1650000),                      75%)</f>
        <v>1.7</v>
      </c>
      <c r="AY65" s="80" t="str">
        <f>_xlfn.XLOOKUP(A65,'[1]My Input'!$B:$B,'[1]My Input'!$V:$V)</f>
        <v>ICE</v>
      </c>
      <c r="AZ65" s="80" t="str">
        <f>_xlfn.IFNA(_xlfn.XLOOKUP(A65,'[1]kW Tescil'!$A:$A,'[1]kW Tescil'!$C:$C),"-")</f>
        <v>-</v>
      </c>
      <c r="BA65" s="81">
        <f>_xlfn.XLOOKUP(A65,'[1]My Input'!$B:$B,'[1]My Input'!$H:$H)</f>
        <v>0</v>
      </c>
      <c r="BC65" s="82">
        <v>33.698717037617925</v>
      </c>
      <c r="BD65" s="82">
        <v>22.346001257857651</v>
      </c>
      <c r="BF65" s="83">
        <v>36.965802129926374</v>
      </c>
      <c r="BG65" s="83">
        <v>25.906636419573047</v>
      </c>
      <c r="BI65" s="84">
        <v>4048031.9612766104</v>
      </c>
      <c r="BL65" s="83">
        <v>35.982361285934061</v>
      </c>
    </row>
    <row r="66" spans="1:64" s="74" customFormat="1" ht="15" customHeight="1" x14ac:dyDescent="0.25">
      <c r="A66" s="57" t="s">
        <v>109</v>
      </c>
      <c r="B66" s="57" t="str">
        <f t="shared" si="342"/>
        <v>MBE 220 d 4MATICExclusive</v>
      </c>
      <c r="C66" s="85" t="s">
        <v>42</v>
      </c>
      <c r="D66" s="86" t="s">
        <v>47</v>
      </c>
      <c r="E66" s="87" t="s">
        <v>107</v>
      </c>
      <c r="F66" s="88" t="s">
        <v>101</v>
      </c>
      <c r="G66" s="178"/>
      <c r="H66" s="89">
        <v>11518930</v>
      </c>
      <c r="I66" s="90">
        <f t="shared" si="321"/>
        <v>105.28416569172272</v>
      </c>
      <c r="J66" s="65">
        <v>0.02</v>
      </c>
      <c r="K66" s="66">
        <f t="shared" si="343"/>
        <v>11360396.800000003</v>
      </c>
      <c r="L66" s="64">
        <f t="shared" si="323"/>
        <v>103.8351564785025</v>
      </c>
      <c r="M66" s="157"/>
      <c r="N66" s="66">
        <f t="shared" si="344"/>
        <v>11133188.864000004</v>
      </c>
      <c r="O66" s="89">
        <f t="shared" si="345"/>
        <v>11288551.4</v>
      </c>
      <c r="P66" s="90">
        <f>IF(ISNUMBER(O66),O66/$O$67*$P$67,"")</f>
        <v>109.76434295520031</v>
      </c>
      <c r="Q66" s="207">
        <f>IF(ISNUMBER(N66),N66/$N$67*$Q$67,"")</f>
        <v>108.25367377546007</v>
      </c>
      <c r="R66" s="67">
        <f>_xlfn.XLOOKUP(A66,'[1]My Input'!$B:$B,'[1]My Input'!$F:$F)</f>
        <v>0</v>
      </c>
      <c r="S66" s="157"/>
      <c r="T66" s="158">
        <f t="shared" si="340"/>
        <v>11133188.864000004</v>
      </c>
      <c r="U66" s="89">
        <f t="shared" si="341"/>
        <v>11288551.4</v>
      </c>
      <c r="V66" s="90">
        <f>IF(ISNUMBER(U66),U66/$U$67*$V$67,"")</f>
        <v>109.76434295520031</v>
      </c>
      <c r="W66" s="90">
        <f>IF(ISNUMBER(T66),T66/$T$67*$W$67,"")</f>
        <v>108.25367377546007</v>
      </c>
      <c r="X66" s="92">
        <f>_xlfn.XLOOKUP(A66,'[1]My Input'!$B:$B,'[1]My Input'!$I:$I)</f>
        <v>0</v>
      </c>
      <c r="Y66" s="157"/>
      <c r="Z66" s="158">
        <f t="shared" si="346"/>
        <v>11052372.034000004</v>
      </c>
      <c r="AA66" s="89">
        <f t="shared" si="347"/>
        <v>11207734.57</v>
      </c>
      <c r="AB66" s="90">
        <f>IF(ISNUMBER(AA66),AA66/$AA$67*$AB$67,"")</f>
        <v>107.189404864458</v>
      </c>
      <c r="AC66" s="90">
        <f>IF(ISNUMBER(Z66),Z66/$Z$67*$AC$67,"")</f>
        <v>105.70353654128692</v>
      </c>
      <c r="AD66" s="93">
        <f>_xlfn.XLOOKUP(A66,'[1]My Input'!$B:$B,'[1]My Input'!$N:$N)</f>
        <v>80816.83</v>
      </c>
      <c r="AE66" s="70"/>
      <c r="AF66" s="71">
        <v>0.02</v>
      </c>
      <c r="AG66" s="208">
        <f>SUM(AF66,R66)</f>
        <v>0.02</v>
      </c>
      <c r="AH66" s="73">
        <f t="shared" si="348"/>
        <v>3555225.3086419753</v>
      </c>
      <c r="AJ66" s="73">
        <f t="shared" si="349"/>
        <v>3484120.8024691357</v>
      </c>
      <c r="AK66" s="75">
        <f t="shared" si="350"/>
        <v>3484120.8024691357</v>
      </c>
      <c r="AL66" s="76">
        <f t="shared" si="351"/>
        <v>3506295.3086419762</v>
      </c>
      <c r="AM66" s="76">
        <f t="shared" si="352"/>
        <v>3436169.4024691368</v>
      </c>
      <c r="AN66" s="76">
        <f t="shared" si="353"/>
        <v>3436169.4024691368</v>
      </c>
      <c r="AO66" s="77">
        <f>_xlfn.XLOOKUP(A66,'[1]My Input'!$B:$B,'[1]My Input'!$T:$T)</f>
        <v>0</v>
      </c>
      <c r="AP66" s="78">
        <f>_xlfn.XLOOKUP(A66,'[1]My Input'!$B:$B,'[1]My Input'!$S:$S)</f>
        <v>2000</v>
      </c>
      <c r="AQ66" s="67">
        <f>_xlfn.XLOOKUP(A66,'[1]My Input'!$B:$B,'[1]My Input'!$U:$U)</f>
        <v>1.7</v>
      </c>
      <c r="AS66" s="153">
        <v>-932</v>
      </c>
      <c r="AU66" s="74" t="s">
        <v>41</v>
      </c>
      <c r="AV66" s="67" cm="1">
        <f t="array" ref="AV66">_xlfn.IFS(
 AND(AY66="ICE",  AP66&lt;=1400,AND(AK66&gt;900000,  AK66&lt;=1100000)),                    80%,
 AND(AY66="ICE",  AP66&lt;=1400,AK66&gt;1100000),                                       90%,
 AND(AY66="ICE",  AND(AP66&gt;1400,AP66&lt;=1600),   AK66&lt;=850000),                      75%,
 AND(AY66="ICE",  AND(AP66&gt;1400,AP66&lt;=1600),   AND(AK66&gt;850000,AK66&lt;=1100000)),     80%,
 AND(AY66="ICE",  AND(AP66&gt;1400,AP66&lt;=1600),   AND(AK66&gt;1100000,AK66&lt;=1650000)),    90%,
 AND(AY66="ICE",  AND(AP66&gt;1400,AP66&lt;=1600),   AK66&gt;1650000),                      100%,
 AND(AY66="ICE",  AND(AP66&gt;1600,AP66&lt;=2000),   AK66&lt;=1650000),                     150%,
 AND(AY66="ICE",  AND(AP66&gt;1600,AP66&lt;=2000),   AK66&gt;1650000),                      170%,
 AND(AY66="ICE",  AP66&gt;2000),                                                    220%,
 AND(AY66="PHEV",  AP66&lt;=1600,                AK66&lt;=1350000),                     45%,
 AND(AY66="PHEV",  AP66&lt;=1600,                AK66&gt;1350000),                      75%,
 AND(AY66="PHEV",  AND(AP66&gt;1600,AP66&lt;=1800),  AK66&lt;=1350000),                     85%,
 AND(AY66="BEV",    AZ66&lt;=160,                 AK66&lt;=1650000),                     25%,
 AND(AY66="BEV",    AZ66&lt;=160,                 AK66&gt;1650000),                      55%,
 AND(AY66="BEV",    AZ66&gt; 160,                 AK66&lt;=1650000),                     65%,
 AND(AY66="BEV",    AZ66&gt; 160,                 AK66&gt;1650000),                      75%)</f>
        <v>1.7</v>
      </c>
      <c r="AW66" s="67" cm="1">
        <f t="array" ref="AW66">_xlfn.IFS(
 X66=0,AV66,
 AND(AY66="ICE",  AP66&lt;=1400,AND((AJ66-BA66)&gt;900000,  (AJ66-BA66)&lt;=1100000)),                    80%,
 AND(AY66="ICE",  AP66&lt;=1400,(AJ66-BA66)&gt;1100000),                                       90%,
 AND(AY66="ICE",  AND(AP66&gt;1400,AP66&lt;=1600),   (AJ66-BA66)&lt;=850000),                      75%,
 AND(AY66="ICE",  AND(AP66&gt;1400,AP66&lt;=1600),   AND((AJ66-BA66)&gt;850000,(AJ66-BA66)&lt;=1100000)),     80%,
 AND(AY66="ICE",  AND(AP66&gt;1400,AP66&lt;=1600),   AND((AJ66-BA66)&gt;1100000,(AJ66-BA66)&lt;=1650000)),    90%,
 AND(AY66="ICE",  AND(AP66&gt;1400,AP66&lt;=1600),   (AJ66-BA66)&gt;1650000),                      100%,
 AND(AY66="ICE",  AND(AP66&gt;1600,AP66&lt;=2000),   (AJ66-BA66)&lt;=1650000),                     150%,
 AND(AY66="ICE",  AND(AP66&gt;1600,AP66&lt;=2000),   (AJ66-BA66)&gt;1650000),                      170%,
 AND(AY66="ICE",  AP66&gt;2000),                                                    220%,
 AND(AY66="PHEV",  AP66&lt;=1600,                (AJ66-BA66)&lt;=1350000),                     45%,
 AND(AY66="PHEV",  AP66&lt;=1600,                (AJ66-BA66)&gt;1350000),                      75%,
 AND(AY66="PHEV",  AND(AP66&gt;1600,AP66&lt;=1800),  (AJ66-BA66)&lt;=1350000),                     85%,
 AND(AY66="BEV",    AZ66&lt;=160,                 (AJ66-BA66)&lt;=1650000),                     25%,
 AND(AY66="BEV",    AZ66&lt;=160,                 (AJ66-BA66)&gt;1650000),                      55%,
 AND(AY66="BEV",    AZ66&gt; 160,                 (AJ66-BA66)&lt;=1650000),                     65%,
 AND(AY66="BEV",    AZ66&gt; 160,                 (AJ66-BA66)&gt;1650000),                      75%)</f>
        <v>1.7</v>
      </c>
      <c r="AX66" s="67" cm="1">
        <f t="array" ref="AX66">_xlfn.IFS(
 AD66=0,AV66,
 AND(AY66="ICE",  AP66&lt;=1400,AND(AJ66&gt;900000,  AJ66&lt;=1100000)),                    80%,
 AND(AY66="ICE",  AP66&lt;=1400,AJ66&gt;1100000),                                       90%,
 AND(AY66="ICE",  AND(AP66&gt;1400,AP66&lt;=1600),   AJ66&lt;=850000),                      75%,
 AND(AY66="ICE",  AND(AP66&gt;1400,AP66&lt;=1600),   AND(AJ66&gt;850000,AJ66&lt;=1100000)),     80%,
 AND(AY66="ICE",  AND(AP66&gt;1400,AP66&lt;=1600),   AND(AJ66&gt;1100000,AJ66&lt;=1650000)),    90%,
 AND(AY66="ICE",  AND(AP66&gt;1400,AP66&lt;=1600),   AJ66&gt;1650000),                      100%,
 AND(AY66="ICE",  AND(AP66&gt;1600,AP66&lt;=2000),   AJ66&lt;=1650000),                     150%,
 AND(AY66="ICE",  AND(AP66&gt;1600,AP66&lt;=2000),   AJ66&gt;1650000),                      170%,
 AND(AY66="ICE",  AP66&gt;2000),                                                    220%,
 AND(AY66="PHEV",  AP66&lt;=1600,                AJ66&lt;=1350000),                     45%,
 AND(AY66="PHEV",  AP66&lt;=1600,                AJ66&gt;1350000),                      75%,
 AND(AY66="PHEV",  AND(AP66&gt;1600,AP66&lt;=1800),  AJ66&lt;=1350000),                     85%,
 AND(AY66="BEV",    AZ66&lt;=160,                 AJ66&lt;=1650000),                     25%,
 AND(AY66="BEV",    AZ66&lt;=160,                 AJ66&gt;1650000),                      55%,
 AND(AY66="BEV",    AZ66&gt; 160,                 AJ66&lt;=1650000),                     65%,
 AND(AY66="BEV",    AZ66&gt; 160,                 AJ66&gt;1650000),                      75%)</f>
        <v>1.7</v>
      </c>
      <c r="AY66" s="80" t="str">
        <f>_xlfn.XLOOKUP(A66,'[1]My Input'!$B:$B,'[1]My Input'!$V:$V)</f>
        <v>ICE</v>
      </c>
      <c r="AZ66" s="80" t="str">
        <f>_xlfn.IFNA(_xlfn.XLOOKUP(A66,'[1]kW Tescil'!$A:$A,'[1]kW Tescil'!$C:$C),"-")</f>
        <v>-</v>
      </c>
      <c r="BA66" s="81">
        <f>_xlfn.XLOOKUP(A66,'[1]My Input'!$B:$B,'[1]My Input'!$H:$H)</f>
        <v>0</v>
      </c>
      <c r="BC66" s="82">
        <v>33.698717037617925</v>
      </c>
      <c r="BD66" s="82">
        <v>22.346001257857651</v>
      </c>
      <c r="BF66" s="83">
        <v>36.965802129926374</v>
      </c>
      <c r="BG66" s="83">
        <v>25.906636419573047</v>
      </c>
      <c r="BI66" s="84">
        <v>4048031.9612766104</v>
      </c>
      <c r="BL66" s="83">
        <v>35.982361285934061</v>
      </c>
    </row>
    <row r="67" spans="1:64" s="74" customFormat="1" ht="15" customHeight="1" thickBot="1" x14ac:dyDescent="0.3">
      <c r="A67" s="57" t="s">
        <v>110</v>
      </c>
      <c r="B67" s="57" t="str">
        <f t="shared" si="342"/>
        <v>BMW520d xDrive SedanM Sport</v>
      </c>
      <c r="C67" s="58" t="s">
        <v>37</v>
      </c>
      <c r="D67" s="94" t="s">
        <v>44</v>
      </c>
      <c r="E67" s="95" t="s">
        <v>111</v>
      </c>
      <c r="F67" s="152" t="s">
        <v>53</v>
      </c>
      <c r="G67" s="65"/>
      <c r="H67" s="98">
        <v>10940800</v>
      </c>
      <c r="I67" s="99">
        <v>100</v>
      </c>
      <c r="J67" s="65">
        <v>0.06</v>
      </c>
      <c r="K67" s="100">
        <f t="shared" si="343"/>
        <v>10940800</v>
      </c>
      <c r="L67" s="99">
        <v>100</v>
      </c>
      <c r="M67" s="65"/>
      <c r="N67" s="100">
        <f t="shared" si="344"/>
        <v>10284352</v>
      </c>
      <c r="O67" s="98">
        <f t="shared" si="345"/>
        <v>10284352</v>
      </c>
      <c r="P67" s="99">
        <v>100</v>
      </c>
      <c r="Q67" s="99">
        <v>100</v>
      </c>
      <c r="R67" s="67">
        <f>_xlfn.XLOOKUP(A67,'[1]My Input'!$B:$B,'[1]My Input'!$F:$F)</f>
        <v>0.03</v>
      </c>
      <c r="S67" s="65"/>
      <c r="T67" s="100">
        <f t="shared" si="340"/>
        <v>10284352</v>
      </c>
      <c r="U67" s="98">
        <f t="shared" si="341"/>
        <v>10284352</v>
      </c>
      <c r="V67" s="99">
        <v>100</v>
      </c>
      <c r="W67" s="99">
        <v>100</v>
      </c>
      <c r="X67" s="102">
        <f>_xlfn.XLOOKUP(A67,'[1]My Input'!$B:$B,'[1]My Input'!$I:$I)</f>
        <v>0</v>
      </c>
      <c r="Y67" s="65"/>
      <c r="Z67" s="100">
        <f t="shared" si="346"/>
        <v>10456009.699999999</v>
      </c>
      <c r="AA67" s="98">
        <f t="shared" si="347"/>
        <v>10456009.699999999</v>
      </c>
      <c r="AB67" s="99">
        <v>100</v>
      </c>
      <c r="AC67" s="99">
        <v>100</v>
      </c>
      <c r="AD67" s="98">
        <f>_xlfn.XLOOKUP(A67,'[1]My Input'!$B:$B,'[1]My Input'!$N:$N)</f>
        <v>156566.29999999999</v>
      </c>
      <c r="AE67" s="70"/>
      <c r="AF67" s="71">
        <f>_xlfn.XLOOKUP(A67,'[1]My Input'!$B:$B,'[1]My Input'!$E:$E)</f>
        <v>0.03</v>
      </c>
      <c r="AG67" s="72">
        <f>_xlfn.XLOOKUP(A67,'[1]My Input'!$B:$B,'[1]My Input'!$G:$G)</f>
        <v>0.06</v>
      </c>
      <c r="AH67" s="73">
        <f t="shared" si="348"/>
        <v>3376790.1234567901</v>
      </c>
      <c r="AJ67" s="73">
        <f t="shared" si="349"/>
        <v>3275486.4197530863</v>
      </c>
      <c r="AK67" s="75">
        <f t="shared" si="350"/>
        <v>3174182.7160493825</v>
      </c>
      <c r="AL67" s="76">
        <f t="shared" si="351"/>
        <v>3376790.1234567901</v>
      </c>
      <c r="AM67" s="76">
        <f t="shared" si="352"/>
        <v>3275486.4197530863</v>
      </c>
      <c r="AN67" s="76">
        <f t="shared" si="353"/>
        <v>3174182.7160493825</v>
      </c>
      <c r="AO67" s="77">
        <f>_xlfn.XLOOKUP(A67,'[1]My Input'!$B:$B,'[1]My Input'!$T:$T)</f>
        <v>0</v>
      </c>
      <c r="AP67" s="78">
        <f>_xlfn.XLOOKUP(A67,'[1]My Input'!$B:$B,'[1]My Input'!$S:$S)</f>
        <v>2000</v>
      </c>
      <c r="AQ67" s="67">
        <f>_xlfn.XLOOKUP(A67,'[1]My Input'!$B:$B,'[1]My Input'!$U:$U)</f>
        <v>1.7</v>
      </c>
      <c r="AS67" s="103">
        <f>_xlfn.XLOOKUP(A67,'[1]My Input'!$B:$B,'[1]My Input'!$Q:$Q)</f>
        <v>0</v>
      </c>
      <c r="AU67" s="74" t="s">
        <v>41</v>
      </c>
      <c r="AV67" s="67" cm="1">
        <f t="array" ref="AV67">_xlfn.IFS(
 AND(AY67="ICE",  AP67&lt;=1400,AND(AK67&gt;900000,  AK67&lt;=1100000)),                    80%,
 AND(AY67="ICE",  AP67&lt;=1400,AK67&gt;1100000),                                       90%,
 AND(AY67="ICE",  AND(AP67&gt;1400,AP67&lt;=1600),   AK67&lt;=850000),                      75%,
 AND(AY67="ICE",  AND(AP67&gt;1400,AP67&lt;=1600),   AND(AK67&gt;850000,AK67&lt;=1100000)),     80%,
 AND(AY67="ICE",  AND(AP67&gt;1400,AP67&lt;=1600),   AND(AK67&gt;1100000,AK67&lt;=1650000)),    90%,
 AND(AY67="ICE",  AND(AP67&gt;1400,AP67&lt;=1600),   AK67&gt;1650000),                      100%,
 AND(AY67="ICE",  AND(AP67&gt;1600,AP67&lt;=2000),   AK67&lt;=1650000),                     150%,
 AND(AY67="ICE",  AND(AP67&gt;1600,AP67&lt;=2000),   AK67&gt;1650000),                      170%,
 AND(AY67="ICE",  AP67&gt;2000),                                                    220%,
 AND(AY67="PHEV",  AP67&lt;=1600,                AK67&lt;=1350000),                     45%,
 AND(AY67="PHEV",  AP67&lt;=1600,                AK67&gt;1350000),                      75%,
 AND(AY67="PHEV",  AND(AP67&gt;1600,AP67&lt;=1800),  AK67&lt;=1350000),                     85%,
 AND(AY67="BEV",    AZ67&lt;=160,                 AK67&lt;=1650000),                     25%,
 AND(AY67="BEV",    AZ67&lt;=160,                 AK67&gt;1650000),                      55%,
 AND(AY67="BEV",    AZ67&gt; 160,                 AK67&lt;=1650000),                     65%,
 AND(AY67="BEV",    AZ67&gt; 160,                 AK67&gt;1650000),                      75%)</f>
        <v>1.7</v>
      </c>
      <c r="AW67" s="67" cm="1">
        <f t="array" ref="AW67">_xlfn.IFS(
 X67=0,AV67,
 AND(AY67="ICE",  AP67&lt;=1400,AND((AJ67-BA67)&gt;900000,  (AJ67-BA67)&lt;=1100000)),                    80%,
 AND(AY67="ICE",  AP67&lt;=1400,(AJ67-BA67)&gt;1100000),                                       90%,
 AND(AY67="ICE",  AND(AP67&gt;1400,AP67&lt;=1600),   (AJ67-BA67)&lt;=850000),                      75%,
 AND(AY67="ICE",  AND(AP67&gt;1400,AP67&lt;=1600),   AND((AJ67-BA67)&gt;850000,(AJ67-BA67)&lt;=1100000)),     80%,
 AND(AY67="ICE",  AND(AP67&gt;1400,AP67&lt;=1600),   AND((AJ67-BA67)&gt;1100000,(AJ67-BA67)&lt;=1650000)),    90%,
 AND(AY67="ICE",  AND(AP67&gt;1400,AP67&lt;=1600),   (AJ67-BA67)&gt;1650000),                      100%,
 AND(AY67="ICE",  AND(AP67&gt;1600,AP67&lt;=2000),   (AJ67-BA67)&lt;=1650000),                     150%,
 AND(AY67="ICE",  AND(AP67&gt;1600,AP67&lt;=2000),   (AJ67-BA67)&gt;1650000),                      170%,
 AND(AY67="ICE",  AP67&gt;2000),                                                    220%,
 AND(AY67="PHEV",  AP67&lt;=1600,                (AJ67-BA67)&lt;=1350000),                     45%,
 AND(AY67="PHEV",  AP67&lt;=1600,                (AJ67-BA67)&gt;1350000),                      75%,
 AND(AY67="PHEV",  AND(AP67&gt;1600,AP67&lt;=1800),  (AJ67-BA67)&lt;=1350000),                     85%,
 AND(AY67="BEV",    AZ67&lt;=160,                 (AJ67-BA67)&lt;=1650000),                     25%,
 AND(AY67="BEV",    AZ67&lt;=160,                 (AJ67-BA67)&gt;1650000),                      55%,
 AND(AY67="BEV",    AZ67&gt; 160,                 (AJ67-BA67)&lt;=1650000),                     65%,
 AND(AY67="BEV",    AZ67&gt; 160,                 (AJ67-BA67)&gt;1650000),                      75%)</f>
        <v>1.7</v>
      </c>
      <c r="AX67" s="67" cm="1">
        <f t="array" ref="AX67">_xlfn.IFS(
 AD67=0,AV67,
 AND(AY67="ICE",  AP67&lt;=1400,AND(AJ67&gt;900000,  AJ67&lt;=1100000)),                    80%,
 AND(AY67="ICE",  AP67&lt;=1400,AJ67&gt;1100000),                                       90%,
 AND(AY67="ICE",  AND(AP67&gt;1400,AP67&lt;=1600),   AJ67&lt;=850000),                      75%,
 AND(AY67="ICE",  AND(AP67&gt;1400,AP67&lt;=1600),   AND(AJ67&gt;850000,AJ67&lt;=1100000)),     80%,
 AND(AY67="ICE",  AND(AP67&gt;1400,AP67&lt;=1600),   AND(AJ67&gt;1100000,AJ67&lt;=1650000)),    90%,
 AND(AY67="ICE",  AND(AP67&gt;1400,AP67&lt;=1600),   AJ67&gt;1650000),                      100%,
 AND(AY67="ICE",  AND(AP67&gt;1600,AP67&lt;=2000),   AJ67&lt;=1650000),                     150%,
 AND(AY67="ICE",  AND(AP67&gt;1600,AP67&lt;=2000),   AJ67&gt;1650000),                      170%,
 AND(AY67="ICE",  AP67&gt;2000),                                                    220%,
 AND(AY67="PHEV",  AP67&lt;=1600,                AJ67&lt;=1350000),                     45%,
 AND(AY67="PHEV",  AP67&lt;=1600,                AJ67&gt;1350000),                      75%,
 AND(AY67="PHEV",  AND(AP67&gt;1600,AP67&lt;=1800),  AJ67&lt;=1350000),                     85%,
 AND(AY67="BEV",    AZ67&lt;=160,                 AJ67&lt;=1650000),                     25%,
 AND(AY67="BEV",    AZ67&lt;=160,                 AJ67&gt;1650000),                      55%,
 AND(AY67="BEV",    AZ67&gt; 160,                 AJ67&lt;=1650000),                     65%,
 AND(AY67="BEV",    AZ67&gt; 160,                 AJ67&gt;1650000),                      75%)</f>
        <v>1.7</v>
      </c>
      <c r="AY67" s="80" t="str">
        <f>_xlfn.XLOOKUP(A67,'[1]My Input'!$B:$B,'[1]My Input'!$V:$V)</f>
        <v>ICE</v>
      </c>
      <c r="AZ67" s="80" t="str">
        <f>_xlfn.IFNA(_xlfn.XLOOKUP(A67,'[1]kW Tescil'!$A:$A,'[1]kW Tescil'!$C:$C),"-")</f>
        <v>-</v>
      </c>
      <c r="BA67" s="81">
        <f>_xlfn.XLOOKUP(A67,'[1]My Input'!$B:$B,'[1]My Input'!$H:$H)</f>
        <v>0</v>
      </c>
      <c r="BC67" s="82">
        <v>0</v>
      </c>
      <c r="BD67" s="82">
        <v>0</v>
      </c>
      <c r="BF67" s="83">
        <v>0</v>
      </c>
      <c r="BG67" s="83">
        <v>0</v>
      </c>
      <c r="BI67" s="84">
        <v>703339.49799999781</v>
      </c>
      <c r="BL67" s="83">
        <v>0</v>
      </c>
    </row>
    <row r="68" spans="1:64" s="74" customFormat="1" ht="7.15" customHeight="1" thickBot="1" x14ac:dyDescent="0.3">
      <c r="A68" s="57"/>
      <c r="B68" s="57"/>
      <c r="C68" s="216"/>
      <c r="D68" s="195"/>
      <c r="E68" s="87"/>
      <c r="F68" s="87"/>
      <c r="G68" s="217"/>
      <c r="H68" s="218"/>
      <c r="I68" s="219"/>
      <c r="J68" s="65"/>
      <c r="K68" s="218"/>
      <c r="L68" s="219"/>
      <c r="M68" s="217"/>
      <c r="N68" s="218"/>
      <c r="O68" s="218"/>
      <c r="P68" s="219"/>
      <c r="Q68" s="219"/>
      <c r="R68" s="196"/>
      <c r="S68" s="217"/>
      <c r="T68" s="218"/>
      <c r="U68" s="218"/>
      <c r="V68" s="219"/>
      <c r="W68" s="219"/>
      <c r="X68" s="191"/>
      <c r="Y68" s="217"/>
      <c r="Z68" s="218"/>
      <c r="AA68" s="218"/>
      <c r="AB68" s="219"/>
      <c r="AC68" s="219"/>
      <c r="AD68" s="190"/>
      <c r="AE68" s="220"/>
      <c r="AF68" s="115"/>
      <c r="AG68" s="19"/>
      <c r="AH68" s="199"/>
      <c r="AI68" s="218"/>
      <c r="AJ68" s="199"/>
      <c r="AK68" s="198"/>
      <c r="AL68" s="199"/>
      <c r="AM68" s="76"/>
      <c r="AN68" s="199"/>
      <c r="AO68" s="200"/>
      <c r="AP68" s="78"/>
      <c r="AQ68" s="67"/>
      <c r="AR68" s="218"/>
      <c r="AS68" s="221"/>
      <c r="AT68" s="218"/>
      <c r="AU68" s="74" t="s">
        <v>41</v>
      </c>
      <c r="AV68" s="67"/>
      <c r="AW68" s="67"/>
      <c r="AX68" s="67"/>
      <c r="AY68" s="80"/>
      <c r="AZ68" s="80"/>
      <c r="BA68" s="81"/>
      <c r="BC68" s="82">
        <v>0</v>
      </c>
      <c r="BD68" s="82">
        <v>0</v>
      </c>
      <c r="BF68" s="83">
        <v>0</v>
      </c>
      <c r="BG68" s="83">
        <v>0</v>
      </c>
      <c r="BI68" s="84">
        <v>0</v>
      </c>
      <c r="BL68" s="83">
        <v>0</v>
      </c>
    </row>
    <row r="69" spans="1:64" s="74" customFormat="1" ht="15" hidden="1" customHeight="1" thickBot="1" x14ac:dyDescent="0.3">
      <c r="A69" s="57" t="s">
        <v>112</v>
      </c>
      <c r="B69" s="57" t="str">
        <f t="shared" ref="B69:B154" si="354">D69&amp;E69&amp;F69</f>
        <v>MBS 450 d 4MATIC LongInspiration</v>
      </c>
      <c r="C69" s="58" t="s">
        <v>37</v>
      </c>
      <c r="D69" s="59" t="s">
        <v>47</v>
      </c>
      <c r="E69" s="60" t="s">
        <v>113</v>
      </c>
      <c r="F69" s="61" t="s">
        <v>114</v>
      </c>
      <c r="G69" s="178"/>
      <c r="H69" s="63">
        <f>20535352</f>
        <v>20535352</v>
      </c>
      <c r="I69" s="64">
        <f>H69/$H$72*$I$72</f>
        <v>98.5438316985623</v>
      </c>
      <c r="J69" s="157"/>
      <c r="K69" s="66">
        <f>(((H69-AO69)/(1+AQ69)/1.2/$AS$1)+AS69)*(1+AQ69)*(1.2)*$AS$1+AO69</f>
        <v>20654094.400000006</v>
      </c>
      <c r="L69" s="64">
        <f>K69/$K$72*$L$72</f>
        <v>99.11364569936849</v>
      </c>
      <c r="M69" s="157"/>
      <c r="N69" s="66">
        <f>AN69*1.2*(1+AV69)+AO69</f>
        <v>19414848.736000001</v>
      </c>
      <c r="O69" s="63">
        <f>AK69*1.2*(1+AV69)+AO69</f>
        <v>19303230.880000003</v>
      </c>
      <c r="P69" s="64">
        <f>IF(ISNUMBER(O69),O69/$O$72*$P$72,"")</f>
        <v>100.68608890940065</v>
      </c>
      <c r="Q69" s="64">
        <f>IF(ISNUMBER(N69),N69/$N$72*$Q$72,"")</f>
        <v>101.26829017109387</v>
      </c>
      <c r="R69" s="67">
        <f>_xlfn.XLOOKUP(A69,'[1]My Input'!$B:$B,'[1]My Input'!$F:$F)</f>
        <v>0</v>
      </c>
      <c r="S69" s="157"/>
      <c r="T69" s="66">
        <f>IF(X69&lt;&gt;0,AM69*1.2*(1+AW69)+AO69-X69,AN69*1.2*(1+AV69)+AO69)</f>
        <v>19414848.736000001</v>
      </c>
      <c r="U69" s="63">
        <f>IF(X69&lt;&gt;0,AJ69*1.2*(1+AW69)+AO69-X69,AK69*1.2*(1+AV69)+AO69)</f>
        <v>19303230.880000003</v>
      </c>
      <c r="V69" s="64">
        <f>IF(ISNUMBER(U69),U69/$U$72*$V$72,"")</f>
        <v>101.79076881669739</v>
      </c>
      <c r="W69" s="64">
        <f>IF(ISNUMBER(T69),T69/$T$72*$W$72,"")</f>
        <v>102.37935771388986</v>
      </c>
      <c r="X69" s="68">
        <f>_xlfn.XLOOKUP(A69,'[1]My Input'!$B:$B,'[1]My Input'!$I:$I)</f>
        <v>0</v>
      </c>
      <c r="Y69" s="157"/>
      <c r="Z69" s="66">
        <f t="shared" ref="Z69:Z154" si="355">IF(AD69&lt;&gt;0,AM69*1.2*(1+AQ69)+AO69-AD69,AL69*(1-AG69)*1.2*(1+AQ69)+AO69)</f>
        <v>19334031.906000003</v>
      </c>
      <c r="AA69" s="63">
        <f>IF(AD69&lt;&gt;0,AJ69*1.2*(1+AX69)+AO69-AD69,AH69*(1-AG69)*1.2*(1+AV69)+AO69)</f>
        <v>19222414.050000004</v>
      </c>
      <c r="AB69" s="64">
        <f>IF(ISNUMBER(AA69),AA69/$AA$72*$AB$72,"")</f>
        <v>96.897536848155681</v>
      </c>
      <c r="AC69" s="64">
        <f>IF(ISNUMBER(Z69),Z69/$Z$72*$AC$72,"")</f>
        <v>97.460187058818022</v>
      </c>
      <c r="AD69" s="69">
        <f>_xlfn.XLOOKUP(A69,'[1]My Input'!$B:$B,'[1]My Input'!$N:$N)</f>
        <v>80816.83</v>
      </c>
      <c r="AE69" s="70"/>
      <c r="AF69" s="71">
        <f>_xlfn.XLOOKUP(A69,'[1]My Input'!$B:$B,'[1]My Input'!$E:$E)</f>
        <v>0.06</v>
      </c>
      <c r="AG69" s="72">
        <f>_xlfn.XLOOKUP(A69,'[1]My Input'!$B:$B,'[1]My Input'!$G:$G)</f>
        <v>0.06</v>
      </c>
      <c r="AH69" s="73">
        <f>(H69-AO69)/1.2/(1+AQ69)</f>
        <v>5347747.916666667</v>
      </c>
      <c r="AJ69" s="73">
        <f>AH69*(1-AF69)</f>
        <v>5026883.041666667</v>
      </c>
      <c r="AK69" s="75">
        <f>AH69*(1-AF69-R69)</f>
        <v>5026883.041666667</v>
      </c>
      <c r="AL69" s="76">
        <f>(K69-AO69)/1.2/(1+AQ69)</f>
        <v>5378670.4166666679</v>
      </c>
      <c r="AM69" s="76">
        <f>AL69*(1-AF69)</f>
        <v>5055950.1916666673</v>
      </c>
      <c r="AN69" s="76">
        <f>AL69*(1-AF69-R69)</f>
        <v>5055950.1916666673</v>
      </c>
      <c r="AO69" s="77">
        <f>_xlfn.XLOOKUP(A69,'[1]My Input'!$B:$B,'[1]My Input'!$T:$T)</f>
        <v>0</v>
      </c>
      <c r="AP69" s="78">
        <f>_xlfn.XLOOKUP(A69,'[1]My Input'!$B:$B,'[1]My Input'!$S:$S)</f>
        <v>3000</v>
      </c>
      <c r="AQ69" s="67">
        <f>_xlfn.XLOOKUP(A69,'[1]My Input'!$B:$B,'[1]My Input'!$U:$U)</f>
        <v>2.2000000000000002</v>
      </c>
      <c r="AS69" s="233">
        <v>589</v>
      </c>
      <c r="AU69" s="74" t="s">
        <v>41</v>
      </c>
      <c r="AV69" s="67" cm="1">
        <f t="array" ref="AV69">_xlfn.IFS(
 AND(AY69="ICE",  AP69&lt;=1400,AND(AK69&gt;900000,  AK69&lt;=1100000)),                    80%,
 AND(AY69="ICE",  AP69&lt;=1400,AK69&gt;1100000),                                       90%,
 AND(AY69="ICE",  AND(AP69&gt;1400,AP69&lt;=1600),   AK69&lt;=850000),                      75%,
 AND(AY69="ICE",  AND(AP69&gt;1400,AP69&lt;=1600),   AND(AK69&gt;850000,AK69&lt;=1100000)),     80%,
 AND(AY69="ICE",  AND(AP69&gt;1400,AP69&lt;=1600),   AND(AK69&gt;1100000,AK69&lt;=1650000)),    90%,
 AND(AY69="ICE",  AND(AP69&gt;1400,AP69&lt;=1600),   AK69&gt;1650000),                      100%,
 AND(AY69="ICE",  AND(AP69&gt;1600,AP69&lt;=2000),   AK69&lt;=1650000),                     150%,
 AND(AY69="ICE",  AND(AP69&gt;1600,AP69&lt;=2000),   AK69&gt;1650000),                      170%,
 AND(AY69="ICE",  AP69&gt;2000),                                                    220%,
 AND(AY69="PHEV",  AP69&lt;=1600,                AK69&lt;=1350000),                     45%,
 AND(AY69="PHEV",  AP69&lt;=1600,                AK69&gt;1350000),                      75%,
 AND(AY69="PHEV",  AND(AP69&gt;1600,AP69&lt;=1800),  AK69&lt;=1350000),                     85%,
 AND(AY69="BEV",    AZ69&lt;=160,                 AK69&lt;=1650000),                     25%,
 AND(AY69="BEV",    AZ69&lt;=160,                 AK69&gt;1650000),                      55%,
 AND(AY69="BEV",    AZ69&gt; 160,                 AK69&lt;=1650000),                     65%,
 AND(AY69="BEV",    AZ69&gt; 160,                 AK69&gt;1650000),                      75%)</f>
        <v>2.2000000000000002</v>
      </c>
      <c r="AW69" s="67" cm="1">
        <f t="array" ref="AW69">_xlfn.IFS(
 X69=0,AV69,
 AND(AY69="ICE",  AP69&lt;=1400,AND((AJ69-BA69)&gt;900000,  (AJ69-BA69)&lt;=1100000)),                    80%,
 AND(AY69="ICE",  AP69&lt;=1400,(AJ69-BA69)&gt;1100000),                                       90%,
 AND(AY69="ICE",  AND(AP69&gt;1400,AP69&lt;=1600),   (AJ69-BA69)&lt;=850000),                      75%,
 AND(AY69="ICE",  AND(AP69&gt;1400,AP69&lt;=1600),   AND((AJ69-BA69)&gt;850000,(AJ69-BA69)&lt;=1100000)),     80%,
 AND(AY69="ICE",  AND(AP69&gt;1400,AP69&lt;=1600),   AND((AJ69-BA69)&gt;1100000,(AJ69-BA69)&lt;=1650000)),    90%,
 AND(AY69="ICE",  AND(AP69&gt;1400,AP69&lt;=1600),   (AJ69-BA69)&gt;1650000),                      100%,
 AND(AY69="ICE",  AND(AP69&gt;1600,AP69&lt;=2000),   (AJ69-BA69)&lt;=1650000),                     150%,
 AND(AY69="ICE",  AND(AP69&gt;1600,AP69&lt;=2000),   (AJ69-BA69)&gt;1650000),                      170%,
 AND(AY69="ICE",  AP69&gt;2000),                                                    220%,
 AND(AY69="PHEV",  AP69&lt;=1600,                (AJ69-BA69)&lt;=1350000),                     45%,
 AND(AY69="PHEV",  AP69&lt;=1600,                (AJ69-BA69)&gt;1350000),                      75%,
 AND(AY69="PHEV",  AND(AP69&gt;1600,AP69&lt;=1800),  (AJ69-BA69)&lt;=1350000),                     85%,
 AND(AY69="BEV",    AZ69&lt;=160,                 (AJ69-BA69)&lt;=1650000),                     25%,
 AND(AY69="BEV",    AZ69&lt;=160,                 (AJ69-BA69)&gt;1650000),                      55%,
 AND(AY69="BEV",    AZ69&gt; 160,                 (AJ69-BA69)&lt;=1650000),                     65%,
 AND(AY69="BEV",    AZ69&gt; 160,                 (AJ69-BA69)&gt;1650000),                      75%)</f>
        <v>2.2000000000000002</v>
      </c>
      <c r="AX69" s="67" cm="1">
        <f t="array" ref="AX69">_xlfn.IFS(
 AD69=0,AV69,
 AND(AY69="ICE",  AP69&lt;=1400,AND(AJ69&gt;900000,  AJ69&lt;=1100000)),                    80%,
 AND(AY69="ICE",  AP69&lt;=1400,AJ69&gt;1100000),                                       90%,
 AND(AY69="ICE",  AND(AP69&gt;1400,AP69&lt;=1600),   AJ69&lt;=850000),                      75%,
 AND(AY69="ICE",  AND(AP69&gt;1400,AP69&lt;=1600),   AND(AJ69&gt;850000,AJ69&lt;=1100000)),     80%,
 AND(AY69="ICE",  AND(AP69&gt;1400,AP69&lt;=1600),   AND(AJ69&gt;1100000,AJ69&lt;=1650000)),    90%,
 AND(AY69="ICE",  AND(AP69&gt;1400,AP69&lt;=1600),   AJ69&gt;1650000),                      100%,
 AND(AY69="ICE",  AND(AP69&gt;1600,AP69&lt;=2000),   AJ69&lt;=1650000),                     150%,
 AND(AY69="ICE",  AND(AP69&gt;1600,AP69&lt;=2000),   AJ69&gt;1650000),                      170%,
 AND(AY69="ICE",  AP69&gt;2000),                                                    220%,
 AND(AY69="PHEV",  AP69&lt;=1600,                AJ69&lt;=1350000),                     45%,
 AND(AY69="PHEV",  AP69&lt;=1600,                AJ69&gt;1350000),                      75%,
 AND(AY69="PHEV",  AND(AP69&gt;1600,AP69&lt;=1800),  AJ69&lt;=1350000),                     85%,
 AND(AY69="BEV",    AZ69&lt;=160,                 AJ69&lt;=1650000),                     25%,
 AND(AY69="BEV",    AZ69&lt;=160,                 AJ69&gt;1650000),                      55%,
 AND(AY69="BEV",    AZ69&gt; 160,                 AJ69&lt;=1650000),                     65%,
 AND(AY69="BEV",    AZ69&gt; 160,                 AJ69&gt;1650000),                      75%)</f>
        <v>2.2000000000000002</v>
      </c>
      <c r="AY69" s="80" t="str">
        <f>_xlfn.XLOOKUP(A69,'[1]My Input'!$B:$B,'[1]My Input'!$V:$V)</f>
        <v>ICE</v>
      </c>
      <c r="AZ69" s="80" t="str">
        <f>_xlfn.IFNA(_xlfn.XLOOKUP(A69,'[1]kW Tescil'!$A:$A,'[1]kW Tescil'!$C:$C),"-")</f>
        <v>-</v>
      </c>
      <c r="BA69" s="81">
        <f>_xlfn.XLOOKUP(A69,'[1]My Input'!$B:$B,'[1]My Input'!$H:$H)</f>
        <v>0</v>
      </c>
      <c r="BC69" s="82">
        <v>0.55026116627374222</v>
      </c>
      <c r="BD69" s="82">
        <v>4.5688611553730283</v>
      </c>
      <c r="BF69" s="83">
        <v>1.519610961003707</v>
      </c>
      <c r="BG69" s="83">
        <v>5.550851718241276</v>
      </c>
      <c r="BI69" s="84">
        <v>696767.11319999769</v>
      </c>
      <c r="BL69" s="83">
        <v>1.6360403478014547</v>
      </c>
    </row>
    <row r="70" spans="1:64" ht="15" customHeight="1" x14ac:dyDescent="0.25">
      <c r="A70" s="1" t="s">
        <v>112</v>
      </c>
      <c r="B70" s="1" t="str">
        <f t="shared" si="354"/>
        <v>MBS 450 d 4MATIC LongInspiration</v>
      </c>
      <c r="C70" s="85" t="s">
        <v>42</v>
      </c>
      <c r="D70" s="59" t="s">
        <v>47</v>
      </c>
      <c r="E70" s="222" t="s">
        <v>113</v>
      </c>
      <c r="F70" s="61" t="s">
        <v>114</v>
      </c>
      <c r="G70" s="234"/>
      <c r="H70" s="63">
        <v>22598840</v>
      </c>
      <c r="I70" s="64">
        <f>H70/$H$72*$I$72</f>
        <v>108.44597577595638</v>
      </c>
      <c r="J70" s="65">
        <v>0.06</v>
      </c>
      <c r="K70" s="66">
        <f>(((H70-AO70)/(1+AQ70)/1.2/$AS$1)+AS70)*(1+AQ70)*(1.2)*$AS$1+AO70</f>
        <v>22717582.400000002</v>
      </c>
      <c r="L70" s="235">
        <f>K70/$K$72*$L$72</f>
        <v>109.01578977676256</v>
      </c>
      <c r="M70" s="161"/>
      <c r="N70" s="66">
        <f>AN70*1.2*(1+AV70)+AO70</f>
        <v>21354527.456</v>
      </c>
      <c r="O70" s="63">
        <f>AK70*1.2*(1+AV70)+AO70</f>
        <v>21242909.599999998</v>
      </c>
      <c r="P70" s="64">
        <f>IF(ISNUMBER(O70),O70/$O$72*$P$72,"")</f>
        <v>110.80349698847718</v>
      </c>
      <c r="Q70" s="64">
        <f>IF(ISNUMBER(N70),N70/$N$72*$Q$72,"")</f>
        <v>111.38569825017044</v>
      </c>
      <c r="R70" s="67">
        <f>_xlfn.XLOOKUP(A70,'[1]My Input'!$B:$B,'[1]My Input'!$F:$F)</f>
        <v>0</v>
      </c>
      <c r="S70" s="161"/>
      <c r="T70" s="66">
        <f>IF(X70&lt;&gt;0,AM70*1.2*(1+AW70)+AO70-X70,AN70*1.2*(1+AV70)+AO70)</f>
        <v>21354527.456</v>
      </c>
      <c r="U70" s="63">
        <f>IF(X70&lt;&gt;0,AJ70*1.2*(1+AW70)+AO70-X70,AK70*1.2*(1+AV70)+AO70)</f>
        <v>21242909.599999998</v>
      </c>
      <c r="V70" s="64">
        <f>IF(ISNUMBER(U70),U70/$U$72*$V$72,"")</f>
        <v>112.01918028799962</v>
      </c>
      <c r="W70" s="64">
        <f>IF(ISNUMBER(T70),T70/$T$72*$W$72,"")</f>
        <v>112.60776918519208</v>
      </c>
      <c r="X70" s="68">
        <f>_xlfn.XLOOKUP(A70,'[1]My Input'!$B:$B,'[1]My Input'!$I:$I)</f>
        <v>0</v>
      </c>
      <c r="Y70" s="161"/>
      <c r="Z70" s="66">
        <f t="shared" si="355"/>
        <v>21273710.626000002</v>
      </c>
      <c r="AA70" s="63">
        <f>IF(AD70&lt;&gt;0,AJ70*1.2*(1+AX70)+AO70-AD70,AH70*(1-AG70)*1.2*(1+AV70)+AO70)</f>
        <v>21162092.77</v>
      </c>
      <c r="AB70" s="64">
        <f>IF(ISNUMBER(AA70),AA70/$AA$72*$AB$72,"")</f>
        <v>106.67518963182272</v>
      </c>
      <c r="AC70" s="64">
        <f>IF(ISNUMBER(Z70),Z70/$Z$72*$AC$72,"")</f>
        <v>107.2378398424851</v>
      </c>
      <c r="AD70" s="69">
        <f>_xlfn.XLOOKUP(A70,'[1]My Input'!$B:$B,'[1]My Input'!$N:$N)</f>
        <v>80816.83</v>
      </c>
      <c r="AE70" s="129"/>
      <c r="AF70" s="71">
        <f>_xlfn.XLOOKUP(A70,'[1]My Input'!$B:$B,'[1]My Input'!$E:$E)</f>
        <v>0.06</v>
      </c>
      <c r="AG70" s="131">
        <f>SUM(AF70,R70)</f>
        <v>0.06</v>
      </c>
      <c r="AH70" s="132">
        <f>(H70-AO70)/1.2/(1+AQ70)</f>
        <v>5885114.583333333</v>
      </c>
      <c r="AJ70" s="132">
        <f>AH70*(1-AF70)</f>
        <v>5532007.708333333</v>
      </c>
      <c r="AK70" s="133">
        <f>AH70*(1-AF70-R70)</f>
        <v>5532007.708333333</v>
      </c>
      <c r="AL70" s="134">
        <f>(K70-AO70)/1.2/(1+AQ70)</f>
        <v>5916037.083333333</v>
      </c>
      <c r="AM70" s="134">
        <f>AL70*(1-AF70)</f>
        <v>5561074.8583333325</v>
      </c>
      <c r="AN70" s="134">
        <f>AL70*(1-AF70-R70)</f>
        <v>5561074.8583333325</v>
      </c>
      <c r="AO70" s="135">
        <f>_xlfn.XLOOKUP(A70,'[1]My Input'!$B:$B,'[1]My Input'!$T:$T)</f>
        <v>0</v>
      </c>
      <c r="AP70" s="136">
        <f>_xlfn.XLOOKUP(A70,'[1]My Input'!$B:$B,'[1]My Input'!$S:$S)</f>
        <v>3000</v>
      </c>
      <c r="AQ70" s="137">
        <f>_xlfn.XLOOKUP(A70,'[1]My Input'!$B:$B,'[1]My Input'!$U:$U)</f>
        <v>2.2000000000000002</v>
      </c>
      <c r="AS70" s="186">
        <v>589</v>
      </c>
      <c r="AT70" s="236"/>
      <c r="AU70" s="17" t="s">
        <v>41</v>
      </c>
      <c r="AV70" s="137" cm="1">
        <f t="array" ref="AV70">_xlfn.IFS(
 AND(AY70="ICE",  AP70&lt;=1400,AND(AK70&gt;900000,  AK70&lt;=1100000)),                    80%,
 AND(AY70="ICE",  AP70&lt;=1400,AK70&gt;1100000),                                       90%,
 AND(AY70="ICE",  AND(AP70&gt;1400,AP70&lt;=1600),   AK70&lt;=850000),                      75%,
 AND(AY70="ICE",  AND(AP70&gt;1400,AP70&lt;=1600),   AND(AK70&gt;850000,AK70&lt;=1100000)),     80%,
 AND(AY70="ICE",  AND(AP70&gt;1400,AP70&lt;=1600),   AND(AK70&gt;1100000,AK70&lt;=1650000)),    90%,
 AND(AY70="ICE",  AND(AP70&gt;1400,AP70&lt;=1600),   AK70&gt;1650000),                      100%,
 AND(AY70="ICE",  AND(AP70&gt;1600,AP70&lt;=2000),   AK70&lt;=1650000),                     150%,
 AND(AY70="ICE",  AND(AP70&gt;1600,AP70&lt;=2000),   AK70&gt;1650000),                      170%,
 AND(AY70="ICE",  AP70&gt;2000),                                                    220%,
 AND(AY70="PHEV",  AP70&lt;=1600,                AK70&lt;=1350000),                     45%,
 AND(AY70="PHEV",  AP70&lt;=1600,                AK70&gt;1350000),                      75%,
 AND(AY70="PHEV",  AND(AP70&gt;1600,AP70&lt;=1800),  AK70&lt;=1350000),                     85%,
 AND(AY70="BEV",    AZ70&lt;=160,                 AK70&lt;=1650000),                     25%,
 AND(AY70="BEV",    AZ70&lt;=160,                 AK70&gt;1650000),                      55%,
 AND(AY70="BEV",    AZ70&gt; 160,                 AK70&lt;=1650000),                     65%,
 AND(AY70="BEV",    AZ70&gt; 160,                 AK70&gt;1650000),                      75%)</f>
        <v>2.2000000000000002</v>
      </c>
      <c r="AW70" s="137" cm="1">
        <f t="array" ref="AW70">_xlfn.IFS(
 X70=0,AV70,
 AND(AY70="ICE",  AP70&lt;=1400,AND((AJ70-BA70)&gt;900000,  (AJ70-BA70)&lt;=1100000)),                    80%,
 AND(AY70="ICE",  AP70&lt;=1400,(AJ70-BA70)&gt;1100000),                                       90%,
 AND(AY70="ICE",  AND(AP70&gt;1400,AP70&lt;=1600),   (AJ70-BA70)&lt;=850000),                      75%,
 AND(AY70="ICE",  AND(AP70&gt;1400,AP70&lt;=1600),   AND((AJ70-BA70)&gt;850000,(AJ70-BA70)&lt;=1100000)),     80%,
 AND(AY70="ICE",  AND(AP70&gt;1400,AP70&lt;=1600),   AND((AJ70-BA70)&gt;1100000,(AJ70-BA70)&lt;=1650000)),    90%,
 AND(AY70="ICE",  AND(AP70&gt;1400,AP70&lt;=1600),   (AJ70-BA70)&gt;1650000),                      100%,
 AND(AY70="ICE",  AND(AP70&gt;1600,AP70&lt;=2000),   (AJ70-BA70)&lt;=1650000),                     150%,
 AND(AY70="ICE",  AND(AP70&gt;1600,AP70&lt;=2000),   (AJ70-BA70)&gt;1650000),                      170%,
 AND(AY70="ICE",  AP70&gt;2000),                                                    220%,
 AND(AY70="PHEV",  AP70&lt;=1600,                (AJ70-BA70)&lt;=1350000),                     45%,
 AND(AY70="PHEV",  AP70&lt;=1600,                (AJ70-BA70)&gt;1350000),                      75%,
 AND(AY70="PHEV",  AND(AP70&gt;1600,AP70&lt;=1800),  (AJ70-BA70)&lt;=1350000),                     85%,
 AND(AY70="BEV",    AZ70&lt;=160,                 (AJ70-BA70)&lt;=1650000),                     25%,
 AND(AY70="BEV",    AZ70&lt;=160,                 (AJ70-BA70)&gt;1650000),                      55%,
 AND(AY70="BEV",    AZ70&gt; 160,                 (AJ70-BA70)&lt;=1650000),                     65%,
 AND(AY70="BEV",    AZ70&gt; 160,                 (AJ70-BA70)&gt;1650000),                      75%)</f>
        <v>2.2000000000000002</v>
      </c>
      <c r="AX70" s="137" cm="1">
        <f t="array" ref="AX70">_xlfn.IFS(
 AD70=0,AV70,
 AND(AY70="ICE",  AP70&lt;=1400,AND(AJ70&gt;900000,  AJ70&lt;=1100000)),                    80%,
 AND(AY70="ICE",  AP70&lt;=1400,AJ70&gt;1100000),                                       90%,
 AND(AY70="ICE",  AND(AP70&gt;1400,AP70&lt;=1600),   AJ70&lt;=850000),                      75%,
 AND(AY70="ICE",  AND(AP70&gt;1400,AP70&lt;=1600),   AND(AJ70&gt;850000,AJ70&lt;=1100000)),     80%,
 AND(AY70="ICE",  AND(AP70&gt;1400,AP70&lt;=1600),   AND(AJ70&gt;1100000,AJ70&lt;=1650000)),    90%,
 AND(AY70="ICE",  AND(AP70&gt;1400,AP70&lt;=1600),   AJ70&gt;1650000),                      100%,
 AND(AY70="ICE",  AND(AP70&gt;1600,AP70&lt;=2000),   AJ70&lt;=1650000),                     150%,
 AND(AY70="ICE",  AND(AP70&gt;1600,AP70&lt;=2000),   AJ70&gt;1650000),                      170%,
 AND(AY70="ICE",  AP70&gt;2000),                                                    220%,
 AND(AY70="PHEV",  AP70&lt;=1600,                AJ70&lt;=1350000),                     45%,
 AND(AY70="PHEV",  AP70&lt;=1600,                AJ70&gt;1350000),                      75%,
 AND(AY70="PHEV",  AND(AP70&gt;1600,AP70&lt;=1800),  AJ70&lt;=1350000),                     85%,
 AND(AY70="BEV",    AZ70&lt;=160,                 AJ70&lt;=1650000),                     25%,
 AND(AY70="BEV",    AZ70&lt;=160,                 AJ70&gt;1650000),                      55%,
 AND(AY70="BEV",    AZ70&gt; 160,                 AJ70&lt;=1650000),                     65%,
 AND(AY70="BEV",    AZ70&gt; 160,                 AJ70&gt;1650000),                      75%)</f>
        <v>2.2000000000000002</v>
      </c>
      <c r="AY70" s="139" t="str">
        <f>_xlfn.XLOOKUP(A70,'[1]My Input'!$B:$B,'[1]My Input'!$V:$V)</f>
        <v>ICE</v>
      </c>
      <c r="AZ70" s="139" t="str">
        <f>_xlfn.IFNA(_xlfn.XLOOKUP(A70,'[1]kW Tescil'!$A:$A,'[1]kW Tescil'!$C:$C),"-")</f>
        <v>-</v>
      </c>
      <c r="BA70" s="140">
        <f>_xlfn.XLOOKUP(A70,'[1]My Input'!$B:$B,'[1]My Input'!$H:$H)</f>
        <v>0</v>
      </c>
      <c r="BC70" s="141">
        <v>0.55026116627374222</v>
      </c>
      <c r="BD70" s="141">
        <v>4.5688611553730283</v>
      </c>
      <c r="BF70" s="142">
        <v>1.519610961003707</v>
      </c>
      <c r="BG70" s="142">
        <v>5.550851718241276</v>
      </c>
      <c r="BI70" s="143">
        <v>696767.11319999769</v>
      </c>
      <c r="BL70" s="142">
        <v>1.6360403478014547</v>
      </c>
    </row>
    <row r="71" spans="1:64" s="74" customFormat="1" ht="15" customHeight="1" x14ac:dyDescent="0.25">
      <c r="A71" s="57" t="s">
        <v>115</v>
      </c>
      <c r="B71" s="57" t="str">
        <f t="shared" si="354"/>
        <v>AudiA8L 50 TDI quattro</v>
      </c>
      <c r="C71" s="85" t="s">
        <v>42</v>
      </c>
      <c r="D71" s="86" t="s">
        <v>38</v>
      </c>
      <c r="E71" s="224" t="s">
        <v>116</v>
      </c>
      <c r="F71" s="88"/>
      <c r="G71" s="62"/>
      <c r="H71" s="89">
        <v>23157388</v>
      </c>
      <c r="I71" s="90">
        <f>H71/$H$72*$I$72</f>
        <v>111.12630285813003</v>
      </c>
      <c r="J71" s="65">
        <v>5.5E-2</v>
      </c>
      <c r="K71" s="91">
        <f>(((H71-AO71)/(1+AQ71)/1.2/$AS$1)+AS71)*(1+AQ71)*(1.2)*$AS$1+AO71</f>
        <v>25578200.800000001</v>
      </c>
      <c r="L71" s="90">
        <f>K71/$K$72*$L$72</f>
        <v>122.74315603585617</v>
      </c>
      <c r="M71" s="65"/>
      <c r="N71" s="91">
        <f>AN71*1.2*(1+AV71)+AO71</f>
        <v>24171399.756000001</v>
      </c>
      <c r="O71" s="89">
        <f>AK71*1.2*(1+AV71)+AO71</f>
        <v>21883731.66</v>
      </c>
      <c r="P71" s="90">
        <f>IF(ISNUMBER(O71),O71/$O$72*$P$72,"")</f>
        <v>114.14603934884011</v>
      </c>
      <c r="Q71" s="90">
        <f>IF(ISNUMBER(N71),N71/$N$72*$Q$72,"")</f>
        <v>126.07856788465661</v>
      </c>
      <c r="R71" s="67">
        <f>_xlfn.XLOOKUP(A71,'[1]My Input'!$B:$B,'[1]My Input'!$F:$F)</f>
        <v>0</v>
      </c>
      <c r="S71" s="65"/>
      <c r="T71" s="91">
        <f>IF(X71&lt;&gt;0,AM71*1.2*(1+AW71)+AO71-X71,AN71*1.2*(1+AV71)+AO71)</f>
        <v>24171399.756000001</v>
      </c>
      <c r="U71" s="89">
        <f>IF(X71&lt;&gt;0,AJ71*1.2*(1+AW71)+AO71-X71,AK71*1.2*(1+AV71)+AO71)</f>
        <v>21883731.66</v>
      </c>
      <c r="V71" s="90">
        <f>IF(ISNUMBER(U71),U71/$U$72*$V$72,"")</f>
        <v>115.39839543429329</v>
      </c>
      <c r="W71" s="90">
        <f>IF(ISNUMBER(T71),T71/$T$72*$W$72,"")</f>
        <v>127.4618420011858</v>
      </c>
      <c r="X71" s="92">
        <f>_xlfn.XLOOKUP(A71,'[1]My Input'!$B:$B,'[1]My Input'!$I:$I)</f>
        <v>0</v>
      </c>
      <c r="Y71" s="65"/>
      <c r="Z71" s="91">
        <f t="shared" si="355"/>
        <v>24171399.756000001</v>
      </c>
      <c r="AA71" s="89">
        <f>IF(AD71&lt;&gt;0,AJ71*1.2*(1+AX71)+AO71-AD71,AH71*(1-AG71)*1.2*(1+AV71)+AO71)</f>
        <v>21883731.66</v>
      </c>
      <c r="AB71" s="90">
        <f>IF(ISNUMBER(AA71),AA71/$AA$72*$AB$72,"")</f>
        <v>110.31287170198067</v>
      </c>
      <c r="AC71" s="90">
        <f>IF(ISNUMBER(Z71),Z71/$Z$72*$AC$72,"")</f>
        <v>121.84469091323678</v>
      </c>
      <c r="AD71" s="93">
        <f>_xlfn.XLOOKUP(A71,'[1]My Input'!$B:$B,'[1]My Input'!$N:$N)</f>
        <v>0</v>
      </c>
      <c r="AE71" s="70"/>
      <c r="AF71" s="71">
        <f>_xlfn.XLOOKUP(A71,'[1]My Input'!$B:$B,'[1]My Input'!$E:$E)</f>
        <v>5.5E-2</v>
      </c>
      <c r="AG71" s="72">
        <f>_xlfn.XLOOKUP(A71,'[1]My Input'!$B:$B,'[1]My Input'!$G:$G)</f>
        <v>5.5E-2</v>
      </c>
      <c r="AH71" s="73">
        <f>(H71-AO71)/1.2/(1+AQ71)</f>
        <v>6030569.791666667</v>
      </c>
      <c r="AJ71" s="73">
        <f>AH71*(1-AF71)</f>
        <v>5698888.453125</v>
      </c>
      <c r="AK71" s="75">
        <f>AH71*(1-AF71-R71)</f>
        <v>5698888.453125</v>
      </c>
      <c r="AL71" s="76">
        <f>(K71-AO71)/1.2/(1+AQ71)</f>
        <v>6660989.791666667</v>
      </c>
      <c r="AM71" s="76">
        <f>AL71*(1-AF71)</f>
        <v>6294635.3531250004</v>
      </c>
      <c r="AN71" s="76">
        <f>AL71*(1-AF71-R71)</f>
        <v>6294635.3531250004</v>
      </c>
      <c r="AO71" s="77">
        <f>_xlfn.XLOOKUP(A71,'[1]My Input'!$B:$B,'[1]My Input'!$T:$T)</f>
        <v>0</v>
      </c>
      <c r="AP71" s="78">
        <f>_xlfn.XLOOKUP(A71,'[1]My Input'!$B:$B,'[1]My Input'!$S:$S)</f>
        <v>3000</v>
      </c>
      <c r="AQ71" s="67">
        <f>_xlfn.XLOOKUP(A71,'[1]My Input'!$B:$B,'[1]My Input'!$U:$U)</f>
        <v>2.2000000000000002</v>
      </c>
      <c r="AS71" s="103">
        <v>12008</v>
      </c>
      <c r="AU71" s="74" t="s">
        <v>41</v>
      </c>
      <c r="AV71" s="67" cm="1">
        <f t="array" ref="AV71">_xlfn.IFS(
 AND(AY71="ICE",  AP71&lt;=1400,AND(AK71&gt;900000,  AK71&lt;=1100000)),                    80%,
 AND(AY71="ICE",  AP71&lt;=1400,AK71&gt;1100000),                                       90%,
 AND(AY71="ICE",  AND(AP71&gt;1400,AP71&lt;=1600),   AK71&lt;=850000),                      75%,
 AND(AY71="ICE",  AND(AP71&gt;1400,AP71&lt;=1600),   AND(AK71&gt;850000,AK71&lt;=1100000)),     80%,
 AND(AY71="ICE",  AND(AP71&gt;1400,AP71&lt;=1600),   AND(AK71&gt;1100000,AK71&lt;=1650000)),    90%,
 AND(AY71="ICE",  AND(AP71&gt;1400,AP71&lt;=1600),   AK71&gt;1650000),                      100%,
 AND(AY71="ICE",  AND(AP71&gt;1600,AP71&lt;=2000),   AK71&lt;=1650000),                     150%,
 AND(AY71="ICE",  AND(AP71&gt;1600,AP71&lt;=2000),   AK71&gt;1650000),                      170%,
 AND(AY71="ICE",  AP71&gt;2000),                                                    220%,
 AND(AY71="PHEV",  AP71&lt;=1600,                AK71&lt;=1350000),                     45%,
 AND(AY71="PHEV",  AP71&lt;=1600,                AK71&gt;1350000),                      75%,
 AND(AY71="PHEV",  AND(AP71&gt;1600,AP71&lt;=1800),  AK71&lt;=1350000),                     85%,
 AND(AY71="BEV",    AZ71&lt;=160,                 AK71&lt;=1650000),                     25%,
 AND(AY71="BEV",    AZ71&lt;=160,                 AK71&gt;1650000),                      55%,
 AND(AY71="BEV",    AZ71&gt; 160,                 AK71&lt;=1650000),                     65%,
 AND(AY71="BEV",    AZ71&gt; 160,                 AK71&gt;1650000),                      75%)</f>
        <v>2.2000000000000002</v>
      </c>
      <c r="AW71" s="67" cm="1">
        <f t="array" ref="AW71">_xlfn.IFS(
 X71=0,AV71,
 AND(AY71="ICE",  AP71&lt;=1400,AND((AJ71-BA71)&gt;900000,  (AJ71-BA71)&lt;=1100000)),                    80%,
 AND(AY71="ICE",  AP71&lt;=1400,(AJ71-BA71)&gt;1100000),                                       90%,
 AND(AY71="ICE",  AND(AP71&gt;1400,AP71&lt;=1600),   (AJ71-BA71)&lt;=850000),                      75%,
 AND(AY71="ICE",  AND(AP71&gt;1400,AP71&lt;=1600),   AND((AJ71-BA71)&gt;850000,(AJ71-BA71)&lt;=1100000)),     80%,
 AND(AY71="ICE",  AND(AP71&gt;1400,AP71&lt;=1600),   AND((AJ71-BA71)&gt;1100000,(AJ71-BA71)&lt;=1650000)),    90%,
 AND(AY71="ICE",  AND(AP71&gt;1400,AP71&lt;=1600),   (AJ71-BA71)&gt;1650000),                      100%,
 AND(AY71="ICE",  AND(AP71&gt;1600,AP71&lt;=2000),   (AJ71-BA71)&lt;=1650000),                     150%,
 AND(AY71="ICE",  AND(AP71&gt;1600,AP71&lt;=2000),   (AJ71-BA71)&gt;1650000),                      170%,
 AND(AY71="ICE",  AP71&gt;2000),                                                    220%,
 AND(AY71="PHEV",  AP71&lt;=1600,                (AJ71-BA71)&lt;=1350000),                     45%,
 AND(AY71="PHEV",  AP71&lt;=1600,                (AJ71-BA71)&gt;1350000),                      75%,
 AND(AY71="PHEV",  AND(AP71&gt;1600,AP71&lt;=1800),  (AJ71-BA71)&lt;=1350000),                     85%,
 AND(AY71="BEV",    AZ71&lt;=160,                 (AJ71-BA71)&lt;=1650000),                     25%,
 AND(AY71="BEV",    AZ71&lt;=160,                 (AJ71-BA71)&gt;1650000),                      55%,
 AND(AY71="BEV",    AZ71&gt; 160,                 (AJ71-BA71)&lt;=1650000),                     65%,
 AND(AY71="BEV",    AZ71&gt; 160,                 (AJ71-BA71)&gt;1650000),                      75%)</f>
        <v>2.2000000000000002</v>
      </c>
      <c r="AX71" s="67" cm="1">
        <f t="array" ref="AX71">_xlfn.IFS(
 AD71=0,AV71,
 AND(AY71="ICE",  AP71&lt;=1400,AND(AJ71&gt;900000,  AJ71&lt;=1100000)),                    80%,
 AND(AY71="ICE",  AP71&lt;=1400,AJ71&gt;1100000),                                       90%,
 AND(AY71="ICE",  AND(AP71&gt;1400,AP71&lt;=1600),   AJ71&lt;=850000),                      75%,
 AND(AY71="ICE",  AND(AP71&gt;1400,AP71&lt;=1600),   AND(AJ71&gt;850000,AJ71&lt;=1100000)),     80%,
 AND(AY71="ICE",  AND(AP71&gt;1400,AP71&lt;=1600),   AND(AJ71&gt;1100000,AJ71&lt;=1650000)),    90%,
 AND(AY71="ICE",  AND(AP71&gt;1400,AP71&lt;=1600),   AJ71&gt;1650000),                      100%,
 AND(AY71="ICE",  AND(AP71&gt;1600,AP71&lt;=2000),   AJ71&lt;=1650000),                     150%,
 AND(AY71="ICE",  AND(AP71&gt;1600,AP71&lt;=2000),   AJ71&gt;1650000),                      170%,
 AND(AY71="ICE",  AP71&gt;2000),                                                    220%,
 AND(AY71="PHEV",  AP71&lt;=1600,                AJ71&lt;=1350000),                     45%,
 AND(AY71="PHEV",  AP71&lt;=1600,                AJ71&gt;1350000),                      75%,
 AND(AY71="PHEV",  AND(AP71&gt;1600,AP71&lt;=1800),  AJ71&lt;=1350000),                     85%,
 AND(AY71="BEV",    AZ71&lt;=160,                 AJ71&lt;=1650000),                     25%,
 AND(AY71="BEV",    AZ71&lt;=160,                 AJ71&gt;1650000),                      55%,
 AND(AY71="BEV",    AZ71&gt; 160,                 AJ71&lt;=1650000),                     65%,
 AND(AY71="BEV",    AZ71&gt; 160,                 AJ71&gt;1650000),                      75%)</f>
        <v>2.2000000000000002</v>
      </c>
      <c r="AY71" s="80" t="str">
        <f>_xlfn.XLOOKUP(A71,'[1]My Input'!$B:$B,'[1]My Input'!$V:$V)</f>
        <v>ICE</v>
      </c>
      <c r="AZ71" s="80" t="str">
        <f>_xlfn.IFNA(_xlfn.XLOOKUP(A71,'[1]kW Tescil'!$A:$A,'[1]kW Tescil'!$C:$C),"-")</f>
        <v>-</v>
      </c>
      <c r="BA71" s="81">
        <f>_xlfn.XLOOKUP(A71,'[1]My Input'!$B:$B,'[1]My Input'!$H:$H)</f>
        <v>0</v>
      </c>
      <c r="BC71" s="82">
        <v>4.1814462770080496</v>
      </c>
      <c r="BD71" s="82">
        <v>2.9082686165401839</v>
      </c>
      <c r="BF71" s="83">
        <v>5.0924786547575991</v>
      </c>
      <c r="BG71" s="83">
        <v>3.912296325924487</v>
      </c>
      <c r="BI71" s="84">
        <v>1304606.6148000043</v>
      </c>
      <c r="BL71" s="83">
        <v>8.85362877042175</v>
      </c>
    </row>
    <row r="72" spans="1:64" s="74" customFormat="1" ht="15" customHeight="1" thickBot="1" x14ac:dyDescent="0.3">
      <c r="A72" s="57" t="s">
        <v>117</v>
      </c>
      <c r="B72" s="57" t="str">
        <f t="shared" si="354"/>
        <v>BMW740d xDrive SedanM Excellence</v>
      </c>
      <c r="C72" s="168" t="s">
        <v>37</v>
      </c>
      <c r="D72" s="94" t="s">
        <v>44</v>
      </c>
      <c r="E72" s="95" t="s">
        <v>118</v>
      </c>
      <c r="F72" s="152" t="s">
        <v>119</v>
      </c>
      <c r="G72" s="62"/>
      <c r="H72" s="98">
        <v>20838800</v>
      </c>
      <c r="I72" s="99">
        <v>100</v>
      </c>
      <c r="J72" s="65">
        <v>0.08</v>
      </c>
      <c r="K72" s="100">
        <f>(((H72-AO72)/(1+AQ72)/1.2/$AS$1)+AS72)*(1+AQ72)*(1.2)*$AS$1+AO72</f>
        <v>20838800.000000004</v>
      </c>
      <c r="L72" s="99">
        <v>100</v>
      </c>
      <c r="M72" s="65"/>
      <c r="N72" s="100">
        <f>AN72*1.2*(1+AV72)+AO72</f>
        <v>19171696.000000004</v>
      </c>
      <c r="O72" s="98">
        <f>AK72*1.2*(1+AV72)+AO72</f>
        <v>19171695.999999996</v>
      </c>
      <c r="P72" s="99">
        <v>100</v>
      </c>
      <c r="Q72" s="99">
        <v>100</v>
      </c>
      <c r="R72" s="67">
        <f>_xlfn.XLOOKUP(A72,'[1]My Input'!$B:$B,'[1]My Input'!$F:$F)</f>
        <v>0.05</v>
      </c>
      <c r="S72" s="65"/>
      <c r="T72" s="100">
        <f>IF(X72&lt;&gt;0,AM72*1.2*(1+AW72)+AO72-X72,AN72*1.2*(1+AV72)+AO72)</f>
        <v>18963636.000000007</v>
      </c>
      <c r="U72" s="98">
        <f>IF(X72&lt;&gt;0,AJ72*1.2*(1+AW72)+AO72-X72,AK72*1.2*(1+AV72)+AO72)</f>
        <v>18963636</v>
      </c>
      <c r="V72" s="99">
        <v>100</v>
      </c>
      <c r="W72" s="99">
        <v>100</v>
      </c>
      <c r="X72" s="102">
        <f>_xlfn.XLOOKUP(A72,'[1]My Input'!$B:$B,'[1]My Input'!$I:$I)</f>
        <v>1250000</v>
      </c>
      <c r="Y72" s="65"/>
      <c r="Z72" s="100">
        <f t="shared" si="355"/>
        <v>19837876.870000008</v>
      </c>
      <c r="AA72" s="98">
        <f>IF(AD72&lt;&gt;0,AJ72*1.2*(1+AX72)+AO72-AD72,AH72*(1-AG72)*1.2*(1+AV72)+AO72)</f>
        <v>19837876.870000001</v>
      </c>
      <c r="AB72" s="99">
        <v>100</v>
      </c>
      <c r="AC72" s="99">
        <v>100</v>
      </c>
      <c r="AD72" s="98">
        <f>_xlfn.XLOOKUP(A72,'[1]My Input'!$B:$B,'[1]My Input'!$N:$N)</f>
        <v>375759.13</v>
      </c>
      <c r="AE72" s="70"/>
      <c r="AF72" s="71">
        <f>_xlfn.XLOOKUP(A72,'[1]My Input'!$B:$B,'[1]My Input'!$E:$E)</f>
        <v>0.03</v>
      </c>
      <c r="AG72" s="72">
        <f>_xlfn.XLOOKUP(A72,'[1]My Input'!$B:$B,'[1]My Input'!$G:$G)</f>
        <v>0.08</v>
      </c>
      <c r="AH72" s="73">
        <f>(H72-AO72)/1.2/(1+AQ72)</f>
        <v>5426770.833333333</v>
      </c>
      <c r="AJ72" s="73">
        <f>AH72*(1-AF72)</f>
        <v>5263967.708333333</v>
      </c>
      <c r="AK72" s="75">
        <f>AH72*(1-AF72-R72)</f>
        <v>4992629.166666666</v>
      </c>
      <c r="AL72" s="76">
        <f>(K72-AO72)/1.2/(1+AQ72)</f>
        <v>5426770.8333333349</v>
      </c>
      <c r="AM72" s="76">
        <f>AL72*(1-AF72)</f>
        <v>5263967.7083333349</v>
      </c>
      <c r="AN72" s="76">
        <f>AL72*(1-AF72-R72)</f>
        <v>4992629.1666666679</v>
      </c>
      <c r="AO72" s="77">
        <f>_xlfn.XLOOKUP(A72,'[1]My Input'!$B:$B,'[1]My Input'!$T:$T)</f>
        <v>0</v>
      </c>
      <c r="AP72" s="78">
        <f>_xlfn.XLOOKUP(A72,'[1]My Input'!$B:$B,'[1]My Input'!$S:$S)</f>
        <v>3000</v>
      </c>
      <c r="AQ72" s="67">
        <f>_xlfn.XLOOKUP(A72,'[1]My Input'!$B:$B,'[1]My Input'!$U:$U)</f>
        <v>2.2000000000000002</v>
      </c>
      <c r="AS72" s="103">
        <f>_xlfn.XLOOKUP(A72,'[1]My Input'!$B:$B,'[1]My Input'!$Q:$Q)</f>
        <v>0</v>
      </c>
      <c r="AU72" s="74" t="s">
        <v>41</v>
      </c>
      <c r="AV72" s="67" cm="1">
        <f t="array" ref="AV72">_xlfn.IFS(
 AND(AY72="ICE",  AP72&lt;=1400,AND(AK72&gt;900000,  AK72&lt;=1100000)),                    80%,
 AND(AY72="ICE",  AP72&lt;=1400,AK72&gt;1100000),                                       90%,
 AND(AY72="ICE",  AND(AP72&gt;1400,AP72&lt;=1600),   AK72&lt;=850000),                      75%,
 AND(AY72="ICE",  AND(AP72&gt;1400,AP72&lt;=1600),   AND(AK72&gt;850000,AK72&lt;=1100000)),     80%,
 AND(AY72="ICE",  AND(AP72&gt;1400,AP72&lt;=1600),   AND(AK72&gt;1100000,AK72&lt;=1650000)),    90%,
 AND(AY72="ICE",  AND(AP72&gt;1400,AP72&lt;=1600),   AK72&gt;1650000),                      100%,
 AND(AY72="ICE",  AND(AP72&gt;1600,AP72&lt;=2000),   AK72&lt;=1650000),                     150%,
 AND(AY72="ICE",  AND(AP72&gt;1600,AP72&lt;=2000),   AK72&gt;1650000),                      170%,
 AND(AY72="ICE",  AP72&gt;2000),                                                    220%,
 AND(AY72="PHEV",  AP72&lt;=1600,                AK72&lt;=1350000),                     45%,
 AND(AY72="PHEV",  AP72&lt;=1600,                AK72&gt;1350000),                      75%,
 AND(AY72="PHEV",  AND(AP72&gt;1600,AP72&lt;=1800),  AK72&lt;=1350000),                     85%,
 AND(AY72="BEV",    AZ72&lt;=160,                 AK72&lt;=1650000),                     25%,
 AND(AY72="BEV",    AZ72&lt;=160,                 AK72&gt;1650000),                      55%,
 AND(AY72="BEV",    AZ72&gt; 160,                 AK72&lt;=1650000),                     65%,
 AND(AY72="BEV",    AZ72&gt; 160,                 AK72&gt;1650000),                      75%)</f>
        <v>2.2000000000000002</v>
      </c>
      <c r="AW72" s="67" cm="1">
        <f t="array" ref="AW72">_xlfn.IFS(
 X72=0,AV72,
 AND(AY72="ICE",  AP72&lt;=1400,AND((AJ72-BA72)&gt;900000,  (AJ72-BA72)&lt;=1100000)),                    80%,
 AND(AY72="ICE",  AP72&lt;=1400,(AJ72-BA72)&gt;1100000),                                       90%,
 AND(AY72="ICE",  AND(AP72&gt;1400,AP72&lt;=1600),   (AJ72-BA72)&lt;=850000),                      75%,
 AND(AY72="ICE",  AND(AP72&gt;1400,AP72&lt;=1600),   AND((AJ72-BA72)&gt;850000,(AJ72-BA72)&lt;=1100000)),     80%,
 AND(AY72="ICE",  AND(AP72&gt;1400,AP72&lt;=1600),   AND((AJ72-BA72)&gt;1100000,(AJ72-BA72)&lt;=1650000)),    90%,
 AND(AY72="ICE",  AND(AP72&gt;1400,AP72&lt;=1600),   (AJ72-BA72)&gt;1650000),                      100%,
 AND(AY72="ICE",  AND(AP72&gt;1600,AP72&lt;=2000),   (AJ72-BA72)&lt;=1650000),                     150%,
 AND(AY72="ICE",  AND(AP72&gt;1600,AP72&lt;=2000),   (AJ72-BA72)&gt;1650000),                      170%,
 AND(AY72="ICE",  AP72&gt;2000),                                                    220%,
 AND(AY72="PHEV",  AP72&lt;=1600,                (AJ72-BA72)&lt;=1350000),                     45%,
 AND(AY72="PHEV",  AP72&lt;=1600,                (AJ72-BA72)&gt;1350000),                      75%,
 AND(AY72="PHEV",  AND(AP72&gt;1600,AP72&lt;=1800),  (AJ72-BA72)&lt;=1350000),                     85%,
 AND(AY72="BEV",    AZ72&lt;=160,                 (AJ72-BA72)&lt;=1650000),                     25%,
 AND(AY72="BEV",    AZ72&lt;=160,                 (AJ72-BA72)&gt;1650000),                      55%,
 AND(AY72="BEV",    AZ72&gt; 160,                 (AJ72-BA72)&lt;=1650000),                     65%,
 AND(AY72="BEV",    AZ72&gt; 160,                 (AJ72-BA72)&gt;1650000),                      75%)</f>
        <v>2.2000000000000002</v>
      </c>
      <c r="AX72" s="67" cm="1">
        <f t="array" ref="AX72">_xlfn.IFS(
 AD72=0,AV72,
 AND(AY72="ICE",  AP72&lt;=1400,AND(AJ72&gt;900000,  AJ72&lt;=1100000)),                    80%,
 AND(AY72="ICE",  AP72&lt;=1400,AJ72&gt;1100000),                                       90%,
 AND(AY72="ICE",  AND(AP72&gt;1400,AP72&lt;=1600),   AJ72&lt;=850000),                      75%,
 AND(AY72="ICE",  AND(AP72&gt;1400,AP72&lt;=1600),   AND(AJ72&gt;850000,AJ72&lt;=1100000)),     80%,
 AND(AY72="ICE",  AND(AP72&gt;1400,AP72&lt;=1600),   AND(AJ72&gt;1100000,AJ72&lt;=1650000)),    90%,
 AND(AY72="ICE",  AND(AP72&gt;1400,AP72&lt;=1600),   AJ72&gt;1650000),                      100%,
 AND(AY72="ICE",  AND(AP72&gt;1600,AP72&lt;=2000),   AJ72&lt;=1650000),                     150%,
 AND(AY72="ICE",  AND(AP72&gt;1600,AP72&lt;=2000),   AJ72&gt;1650000),                      170%,
 AND(AY72="ICE",  AP72&gt;2000),                                                    220%,
 AND(AY72="PHEV",  AP72&lt;=1600,                AJ72&lt;=1350000),                     45%,
 AND(AY72="PHEV",  AP72&lt;=1600,                AJ72&gt;1350000),                      75%,
 AND(AY72="PHEV",  AND(AP72&gt;1600,AP72&lt;=1800),  AJ72&lt;=1350000),                     85%,
 AND(AY72="BEV",    AZ72&lt;=160,                 AJ72&lt;=1650000),                     25%,
 AND(AY72="BEV",    AZ72&lt;=160,                 AJ72&gt;1650000),                      55%,
 AND(AY72="BEV",    AZ72&gt; 160,                 AJ72&lt;=1650000),                     65%,
 AND(AY72="BEV",    AZ72&gt; 160,                 AJ72&gt;1650000),                      75%)</f>
        <v>2.2000000000000002</v>
      </c>
      <c r="AY72" s="80" t="str">
        <f>_xlfn.XLOOKUP(A72,'[1]My Input'!$B:$B,'[1]My Input'!$V:$V)</f>
        <v>ICE</v>
      </c>
      <c r="AZ72" s="80" t="str">
        <f>_xlfn.IFNA(_xlfn.XLOOKUP(A72,'[1]kW Tescil'!$A:$A,'[1]kW Tescil'!$C:$C),"-")</f>
        <v>-</v>
      </c>
      <c r="BA72" s="81">
        <f>_xlfn.XLOOKUP(A72,'[1]My Input'!$B:$B,'[1]My Input'!$H:$H)</f>
        <v>325520.83333333331</v>
      </c>
      <c r="BC72" s="82">
        <v>0</v>
      </c>
      <c r="BD72" s="82">
        <v>0</v>
      </c>
      <c r="BF72" s="83">
        <v>0</v>
      </c>
      <c r="BG72" s="83">
        <v>0</v>
      </c>
      <c r="BI72" s="84">
        <v>736627.67000000179</v>
      </c>
      <c r="BL72" s="83">
        <v>0</v>
      </c>
    </row>
    <row r="73" spans="1:64" s="74" customFormat="1" ht="7.15" customHeight="1" thickBot="1" x14ac:dyDescent="0.3">
      <c r="A73" s="57"/>
      <c r="B73" s="57"/>
      <c r="C73" s="216"/>
      <c r="D73" s="195"/>
      <c r="E73" s="87"/>
      <c r="F73" s="87"/>
      <c r="G73" s="62"/>
      <c r="H73" s="190"/>
      <c r="I73" s="87"/>
      <c r="J73" s="65"/>
      <c r="K73" s="190"/>
      <c r="L73" s="87"/>
      <c r="M73" s="65"/>
      <c r="N73" s="190"/>
      <c r="O73" s="190"/>
      <c r="P73" s="87"/>
      <c r="Q73" s="87"/>
      <c r="R73" s="196"/>
      <c r="S73" s="65"/>
      <c r="T73" s="190"/>
      <c r="U73" s="190"/>
      <c r="V73" s="87"/>
      <c r="W73" s="87"/>
      <c r="X73" s="191"/>
      <c r="Y73" s="65"/>
      <c r="Z73" s="190"/>
      <c r="AA73" s="190"/>
      <c r="AB73" s="87"/>
      <c r="AC73" s="87"/>
      <c r="AD73" s="190"/>
      <c r="AE73" s="70"/>
      <c r="AF73" s="115"/>
      <c r="AG73" s="19"/>
      <c r="AH73" s="197"/>
      <c r="AJ73" s="197"/>
      <c r="AK73" s="198"/>
      <c r="AL73" s="199"/>
      <c r="AM73" s="76"/>
      <c r="AN73" s="199"/>
      <c r="AO73" s="200"/>
      <c r="AP73" s="78"/>
      <c r="AQ73" s="67"/>
      <c r="AS73" s="201"/>
      <c r="AU73" s="74" t="s">
        <v>41</v>
      </c>
      <c r="AV73" s="67"/>
      <c r="AW73" s="67"/>
      <c r="AX73" s="67"/>
      <c r="AY73" s="80"/>
      <c r="AZ73" s="80"/>
      <c r="BA73" s="81"/>
      <c r="BC73" s="82">
        <v>0</v>
      </c>
      <c r="BD73" s="82">
        <v>0</v>
      </c>
      <c r="BF73" s="83">
        <v>0</v>
      </c>
      <c r="BG73" s="83">
        <v>0</v>
      </c>
      <c r="BI73" s="84">
        <v>0</v>
      </c>
      <c r="BL73" s="83">
        <v>0</v>
      </c>
    </row>
    <row r="74" spans="1:64" s="74" customFormat="1" ht="15" customHeight="1" thickBot="1" x14ac:dyDescent="0.3">
      <c r="A74" s="57" t="s">
        <v>120</v>
      </c>
      <c r="B74" s="57" t="str">
        <f t="shared" ref="B74:B159" si="356">D74&amp;E74&amp;F74</f>
        <v>MBEQS 450 4MATICInspiration</v>
      </c>
      <c r="C74" s="58" t="s">
        <v>37</v>
      </c>
      <c r="D74" s="59" t="s">
        <v>47</v>
      </c>
      <c r="E74" s="222" t="s">
        <v>121</v>
      </c>
      <c r="F74" s="61" t="s">
        <v>114</v>
      </c>
      <c r="G74" s="178"/>
      <c r="H74" s="63">
        <v>9436200</v>
      </c>
      <c r="I74" s="64">
        <f>H74/$H$77*$I$77</f>
        <v>67.924886860239369</v>
      </c>
      <c r="J74" s="65">
        <v>0.12</v>
      </c>
      <c r="K74" s="66">
        <f>(((H74-AO74)/(1+AQ74)/1.2/$AS$1)+AS74)*(1+AQ74)*(1.2)*$AS$1+AO74</f>
        <v>11760490.500000002</v>
      </c>
      <c r="L74" s="64">
        <f>K74/$K$77*$L$77</f>
        <v>84.655898204088516</v>
      </c>
      <c r="M74" s="157"/>
      <c r="N74" s="66">
        <f>AN74*1.2*(1+AV74)+AO74</f>
        <v>10349231.640000002</v>
      </c>
      <c r="O74" s="63">
        <f>AK74*1.2*(1+AV74)+AO74</f>
        <v>8303856.0000000009</v>
      </c>
      <c r="P74" s="64">
        <f>IF(ISNUMBER(O74),O74/$O$77*$P$77,"")</f>
        <v>66.415444930011844</v>
      </c>
      <c r="Q74" s="64">
        <f>IF(ISNUMBER(N74),N74/$N$77*$Q$77,"")</f>
        <v>82.774656021775456</v>
      </c>
      <c r="R74" s="67">
        <f>_xlfn.XLOOKUP(A74,'[1]My Input'!$B:$B,'[1]My Input'!$F:$F)</f>
        <v>0</v>
      </c>
      <c r="S74" s="157"/>
      <c r="T74" s="66">
        <f>IF(X74&lt;&gt;0,AM74*1.2*(1+AW74)+AO74-X74,AN74*1.2*(1+AV74)+AO74)</f>
        <v>10349231.640000002</v>
      </c>
      <c r="U74" s="63">
        <f>IF(X74&lt;&gt;0,AJ74*1.2*(1+AW74)+AO74-X74,AK74*1.2*(1+AV74)+AO74)</f>
        <v>8303856.0000000009</v>
      </c>
      <c r="V74" s="64">
        <f>IF(ISNUMBER(U74),U74/$U$77*$V$77,"")</f>
        <v>67.923276155432063</v>
      </c>
      <c r="W74" s="64">
        <f>IF(ISNUMBER(T74),T74/$T$77*$W$77,"")</f>
        <v>84.653890756325154</v>
      </c>
      <c r="X74" s="68">
        <f>_xlfn.XLOOKUP(A74,'[1]My Input'!$B:$B,'[1]My Input'!$I:$I)</f>
        <v>0</v>
      </c>
      <c r="Y74" s="157"/>
      <c r="Z74" s="66">
        <f t="shared" ref="Z74:Z159" si="357">IF(AD74&lt;&gt;0,AM74*1.2*(1+AQ74)+AO74-AD74,AL74*(1-AG74)*1.2*(1+AQ74)+AO74)</f>
        <v>10268414.810000002</v>
      </c>
      <c r="AA74" s="63">
        <f t="shared" ref="AA74:AA81" si="358">IF(AD74&lt;&gt;0,AJ74*1.2*(1+AX74)+AO74-AD74,AH74*(1-AG74)*1.2*(1+AV74)+AO74)</f>
        <v>8223039.1700000009</v>
      </c>
      <c r="AB74" s="64">
        <f>IF(ISNUMBER(AA74),AA74/$AA$77*$AB$77,"")</f>
        <v>63.997097246207225</v>
      </c>
      <c r="AC74" s="64">
        <f>IF(ISNUMBER(Z74),Z74/$Z$77*$AC$77,"")</f>
        <v>79.915555255705357</v>
      </c>
      <c r="AD74" s="69">
        <f>_xlfn.XLOOKUP(A74,'[1]My Input'!$B:$B,'[1]My Input'!$N:$N)</f>
        <v>80816.83</v>
      </c>
      <c r="AE74" s="70"/>
      <c r="AF74" s="71">
        <f>_xlfn.XLOOKUP(A74,'[1]My Input'!$B:$B,'[1]My Input'!$E:$E)</f>
        <v>0.12</v>
      </c>
      <c r="AG74" s="72">
        <f>_xlfn.XLOOKUP(A74,'[1]My Input'!$B:$B,'[1]My Input'!$G:$G)</f>
        <v>0.12</v>
      </c>
      <c r="AH74" s="73">
        <f>(H74-AO74)/1.2/(1+AQ74)</f>
        <v>4493428.5714285718</v>
      </c>
      <c r="AJ74" s="73">
        <f>AH74*(1-AF74)</f>
        <v>3954217.1428571432</v>
      </c>
      <c r="AK74" s="75">
        <f>AH74*(1-AF74-R74)</f>
        <v>3954217.1428571432</v>
      </c>
      <c r="AL74" s="76">
        <f>(K74-AO74)/1.2/(1+AQ74)</f>
        <v>5600233.5714285728</v>
      </c>
      <c r="AM74" s="76">
        <f>AL74*(1-AF74)</f>
        <v>4928205.542857144</v>
      </c>
      <c r="AN74" s="76">
        <f>AL74*(1-AF74-R74)</f>
        <v>4928205.542857144</v>
      </c>
      <c r="AO74" s="77">
        <f>_xlfn.XLOOKUP(A74,'[1]My Input'!$B:$B,'[1]My Input'!$T:$T)</f>
        <v>0</v>
      </c>
      <c r="AP74" s="78">
        <f>_xlfn.XLOOKUP(A74,'[1]My Input'!$B:$B,'[1]My Input'!$S:$S)</f>
        <v>0</v>
      </c>
      <c r="AQ74" s="67">
        <f>_xlfn.XLOOKUP(A74,'[1]My Input'!$B:$B,'[1]My Input'!$U:$U)</f>
        <v>0.75</v>
      </c>
      <c r="AS74" s="153">
        <v>21082</v>
      </c>
      <c r="AT74" s="237"/>
      <c r="AU74" s="74" t="s">
        <v>41</v>
      </c>
      <c r="AV74" s="67" cm="1">
        <f t="array" ref="AV74">_xlfn.IFS(
 AND(AY74="ICE",  AP74&lt;=1400,AND(AK74&gt;900000,  AK74&lt;=1100000)),                    80%,
 AND(AY74="ICE",  AP74&lt;=1400,AK74&gt;1100000),                                       90%,
 AND(AY74="ICE",  AND(AP74&gt;1400,AP74&lt;=1600),   AK74&lt;=850000),                      75%,
 AND(AY74="ICE",  AND(AP74&gt;1400,AP74&lt;=1600),   AND(AK74&gt;850000,AK74&lt;=1100000)),     80%,
 AND(AY74="ICE",  AND(AP74&gt;1400,AP74&lt;=1600),   AND(AK74&gt;1100000,AK74&lt;=1650000)),    90%,
 AND(AY74="ICE",  AND(AP74&gt;1400,AP74&lt;=1600),   AK74&gt;1650000),                      100%,
 AND(AY74="ICE",  AND(AP74&gt;1600,AP74&lt;=2000),   AK74&lt;=1650000),                     150%,
 AND(AY74="ICE",  AND(AP74&gt;1600,AP74&lt;=2000),   AK74&gt;1650000),                      170%,
 AND(AY74="ICE",  AP74&gt;2000),                                                    220%,
 AND(AY74="PHEV",  AP74&lt;=1600,                AK74&lt;=1350000),                     45%,
 AND(AY74="PHEV",  AP74&lt;=1600,                AK74&gt;1350000),                      75%,
 AND(AY74="PHEV",  AND(AP74&gt;1600,AP74&lt;=1800),  AK74&lt;=1350000),                     85%,
 AND(AY74="BEV",    AZ74&lt;=160,                 AK74&lt;=1650000),                     25%,
 AND(AY74="BEV",    AZ74&lt;=160,                 AK74&gt;1650000),                      55%,
 AND(AY74="BEV",    AZ74&gt; 160,                 AK74&lt;=1650000),                     65%,
 AND(AY74="BEV",    AZ74&gt; 160,                 AK74&gt;1650000),                      75%)</f>
        <v>0.75</v>
      </c>
      <c r="AW74" s="67" cm="1">
        <f t="array" ref="AW74">_xlfn.IFS(
 X74=0,AV74,
 AND(AY74="ICE",  AP74&lt;=1400,AND((AJ74-BA74)&gt;900000,  (AJ74-BA74)&lt;=1100000)),                    80%,
 AND(AY74="ICE",  AP74&lt;=1400,(AJ74-BA74)&gt;1100000),                                       90%,
 AND(AY74="ICE",  AND(AP74&gt;1400,AP74&lt;=1600),   (AJ74-BA74)&lt;=850000),                      75%,
 AND(AY74="ICE",  AND(AP74&gt;1400,AP74&lt;=1600),   AND((AJ74-BA74)&gt;850000,(AJ74-BA74)&lt;=1100000)),     80%,
 AND(AY74="ICE",  AND(AP74&gt;1400,AP74&lt;=1600),   AND((AJ74-BA74)&gt;1100000,(AJ74-BA74)&lt;=1650000)),    90%,
 AND(AY74="ICE",  AND(AP74&gt;1400,AP74&lt;=1600),   (AJ74-BA74)&gt;1650000),                      100%,
 AND(AY74="ICE",  AND(AP74&gt;1600,AP74&lt;=2000),   (AJ74-BA74)&lt;=1650000),                     150%,
 AND(AY74="ICE",  AND(AP74&gt;1600,AP74&lt;=2000),   (AJ74-BA74)&gt;1650000),                      170%,
 AND(AY74="ICE",  AP74&gt;2000),                                                    220%,
 AND(AY74="PHEV",  AP74&lt;=1600,                (AJ74-BA74)&lt;=1350000),                     45%,
 AND(AY74="PHEV",  AP74&lt;=1600,                (AJ74-BA74)&gt;1350000),                      75%,
 AND(AY74="PHEV",  AND(AP74&gt;1600,AP74&lt;=1800),  (AJ74-BA74)&lt;=1350000),                     85%,
 AND(AY74="BEV",    AZ74&lt;=160,                 (AJ74-BA74)&lt;=1650000),                     25%,
 AND(AY74="BEV",    AZ74&lt;=160,                 (AJ74-BA74)&gt;1650000),                      55%,
 AND(AY74="BEV",    AZ74&gt; 160,                 (AJ74-BA74)&lt;=1650000),                     65%,
 AND(AY74="BEV",    AZ74&gt; 160,                 (AJ74-BA74)&gt;1650000),                      75%)</f>
        <v>0.75</v>
      </c>
      <c r="AX74" s="67" cm="1">
        <f t="array" ref="AX74">_xlfn.IFS(
 AD74=0,AV74,
 AND(AY74="ICE",  AP74&lt;=1400,AND(AJ74&gt;900000,  AJ74&lt;=1100000)),                    80%,
 AND(AY74="ICE",  AP74&lt;=1400,AJ74&gt;1100000),                                       90%,
 AND(AY74="ICE",  AND(AP74&gt;1400,AP74&lt;=1600),   AJ74&lt;=850000),                      75%,
 AND(AY74="ICE",  AND(AP74&gt;1400,AP74&lt;=1600),   AND(AJ74&gt;850000,AJ74&lt;=1100000)),     80%,
 AND(AY74="ICE",  AND(AP74&gt;1400,AP74&lt;=1600),   AND(AJ74&gt;1100000,AJ74&lt;=1650000)),    90%,
 AND(AY74="ICE",  AND(AP74&gt;1400,AP74&lt;=1600),   AJ74&gt;1650000),                      100%,
 AND(AY74="ICE",  AND(AP74&gt;1600,AP74&lt;=2000),   AJ74&lt;=1650000),                     150%,
 AND(AY74="ICE",  AND(AP74&gt;1600,AP74&lt;=2000),   AJ74&gt;1650000),                      170%,
 AND(AY74="ICE",  AP74&gt;2000),                                                    220%,
 AND(AY74="PHEV",  AP74&lt;=1600,                AJ74&lt;=1350000),                     45%,
 AND(AY74="PHEV",  AP74&lt;=1600,                AJ74&gt;1350000),                      75%,
 AND(AY74="PHEV",  AND(AP74&gt;1600,AP74&lt;=1800),  AJ74&lt;=1350000),                     85%,
 AND(AY74="BEV",    AZ74&lt;=160,                 AJ74&lt;=1650000),                     25%,
 AND(AY74="BEV",    AZ74&lt;=160,                 AJ74&gt;1650000),                      55%,
 AND(AY74="BEV",    AZ74&gt; 160,                 AJ74&lt;=1650000),                     65%,
 AND(AY74="BEV",    AZ74&gt; 160,                 AJ74&gt;1650000),                      75%)</f>
        <v>0.75</v>
      </c>
      <c r="AY74" s="80" t="str">
        <f>_xlfn.XLOOKUP(A74,'[1]My Input'!$B:$B,'[1]My Input'!$V:$V)</f>
        <v>BEV</v>
      </c>
      <c r="AZ74" s="80">
        <f>_xlfn.IFNA(_xlfn.XLOOKUP(A74,'[1]kW Tescil'!$A:$A,'[1]kW Tescil'!$C:$C),"-")</f>
        <v>265</v>
      </c>
      <c r="BA74" s="81">
        <f>_xlfn.XLOOKUP(A74,'[1]My Input'!$B:$B,'[1]My Input'!$H:$H)</f>
        <v>0</v>
      </c>
      <c r="BC74" s="82">
        <v>-8.9823212142995743</v>
      </c>
      <c r="BD74" s="82">
        <v>-10.179866270075479</v>
      </c>
      <c r="BF74" s="83">
        <v>-4.7589856608238534</v>
      </c>
      <c r="BG74" s="83">
        <v>-5.0067438651866638</v>
      </c>
      <c r="BI74" s="84">
        <v>32303.083799998276</v>
      </c>
      <c r="BL74" s="83">
        <v>-6.6420391308910069</v>
      </c>
    </row>
    <row r="75" spans="1:64" s="74" customFormat="1" ht="15" customHeight="1" x14ac:dyDescent="0.25">
      <c r="A75" s="57" t="s">
        <v>120</v>
      </c>
      <c r="B75" s="57" t="str">
        <f t="shared" si="356"/>
        <v>MBEQS 450 4MATICInspiration</v>
      </c>
      <c r="C75" s="85" t="s">
        <v>42</v>
      </c>
      <c r="D75" s="86" t="s">
        <v>47</v>
      </c>
      <c r="E75" s="87" t="s">
        <v>121</v>
      </c>
      <c r="F75" s="88" t="s">
        <v>114</v>
      </c>
      <c r="G75" s="178"/>
      <c r="H75" s="89">
        <v>10108500</v>
      </c>
      <c r="I75" s="90">
        <f>H75/$H$77*$I$77</f>
        <v>72.764324497862447</v>
      </c>
      <c r="J75" s="65">
        <v>0.12</v>
      </c>
      <c r="K75" s="66">
        <f>(((H75-AO75)/(1+AQ75)/1.2/$AS$1)+AS75)*(1+AQ75)*(1.2)*$AS$1+AO75</f>
        <v>12432790.500000002</v>
      </c>
      <c r="L75" s="64">
        <f>K75/$K$77*$L$77</f>
        <v>89.495335841711594</v>
      </c>
      <c r="M75" s="157"/>
      <c r="N75" s="66">
        <f>AN75*1.2*(1+AV75)+AO75</f>
        <v>10940855.640000002</v>
      </c>
      <c r="O75" s="89">
        <f>AK75*1.2*(1+AV75)+AO75</f>
        <v>8895480</v>
      </c>
      <c r="P75" s="90">
        <f>IF(ISNUMBER(O75),O75/$O$77*$P$77,"")</f>
        <v>71.14733950902108</v>
      </c>
      <c r="Q75" s="207">
        <f>IF(ISNUMBER(N75),N75/$N$77*$Q$77,"")</f>
        <v>87.506550600784692</v>
      </c>
      <c r="R75" s="67">
        <f>_xlfn.XLOOKUP(A75,'[1]My Input'!$B:$B,'[1]My Input'!$F:$F)</f>
        <v>0</v>
      </c>
      <c r="S75" s="157"/>
      <c r="T75" s="158">
        <f>IF(X75&lt;&gt;0,AM75*1.2*(1+AW75)+AO75-X75,AN75*1.2*(1+AV75)+AO75)</f>
        <v>10940855.640000002</v>
      </c>
      <c r="U75" s="89">
        <f>IF(X75&lt;&gt;0,AJ75*1.2*(1+AW75)+AO75-X75,AK75*1.2*(1+AV75)+AO75)</f>
        <v>8895480</v>
      </c>
      <c r="V75" s="90">
        <f>IF(ISNUMBER(U75),U75/$U$77*$V$77,"")</f>
        <v>72.762599035330439</v>
      </c>
      <c r="W75" s="90">
        <f>IF(ISNUMBER(T75),T75/$T$77*$W$77,"")</f>
        <v>89.49321363622353</v>
      </c>
      <c r="X75" s="92">
        <f>_xlfn.XLOOKUP(A75,'[1]My Input'!$B:$B,'[1]My Input'!$I:$I)</f>
        <v>0</v>
      </c>
      <c r="Y75" s="157"/>
      <c r="Z75" s="158">
        <f t="shared" si="357"/>
        <v>10860038.810000002</v>
      </c>
      <c r="AA75" s="89">
        <f t="shared" si="358"/>
        <v>8814663.1699999999</v>
      </c>
      <c r="AB75" s="90">
        <f>IF(ISNUMBER(AA75),AA75/$AA$77*$AB$77,"")</f>
        <v>68.601504190943928</v>
      </c>
      <c r="AC75" s="90">
        <f>IF(ISNUMBER(Z75),Z75/$Z$77*$AC$77,"")</f>
        <v>84.51996220044208</v>
      </c>
      <c r="AD75" s="93">
        <f>_xlfn.XLOOKUP(A75,'[1]My Input'!$B:$B,'[1]My Input'!$N:$N)</f>
        <v>80816.83</v>
      </c>
      <c r="AE75" s="70"/>
      <c r="AF75" s="71">
        <f>_xlfn.XLOOKUP(A75,'[1]My Input'!$B:$B,'[1]My Input'!$E:$E)</f>
        <v>0.12</v>
      </c>
      <c r="AG75" s="208">
        <f>SUM(AF75,R75)</f>
        <v>0.12</v>
      </c>
      <c r="AH75" s="73">
        <f>(H75-AO75)/1.2/(1+AQ75)</f>
        <v>4813571.4285714282</v>
      </c>
      <c r="AJ75" s="73">
        <f>AH75*(1-AF75)</f>
        <v>4235942.8571428573</v>
      </c>
      <c r="AK75" s="75">
        <f>AH75*(1-AF75-R75)</f>
        <v>4235942.8571428573</v>
      </c>
      <c r="AL75" s="76">
        <f>(K75-AO75)/1.2/(1+AQ75)</f>
        <v>5920376.42857143</v>
      </c>
      <c r="AM75" s="76">
        <f>AL75*(1-AF75)</f>
        <v>5209931.2571428586</v>
      </c>
      <c r="AN75" s="76">
        <f>AL75*(1-AF75-R75)</f>
        <v>5209931.2571428586</v>
      </c>
      <c r="AO75" s="77">
        <f>_xlfn.XLOOKUP(A75,'[1]My Input'!$B:$B,'[1]My Input'!$T:$T)</f>
        <v>0</v>
      </c>
      <c r="AP75" s="78">
        <f>_xlfn.XLOOKUP(A75,'[1]My Input'!$B:$B,'[1]My Input'!$S:$S)</f>
        <v>0</v>
      </c>
      <c r="AQ75" s="67">
        <f>_xlfn.XLOOKUP(A75,'[1]My Input'!$B:$B,'[1]My Input'!$U:$U)</f>
        <v>0.75</v>
      </c>
      <c r="AS75" s="153">
        <v>21082</v>
      </c>
      <c r="AU75" s="74" t="s">
        <v>41</v>
      </c>
      <c r="AV75" s="67" cm="1">
        <f t="array" ref="AV75">_xlfn.IFS(
 AND(AY75="ICE",  AP75&lt;=1400,AND(AK75&gt;900000,  AK75&lt;=1100000)),                    80%,
 AND(AY75="ICE",  AP75&lt;=1400,AK75&gt;1100000),                                       90%,
 AND(AY75="ICE",  AND(AP75&gt;1400,AP75&lt;=1600),   AK75&lt;=850000),                      75%,
 AND(AY75="ICE",  AND(AP75&gt;1400,AP75&lt;=1600),   AND(AK75&gt;850000,AK75&lt;=1100000)),     80%,
 AND(AY75="ICE",  AND(AP75&gt;1400,AP75&lt;=1600),   AND(AK75&gt;1100000,AK75&lt;=1650000)),    90%,
 AND(AY75="ICE",  AND(AP75&gt;1400,AP75&lt;=1600),   AK75&gt;1650000),                      100%,
 AND(AY75="ICE",  AND(AP75&gt;1600,AP75&lt;=2000),   AK75&lt;=1650000),                     150%,
 AND(AY75="ICE",  AND(AP75&gt;1600,AP75&lt;=2000),   AK75&gt;1650000),                      170%,
 AND(AY75="ICE",  AP75&gt;2000),                                                    220%,
 AND(AY75="PHEV",  AP75&lt;=1600,                AK75&lt;=1350000),                     45%,
 AND(AY75="PHEV",  AP75&lt;=1600,                AK75&gt;1350000),                      75%,
 AND(AY75="PHEV",  AND(AP75&gt;1600,AP75&lt;=1800),  AK75&lt;=1350000),                     85%,
 AND(AY75="BEV",    AZ75&lt;=160,                 AK75&lt;=1650000),                     25%,
 AND(AY75="BEV",    AZ75&lt;=160,                 AK75&gt;1650000),                      55%,
 AND(AY75="BEV",    AZ75&gt; 160,                 AK75&lt;=1650000),                     65%,
 AND(AY75="BEV",    AZ75&gt; 160,                 AK75&gt;1650000),                      75%)</f>
        <v>0.75</v>
      </c>
      <c r="AW75" s="67" cm="1">
        <f t="array" ref="AW75">_xlfn.IFS(
 X75=0,AV75,
 AND(AY75="ICE",  AP75&lt;=1400,AND((AJ75-BA75)&gt;900000,  (AJ75-BA75)&lt;=1100000)),                    80%,
 AND(AY75="ICE",  AP75&lt;=1400,(AJ75-BA75)&gt;1100000),                                       90%,
 AND(AY75="ICE",  AND(AP75&gt;1400,AP75&lt;=1600),   (AJ75-BA75)&lt;=850000),                      75%,
 AND(AY75="ICE",  AND(AP75&gt;1400,AP75&lt;=1600),   AND((AJ75-BA75)&gt;850000,(AJ75-BA75)&lt;=1100000)),     80%,
 AND(AY75="ICE",  AND(AP75&gt;1400,AP75&lt;=1600),   AND((AJ75-BA75)&gt;1100000,(AJ75-BA75)&lt;=1650000)),    90%,
 AND(AY75="ICE",  AND(AP75&gt;1400,AP75&lt;=1600),   (AJ75-BA75)&gt;1650000),                      100%,
 AND(AY75="ICE",  AND(AP75&gt;1600,AP75&lt;=2000),   (AJ75-BA75)&lt;=1650000),                     150%,
 AND(AY75="ICE",  AND(AP75&gt;1600,AP75&lt;=2000),   (AJ75-BA75)&gt;1650000),                      170%,
 AND(AY75="ICE",  AP75&gt;2000),                                                    220%,
 AND(AY75="PHEV",  AP75&lt;=1600,                (AJ75-BA75)&lt;=1350000),                     45%,
 AND(AY75="PHEV",  AP75&lt;=1600,                (AJ75-BA75)&gt;1350000),                      75%,
 AND(AY75="PHEV",  AND(AP75&gt;1600,AP75&lt;=1800),  (AJ75-BA75)&lt;=1350000),                     85%,
 AND(AY75="BEV",    AZ75&lt;=160,                 (AJ75-BA75)&lt;=1650000),                     25%,
 AND(AY75="BEV",    AZ75&lt;=160,                 (AJ75-BA75)&gt;1650000),                      55%,
 AND(AY75="BEV",    AZ75&gt; 160,                 (AJ75-BA75)&lt;=1650000),                     65%,
 AND(AY75="BEV",    AZ75&gt; 160,                 (AJ75-BA75)&gt;1650000),                      75%)</f>
        <v>0.75</v>
      </c>
      <c r="AX75" s="67" cm="1">
        <f t="array" ref="AX75">_xlfn.IFS(
 AD75=0,AV75,
 AND(AY75="ICE",  AP75&lt;=1400,AND(AJ75&gt;900000,  AJ75&lt;=1100000)),                    80%,
 AND(AY75="ICE",  AP75&lt;=1400,AJ75&gt;1100000),                                       90%,
 AND(AY75="ICE",  AND(AP75&gt;1400,AP75&lt;=1600),   AJ75&lt;=850000),                      75%,
 AND(AY75="ICE",  AND(AP75&gt;1400,AP75&lt;=1600),   AND(AJ75&gt;850000,AJ75&lt;=1100000)),     80%,
 AND(AY75="ICE",  AND(AP75&gt;1400,AP75&lt;=1600),   AND(AJ75&gt;1100000,AJ75&lt;=1650000)),    90%,
 AND(AY75="ICE",  AND(AP75&gt;1400,AP75&lt;=1600),   AJ75&gt;1650000),                      100%,
 AND(AY75="ICE",  AND(AP75&gt;1600,AP75&lt;=2000),   AJ75&lt;=1650000),                     150%,
 AND(AY75="ICE",  AND(AP75&gt;1600,AP75&lt;=2000),   AJ75&gt;1650000),                      170%,
 AND(AY75="ICE",  AP75&gt;2000),                                                    220%,
 AND(AY75="PHEV",  AP75&lt;=1600,                AJ75&lt;=1350000),                     45%,
 AND(AY75="PHEV",  AP75&lt;=1600,                AJ75&gt;1350000),                      75%,
 AND(AY75="PHEV",  AND(AP75&gt;1600,AP75&lt;=1800),  AJ75&lt;=1350000),                     85%,
 AND(AY75="BEV",    AZ75&lt;=160,                 AJ75&lt;=1650000),                     25%,
 AND(AY75="BEV",    AZ75&lt;=160,                 AJ75&gt;1650000),                      55%,
 AND(AY75="BEV",    AZ75&gt; 160,                 AJ75&lt;=1650000),                     65%,
 AND(AY75="BEV",    AZ75&gt; 160,                 AJ75&gt;1650000),                      75%)</f>
        <v>0.75</v>
      </c>
      <c r="AY75" s="80" t="str">
        <f>_xlfn.XLOOKUP(A75,'[1]My Input'!$B:$B,'[1]My Input'!$V:$V)</f>
        <v>BEV</v>
      </c>
      <c r="AZ75" s="80">
        <f>_xlfn.IFNA(_xlfn.XLOOKUP(A75,'[1]kW Tescil'!$A:$A,'[1]kW Tescil'!$C:$C),"-")</f>
        <v>265</v>
      </c>
      <c r="BA75" s="81">
        <f>_xlfn.XLOOKUP(A75,'[1]My Input'!$B:$B,'[1]My Input'!$H:$H)</f>
        <v>0</v>
      </c>
      <c r="BC75" s="82">
        <v>-10.517745868457268</v>
      </c>
      <c r="BD75" s="82">
        <v>-11.134262913811341</v>
      </c>
      <c r="BF75" s="83">
        <v>-6.1644849989132808</v>
      </c>
      <c r="BG75" s="83">
        <v>-6.3715478833507717</v>
      </c>
      <c r="BI75" s="84">
        <v>-506363.18387999944</v>
      </c>
      <c r="BL75" s="83">
        <v>-8.1006916832149329</v>
      </c>
    </row>
    <row r="76" spans="1:64" s="74" customFormat="1" ht="15" hidden="1" customHeight="1" x14ac:dyDescent="0.25">
      <c r="A76" s="57" t="s">
        <v>122</v>
      </c>
      <c r="B76" s="57" t="str">
        <f t="shared" si="356"/>
        <v>MBEQS 580 4MATICHeritage Edition</v>
      </c>
      <c r="C76" s="58" t="s">
        <v>37</v>
      </c>
      <c r="D76" s="86" t="s">
        <v>47</v>
      </c>
      <c r="E76" s="87" t="s">
        <v>123</v>
      </c>
      <c r="F76" s="88" t="s">
        <v>124</v>
      </c>
      <c r="G76" s="178"/>
      <c r="H76" s="89">
        <f>7683000*(1+6.9%)*(1+10.2%)</f>
        <v>9050865.9539999999</v>
      </c>
      <c r="I76" s="90">
        <f>H76/$H$77*$I$77</f>
        <v>65.151125019885399</v>
      </c>
      <c r="J76" s="157"/>
      <c r="K76" s="91">
        <f>(((H76-AO76)/(1+AQ76)/1.2/$AS$1)+AS76)*(1+AQ76)*(1.2)*$AS$1+AO76</f>
        <v>9986116.7040000018</v>
      </c>
      <c r="L76" s="90">
        <f>K76/$K$77*$L$77</f>
        <v>71.883369077843483</v>
      </c>
      <c r="M76" s="157"/>
      <c r="N76" s="91">
        <f>AN76*1.2*(1+AV76)+AO76</f>
        <v>9187227.367680002</v>
      </c>
      <c r="O76" s="89">
        <f>AK76*1.2*(1+AV76)+AO76</f>
        <v>8326796.6776799988</v>
      </c>
      <c r="P76" s="238">
        <f>IF(ISNUMBER(O76),O76/$O$77*$P$77,"")</f>
        <v>66.598927798105066</v>
      </c>
      <c r="Q76" s="238">
        <f>IF(ISNUMBER(N76),N76/$N$77*$Q$77,"")</f>
        <v>73.480777279573346</v>
      </c>
      <c r="R76" s="67">
        <f>_xlfn.XLOOKUP(A76,'[1]My Input'!$B:$B,'[1]My Input'!$F:$F)</f>
        <v>0</v>
      </c>
      <c r="S76" s="157"/>
      <c r="T76" s="91">
        <f>IF(X76&lt;&gt;0,AM76*1.2*(1+AW76)+AO76-X76,AN76*1.2*(1+AV76)+AO76)</f>
        <v>9187227.367680002</v>
      </c>
      <c r="U76" s="89">
        <f>IF(X76&lt;&gt;0,AJ76*1.2*(1+AW76)+AO76-X76,AK76*1.2*(1+AV76)+AO76)</f>
        <v>8326796.6776799988</v>
      </c>
      <c r="V76" s="238">
        <f>IF(ISNUMBER(U76),U76/$U$77*$V$77,"")</f>
        <v>68.110924638889784</v>
      </c>
      <c r="W76" s="238">
        <f>IF(ISNUMBER(T76),T76/$T$77*$W$77,"")</f>
        <v>75.149012892043402</v>
      </c>
      <c r="X76" s="92">
        <f>_xlfn.XLOOKUP(A76,'[1]My Input'!$B:$B,'[1]My Input'!$I:$I)</f>
        <v>0</v>
      </c>
      <c r="Y76" s="157"/>
      <c r="Z76" s="91">
        <f t="shared" si="357"/>
        <v>9106410.5376800019</v>
      </c>
      <c r="AA76" s="89">
        <f t="shared" si="358"/>
        <v>8245979.8476799987</v>
      </c>
      <c r="AB76" s="238">
        <f>IF(ISNUMBER(AA76),AA76/$AA$77*$AB$77,"")</f>
        <v>64.175636682786447</v>
      </c>
      <c r="AC76" s="238">
        <f>IF(ISNUMBER(Z76),Z76/$Z$77*$AC$77,"")</f>
        <v>70.872074022212544</v>
      </c>
      <c r="AD76" s="93">
        <f>_xlfn.XLOOKUP(A76,'[1]My Input'!$B:$B,'[1]My Input'!$N:$N)</f>
        <v>80816.83</v>
      </c>
      <c r="AE76" s="70"/>
      <c r="AF76" s="71">
        <f>_xlfn.XLOOKUP(A76,'[1]My Input'!$B:$B,'[1]My Input'!$E:$E)</f>
        <v>0.08</v>
      </c>
      <c r="AG76" s="72">
        <f>_xlfn.XLOOKUP(A76,'[1]My Input'!$B:$B,'[1]My Input'!$G:$G)</f>
        <v>0.08</v>
      </c>
      <c r="AH76" s="73">
        <f>(H76-AO76)/1.2/(1+AQ76)</f>
        <v>4309936.1685714284</v>
      </c>
      <c r="AJ76" s="73">
        <f>AH76*(1-AF76)</f>
        <v>3965141.2750857142</v>
      </c>
      <c r="AK76" s="75">
        <f>AH76*(1-AF76-R76)</f>
        <v>3965141.2750857142</v>
      </c>
      <c r="AL76" s="76">
        <f>(K76-AO76)/1.2/(1+AQ76)</f>
        <v>4755293.6685714293</v>
      </c>
      <c r="AM76" s="76">
        <f>AL76*(1-AF76)</f>
        <v>4374870.175085715</v>
      </c>
      <c r="AN76" s="76">
        <f>AL76*(1-AF76-R76)</f>
        <v>4374870.175085715</v>
      </c>
      <c r="AO76" s="77">
        <f>_xlfn.XLOOKUP(A76,'[1]My Input'!$B:$B,'[1]My Input'!$T:$T)</f>
        <v>0</v>
      </c>
      <c r="AP76" s="78">
        <f>_xlfn.XLOOKUP(A76,'[1]My Input'!$B:$B,'[1]My Input'!$S:$S)</f>
        <v>0</v>
      </c>
      <c r="AQ76" s="67">
        <f>_xlfn.XLOOKUP(A76,'[1]My Input'!$B:$B,'[1]My Input'!$U:$U)</f>
        <v>0.75</v>
      </c>
      <c r="AS76" s="153">
        <v>8483</v>
      </c>
      <c r="AU76" s="74" t="s">
        <v>41</v>
      </c>
      <c r="AV76" s="67" cm="1">
        <f t="array" ref="AV76">_xlfn.IFS(
 AND(AY76="ICE",  AP76&lt;=1400,AND(AK76&gt;900000,  AK76&lt;=1100000)),                    80%,
 AND(AY76="ICE",  AP76&lt;=1400,AK76&gt;1100000),                                       90%,
 AND(AY76="ICE",  AND(AP76&gt;1400,AP76&lt;=1600),   AK76&lt;=850000),                      75%,
 AND(AY76="ICE",  AND(AP76&gt;1400,AP76&lt;=1600),   AND(AK76&gt;850000,AK76&lt;=1100000)),     80%,
 AND(AY76="ICE",  AND(AP76&gt;1400,AP76&lt;=1600),   AND(AK76&gt;1100000,AK76&lt;=1650000)),    90%,
 AND(AY76="ICE",  AND(AP76&gt;1400,AP76&lt;=1600),   AK76&gt;1650000),                      100%,
 AND(AY76="ICE",  AND(AP76&gt;1600,AP76&lt;=2000),   AK76&lt;=1650000),                     150%,
 AND(AY76="ICE",  AND(AP76&gt;1600,AP76&lt;=2000),   AK76&gt;1650000),                      170%,
 AND(AY76="ICE",  AP76&gt;2000),                                                    220%,
 AND(AY76="PHEV",  AP76&lt;=1600,                AK76&lt;=1350000),                     45%,
 AND(AY76="PHEV",  AP76&lt;=1600,                AK76&gt;1350000),                      75%,
 AND(AY76="PHEV",  AND(AP76&gt;1600,AP76&lt;=1800),  AK76&lt;=1350000),                     85%,
 AND(AY76="BEV",    AZ76&lt;=160,                 AK76&lt;=1650000),                     25%,
 AND(AY76="BEV",    AZ76&lt;=160,                 AK76&gt;1650000),                      55%,
 AND(AY76="BEV",    AZ76&gt; 160,                 AK76&lt;=1650000),                     65%,
 AND(AY76="BEV",    AZ76&gt; 160,                 AK76&gt;1650000),                      75%)</f>
        <v>0.75</v>
      </c>
      <c r="AW76" s="67" cm="1">
        <f t="array" ref="AW76">_xlfn.IFS(
 X76=0,AV76,
 AND(AY76="ICE",  AP76&lt;=1400,AND((AJ76-BA76)&gt;900000,  (AJ76-BA76)&lt;=1100000)),                    80%,
 AND(AY76="ICE",  AP76&lt;=1400,(AJ76-BA76)&gt;1100000),                                       90%,
 AND(AY76="ICE",  AND(AP76&gt;1400,AP76&lt;=1600),   (AJ76-BA76)&lt;=850000),                      75%,
 AND(AY76="ICE",  AND(AP76&gt;1400,AP76&lt;=1600),   AND((AJ76-BA76)&gt;850000,(AJ76-BA76)&lt;=1100000)),     80%,
 AND(AY76="ICE",  AND(AP76&gt;1400,AP76&lt;=1600),   AND((AJ76-BA76)&gt;1100000,(AJ76-BA76)&lt;=1650000)),    90%,
 AND(AY76="ICE",  AND(AP76&gt;1400,AP76&lt;=1600),   (AJ76-BA76)&gt;1650000),                      100%,
 AND(AY76="ICE",  AND(AP76&gt;1600,AP76&lt;=2000),   (AJ76-BA76)&lt;=1650000),                     150%,
 AND(AY76="ICE",  AND(AP76&gt;1600,AP76&lt;=2000),   (AJ76-BA76)&gt;1650000),                      170%,
 AND(AY76="ICE",  AP76&gt;2000),                                                    220%,
 AND(AY76="PHEV",  AP76&lt;=1600,                (AJ76-BA76)&lt;=1350000),                     45%,
 AND(AY76="PHEV",  AP76&lt;=1600,                (AJ76-BA76)&gt;1350000),                      75%,
 AND(AY76="PHEV",  AND(AP76&gt;1600,AP76&lt;=1800),  (AJ76-BA76)&lt;=1350000),                     85%,
 AND(AY76="BEV",    AZ76&lt;=160,                 (AJ76-BA76)&lt;=1650000),                     25%,
 AND(AY76="BEV",    AZ76&lt;=160,                 (AJ76-BA76)&gt;1650000),                      55%,
 AND(AY76="BEV",    AZ76&gt; 160,                 (AJ76-BA76)&lt;=1650000),                     65%,
 AND(AY76="BEV",    AZ76&gt; 160,                 (AJ76-BA76)&gt;1650000),                      75%)</f>
        <v>0.75</v>
      </c>
      <c r="AX76" s="67" cm="1">
        <f t="array" ref="AX76">_xlfn.IFS(
 AD76=0,AV76,
 AND(AY76="ICE",  AP76&lt;=1400,AND(AJ76&gt;900000,  AJ76&lt;=1100000)),                    80%,
 AND(AY76="ICE",  AP76&lt;=1400,AJ76&gt;1100000),                                       90%,
 AND(AY76="ICE",  AND(AP76&gt;1400,AP76&lt;=1600),   AJ76&lt;=850000),                      75%,
 AND(AY76="ICE",  AND(AP76&gt;1400,AP76&lt;=1600),   AND(AJ76&gt;850000,AJ76&lt;=1100000)),     80%,
 AND(AY76="ICE",  AND(AP76&gt;1400,AP76&lt;=1600),   AND(AJ76&gt;1100000,AJ76&lt;=1650000)),    90%,
 AND(AY76="ICE",  AND(AP76&gt;1400,AP76&lt;=1600),   AJ76&gt;1650000),                      100%,
 AND(AY76="ICE",  AND(AP76&gt;1600,AP76&lt;=2000),   AJ76&lt;=1650000),                     150%,
 AND(AY76="ICE",  AND(AP76&gt;1600,AP76&lt;=2000),   AJ76&gt;1650000),                      170%,
 AND(AY76="ICE",  AP76&gt;2000),                                                    220%,
 AND(AY76="PHEV",  AP76&lt;=1600,                AJ76&lt;=1350000),                     45%,
 AND(AY76="PHEV",  AP76&lt;=1600,                AJ76&gt;1350000),                      75%,
 AND(AY76="PHEV",  AND(AP76&gt;1600,AP76&lt;=1800),  AJ76&lt;=1350000),                     85%,
 AND(AY76="BEV",    AZ76&lt;=160,                 AJ76&lt;=1650000),                     25%,
 AND(AY76="BEV",    AZ76&lt;=160,                 AJ76&gt;1650000),                      55%,
 AND(AY76="BEV",    AZ76&gt; 160,                 AJ76&lt;=1650000),                     65%,
 AND(AY76="BEV",    AZ76&gt; 160,                 AJ76&gt;1650000),                      75%)</f>
        <v>0.75</v>
      </c>
      <c r="AY76" s="80" t="str">
        <f>_xlfn.XLOOKUP(A76,'[1]My Input'!$B:$B,'[1]My Input'!$V:$V)</f>
        <v>BEV</v>
      </c>
      <c r="AZ76" s="80">
        <f>_xlfn.IFNA(_xlfn.XLOOKUP(A76,'[1]kW Tescil'!$A:$A,'[1]kW Tescil'!$C:$C),"-")</f>
        <v>385</v>
      </c>
      <c r="BA76" s="81">
        <f>_xlfn.XLOOKUP(A76,'[1]My Input'!$B:$B,'[1]My Input'!$H:$H)</f>
        <v>0</v>
      </c>
      <c r="BC76" s="82">
        <v>-10.517745868457268</v>
      </c>
      <c r="BD76" s="82">
        <v>-11.134262913811341</v>
      </c>
      <c r="BF76" s="83">
        <v>-6.1644849989132808</v>
      </c>
      <c r="BG76" s="83">
        <v>-6.3715478833507717</v>
      </c>
      <c r="BI76" s="84">
        <v>-506363.18387999944</v>
      </c>
      <c r="BL76" s="83">
        <v>-8.1006916832149329</v>
      </c>
    </row>
    <row r="77" spans="1:64" s="74" customFormat="1" ht="15" customHeight="1" thickBot="1" x14ac:dyDescent="0.3">
      <c r="A77" s="57" t="s">
        <v>125</v>
      </c>
      <c r="B77" s="57" t="str">
        <f t="shared" si="356"/>
        <v>BMWi7 xDrive60M Excellence</v>
      </c>
      <c r="C77" s="58" t="s">
        <v>37</v>
      </c>
      <c r="D77" s="94" t="s">
        <v>44</v>
      </c>
      <c r="E77" s="95" t="s">
        <v>126</v>
      </c>
      <c r="F77" s="152" t="s">
        <v>119</v>
      </c>
      <c r="G77" s="62"/>
      <c r="H77" s="98">
        <v>13892110</v>
      </c>
      <c r="I77" s="99">
        <v>100</v>
      </c>
      <c r="J77" s="65">
        <v>0.1</v>
      </c>
      <c r="K77" s="100">
        <f>(((H77-AO77)/(1+AQ77)/1.2/$AS$1)+AS77)*(1+AQ77)*(1.2)*$AS$1+AO77</f>
        <v>13892110</v>
      </c>
      <c r="L77" s="99">
        <v>100</v>
      </c>
      <c r="M77" s="65"/>
      <c r="N77" s="100">
        <f>AN77*1.2*(1+AV77)+AO77</f>
        <v>12502898.999999998</v>
      </c>
      <c r="O77" s="98">
        <f>AK77*1.2*(1+AV77)+AO77</f>
        <v>12502898.999999998</v>
      </c>
      <c r="P77" s="99">
        <v>100</v>
      </c>
      <c r="Q77" s="99">
        <v>100</v>
      </c>
      <c r="R77" s="67">
        <f>_xlfn.XLOOKUP(A77,'[1]My Input'!$B:$B,'[1]My Input'!$F:$F)</f>
        <v>7.0000000000000007E-2</v>
      </c>
      <c r="S77" s="65"/>
      <c r="T77" s="100">
        <f>IF(X77&lt;&gt;0,AM77*1.2*(1+AW77)+AO77-X77,AN77*1.2*(1+AV77)+AO77)</f>
        <v>12225346.699999999</v>
      </c>
      <c r="U77" s="98">
        <f>IF(X77&lt;&gt;0,AJ77*1.2*(1+AW77)+AO77-X77,AK77*1.2*(1+AV77)+AO77)</f>
        <v>12225346.699999999</v>
      </c>
      <c r="V77" s="99">
        <v>100</v>
      </c>
      <c r="W77" s="99">
        <v>100</v>
      </c>
      <c r="X77" s="102">
        <f>_xlfn.XLOOKUP(A77,'[1]My Input'!$B:$B,'[1]My Input'!$I:$I)</f>
        <v>1250000</v>
      </c>
      <c r="Y77" s="65"/>
      <c r="Z77" s="100">
        <f t="shared" si="357"/>
        <v>12849081.479999999</v>
      </c>
      <c r="AA77" s="98">
        <f t="shared" si="358"/>
        <v>12849081.479999999</v>
      </c>
      <c r="AB77" s="99">
        <v>100</v>
      </c>
      <c r="AC77" s="99">
        <v>100</v>
      </c>
      <c r="AD77" s="98">
        <f>_xlfn.XLOOKUP(A77,'[1]My Input'!$B:$B,'[1]My Input'!$N:$N)</f>
        <v>626265.22</v>
      </c>
      <c r="AE77" s="70"/>
      <c r="AF77" s="71">
        <f>_xlfn.XLOOKUP(A77,'[1]My Input'!$B:$B,'[1]My Input'!$E:$E)</f>
        <v>0.03</v>
      </c>
      <c r="AG77" s="72">
        <f>_xlfn.XLOOKUP(A77,'[1]My Input'!$B:$B,'[1]My Input'!$G:$G)</f>
        <v>0.1</v>
      </c>
      <c r="AH77" s="73">
        <f>(H77-AO77)/1.2/(1+AQ77)</f>
        <v>6615290.4761904767</v>
      </c>
      <c r="AJ77" s="73">
        <f>AH77*(1-AF77)</f>
        <v>6416831.7619047621</v>
      </c>
      <c r="AK77" s="75">
        <f>AH77*(1-AF77-R77)</f>
        <v>5953761.4285714282</v>
      </c>
      <c r="AL77" s="76">
        <f>(K77-AO77)/1.2/(1+AQ77)</f>
        <v>6615290.4761904767</v>
      </c>
      <c r="AM77" s="76">
        <f>AL77*(1-AF77)</f>
        <v>6416831.7619047621</v>
      </c>
      <c r="AN77" s="76">
        <f>AL77*(1-AF77-R77)</f>
        <v>5953761.4285714282</v>
      </c>
      <c r="AO77" s="77">
        <f>_xlfn.XLOOKUP(A77,'[1]My Input'!$B:$B,'[1]My Input'!$T:$T)</f>
        <v>0</v>
      </c>
      <c r="AP77" s="78">
        <f>_xlfn.XLOOKUP(A77,'[1]My Input'!$B:$B,'[1]My Input'!$S:$S)</f>
        <v>0</v>
      </c>
      <c r="AQ77" s="67">
        <f>_xlfn.XLOOKUP(A77,'[1]My Input'!$B:$B,'[1]My Input'!$U:$U)</f>
        <v>0.75</v>
      </c>
      <c r="AS77" s="103">
        <f>_xlfn.XLOOKUP(A77,'[1]My Input'!$B:$B,'[1]My Input'!$Q:$Q)</f>
        <v>0</v>
      </c>
      <c r="AU77" s="74" t="s">
        <v>41</v>
      </c>
      <c r="AV77" s="67" cm="1">
        <f t="array" ref="AV77">_xlfn.IFS(
 AND(AY77="ICE",  AP77&lt;=1400,AND(AK77&gt;900000,  AK77&lt;=1100000)),                    80%,
 AND(AY77="ICE",  AP77&lt;=1400,AK77&gt;1100000),                                       90%,
 AND(AY77="ICE",  AND(AP77&gt;1400,AP77&lt;=1600),   AK77&lt;=850000),                      75%,
 AND(AY77="ICE",  AND(AP77&gt;1400,AP77&lt;=1600),   AND(AK77&gt;850000,AK77&lt;=1100000)),     80%,
 AND(AY77="ICE",  AND(AP77&gt;1400,AP77&lt;=1600),   AND(AK77&gt;1100000,AK77&lt;=1650000)),    90%,
 AND(AY77="ICE",  AND(AP77&gt;1400,AP77&lt;=1600),   AK77&gt;1650000),                      100%,
 AND(AY77="ICE",  AND(AP77&gt;1600,AP77&lt;=2000),   AK77&lt;=1650000),                     150%,
 AND(AY77="ICE",  AND(AP77&gt;1600,AP77&lt;=2000),   AK77&gt;1650000),                      170%,
 AND(AY77="ICE",  AP77&gt;2000),                                                    220%,
 AND(AY77="PHEV",  AP77&lt;=1600,                AK77&lt;=1350000),                     45%,
 AND(AY77="PHEV",  AP77&lt;=1600,                AK77&gt;1350000),                      75%,
 AND(AY77="PHEV",  AND(AP77&gt;1600,AP77&lt;=1800),  AK77&lt;=1350000),                     85%,
 AND(AY77="BEV",    AZ77&lt;=160,                 AK77&lt;=1650000),                     25%,
 AND(AY77="BEV",    AZ77&lt;=160,                 AK77&gt;1650000),                      55%,
 AND(AY77="BEV",    AZ77&gt; 160,                 AK77&lt;=1650000),                     65%,
 AND(AY77="BEV",    AZ77&gt; 160,                 AK77&gt;1650000),                      75%)</f>
        <v>0.75</v>
      </c>
      <c r="AW77" s="67" cm="1">
        <f t="array" ref="AW77">_xlfn.IFS(
 X77=0,AV77,
 AND(AY77="ICE",  AP77&lt;=1400,AND((AJ77-BA77)&gt;900000,  (AJ77-BA77)&lt;=1100000)),                    80%,
 AND(AY77="ICE",  AP77&lt;=1400,(AJ77-BA77)&gt;1100000),                                       90%,
 AND(AY77="ICE",  AND(AP77&gt;1400,AP77&lt;=1600),   (AJ77-BA77)&lt;=850000),                      75%,
 AND(AY77="ICE",  AND(AP77&gt;1400,AP77&lt;=1600),   AND((AJ77-BA77)&gt;850000,(AJ77-BA77)&lt;=1100000)),     80%,
 AND(AY77="ICE",  AND(AP77&gt;1400,AP77&lt;=1600),   AND((AJ77-BA77)&gt;1100000,(AJ77-BA77)&lt;=1650000)),    90%,
 AND(AY77="ICE",  AND(AP77&gt;1400,AP77&lt;=1600),   (AJ77-BA77)&gt;1650000),                      100%,
 AND(AY77="ICE",  AND(AP77&gt;1600,AP77&lt;=2000),   (AJ77-BA77)&lt;=1650000),                     150%,
 AND(AY77="ICE",  AND(AP77&gt;1600,AP77&lt;=2000),   (AJ77-BA77)&gt;1650000),                      170%,
 AND(AY77="ICE",  AP77&gt;2000),                                                    220%,
 AND(AY77="PHEV",  AP77&lt;=1600,                (AJ77-BA77)&lt;=1350000),                     45%,
 AND(AY77="PHEV",  AP77&lt;=1600,                (AJ77-BA77)&gt;1350000),                      75%,
 AND(AY77="PHEV",  AND(AP77&gt;1600,AP77&lt;=1800),  (AJ77-BA77)&lt;=1350000),                     85%,
 AND(AY77="BEV",    AZ77&lt;=160,                 (AJ77-BA77)&lt;=1650000),                     25%,
 AND(AY77="BEV",    AZ77&lt;=160,                 (AJ77-BA77)&gt;1650000),                      55%,
 AND(AY77="BEV",    AZ77&gt; 160,                 (AJ77-BA77)&lt;=1650000),                     65%,
 AND(AY77="BEV",    AZ77&gt; 160,                 (AJ77-BA77)&gt;1650000),                      75%)</f>
        <v>0.75</v>
      </c>
      <c r="AX77" s="67" cm="1">
        <f t="array" ref="AX77">_xlfn.IFS(
 AD77=0,AV77,
 AND(AY77="ICE",  AP77&lt;=1400,AND(AJ77&gt;900000,  AJ77&lt;=1100000)),                    80%,
 AND(AY77="ICE",  AP77&lt;=1400,AJ77&gt;1100000),                                       90%,
 AND(AY77="ICE",  AND(AP77&gt;1400,AP77&lt;=1600),   AJ77&lt;=850000),                      75%,
 AND(AY77="ICE",  AND(AP77&gt;1400,AP77&lt;=1600),   AND(AJ77&gt;850000,AJ77&lt;=1100000)),     80%,
 AND(AY77="ICE",  AND(AP77&gt;1400,AP77&lt;=1600),   AND(AJ77&gt;1100000,AJ77&lt;=1650000)),    90%,
 AND(AY77="ICE",  AND(AP77&gt;1400,AP77&lt;=1600),   AJ77&gt;1650000),                      100%,
 AND(AY77="ICE",  AND(AP77&gt;1600,AP77&lt;=2000),   AJ77&lt;=1650000),                     150%,
 AND(AY77="ICE",  AND(AP77&gt;1600,AP77&lt;=2000),   AJ77&gt;1650000),                      170%,
 AND(AY77="ICE",  AP77&gt;2000),                                                    220%,
 AND(AY77="PHEV",  AP77&lt;=1600,                AJ77&lt;=1350000),                     45%,
 AND(AY77="PHEV",  AP77&lt;=1600,                AJ77&gt;1350000),                      75%,
 AND(AY77="PHEV",  AND(AP77&gt;1600,AP77&lt;=1800),  AJ77&lt;=1350000),                     85%,
 AND(AY77="BEV",    AZ77&lt;=160,                 AJ77&lt;=1650000),                     25%,
 AND(AY77="BEV",    AZ77&lt;=160,                 AJ77&gt;1650000),                      55%,
 AND(AY77="BEV",    AZ77&gt; 160,                 AJ77&lt;=1650000),                     65%,
 AND(AY77="BEV",    AZ77&gt; 160,                 AJ77&gt;1650000),                      75%)</f>
        <v>0.75</v>
      </c>
      <c r="AY77" s="80" t="str">
        <f>_xlfn.XLOOKUP(A77,'[1]My Input'!$B:$B,'[1]My Input'!$V:$V)</f>
        <v>BEV</v>
      </c>
      <c r="AZ77" s="80">
        <f>_xlfn.IFNA(_xlfn.XLOOKUP(A77,'[1]kW Tescil'!$A:$A,'[1]kW Tescil'!$C:$C),"-")</f>
        <v>400</v>
      </c>
      <c r="BA77" s="81">
        <f>_xlfn.XLOOKUP(A77,'[1]My Input'!$B:$B,'[1]My Input'!$H:$H)</f>
        <v>595238.09523809527</v>
      </c>
      <c r="BC77" s="82">
        <v>0</v>
      </c>
      <c r="BD77" s="82">
        <v>0</v>
      </c>
      <c r="BF77" s="83">
        <v>0</v>
      </c>
      <c r="BG77" s="83">
        <v>0</v>
      </c>
      <c r="BI77" s="84">
        <v>863911.74261999875</v>
      </c>
      <c r="BL77" s="83">
        <v>0</v>
      </c>
    </row>
    <row r="78" spans="1:64" s="117" customFormat="1" ht="7.15" customHeight="1" thickBot="1" x14ac:dyDescent="0.3">
      <c r="A78" s="57"/>
      <c r="B78" s="57"/>
      <c r="C78" s="104"/>
      <c r="D78" s="239"/>
      <c r="E78" s="240"/>
      <c r="F78" s="106"/>
      <c r="G78" s="107"/>
      <c r="H78" s="108"/>
      <c r="I78" s="109"/>
      <c r="J78" s="65"/>
      <c r="K78" s="108"/>
      <c r="L78" s="109"/>
      <c r="M78" s="110"/>
      <c r="N78" s="108"/>
      <c r="O78" s="108"/>
      <c r="P78" s="109"/>
      <c r="Q78" s="109"/>
      <c r="R78" s="111"/>
      <c r="S78" s="110"/>
      <c r="T78" s="108"/>
      <c r="U78" s="108"/>
      <c r="V78" s="109"/>
      <c r="W78" s="109"/>
      <c r="X78" s="166"/>
      <c r="Y78" s="110"/>
      <c r="Z78" s="108"/>
      <c r="AA78" s="108"/>
      <c r="AB78" s="109"/>
      <c r="AC78" s="109"/>
      <c r="AD78" s="167"/>
      <c r="AE78" s="114"/>
      <c r="AF78" s="115"/>
      <c r="AG78" s="19"/>
      <c r="AH78" s="116"/>
      <c r="AJ78" s="116"/>
      <c r="AK78" s="21"/>
      <c r="AL78" s="20"/>
      <c r="AM78" s="76"/>
      <c r="AN78" s="20"/>
      <c r="AO78" s="116"/>
      <c r="AP78" s="78"/>
      <c r="AQ78" s="67"/>
      <c r="AS78" s="118"/>
      <c r="AV78" s="67" t="e" cm="1">
        <f t="array" ref="AV78">_xlfn.IFS(
 AND(AY78="ICE",  AP78&lt;=1400,AND(AK78&gt;900000,  AK78&lt;=1100000)),                    80%,
 AND(AY78="ICE",  AP78&lt;=1400,AK78&gt;1100000),                                       90%,
 AND(AY78="ICE",  AND(AP78&gt;1400,AP78&lt;=1600),   AK78&lt;=850000),                      75%,
 AND(AY78="ICE",  AND(AP78&gt;1400,AP78&lt;=1600),   AND(AK78&gt;850000,AK78&lt;=1100000)),     80%,
 AND(AY78="ICE",  AND(AP78&gt;1400,AP78&lt;=1600),   AND(AK78&gt;1100000,AK78&lt;=1650000)),    90%,
 AND(AY78="ICE",  AND(AP78&gt;1400,AP78&lt;=1600),   AK78&gt;1650000),                      100%,
 AND(AY78="ICE",  AND(AP78&gt;1600,AP78&lt;=2000),   AK78&lt;=1650000),                     150%,
 AND(AY78="ICE",  AND(AP78&gt;1600,AP78&lt;=2000),   AK78&gt;1650000),                      170%,
 AND(AY78="ICE",  AP78&gt;2000),                                                    220%,
 AND(AY78="PHEV",  AP78&lt;=1600,                AK78&lt;=1350000),                     45%,
 AND(AY78="PHEV",  AP78&lt;=1600,                AK78&gt;1350000),                      75%,
 AND(AY78="PHEV",  AND(AP78&gt;1600,AP78&lt;=1800),  AK78&lt;=1350000),                     85%,
 AND(AY78="BEV",    AZ78&lt;=160,                 AK78&lt;=1650000),                     25%,
 AND(AY78="BEV",    AZ78&lt;=160,                 AK78&gt;1650000),                      55%,
 AND(AY78="BEV",    AZ78&gt; 160,                 AK78&lt;=1650000),                     65%,
 AND(AY78="BEV",    AZ78&gt; 160,                 AK78&gt;1650000),                      75%)</f>
        <v>#N/A</v>
      </c>
      <c r="AW78" s="67" t="e" cm="1">
        <f t="array" ref="AW78">_xlfn.IFS(
 X78=0,AV78,
 AND(AY78="ICE",  AP78&lt;=1400,AND((AJ78-BA78)&gt;900000,  (AJ78-BA78)&lt;=1100000)),                    80%,
 AND(AY78="ICE",  AP78&lt;=1400,(AJ78-BA78)&gt;1100000),                                       90%,
 AND(AY78="ICE",  AND(AP78&gt;1400,AP78&lt;=1600),   (AJ78-BA78)&lt;=850000),                      75%,
 AND(AY78="ICE",  AND(AP78&gt;1400,AP78&lt;=1600),   AND((AJ78-BA78)&gt;850000,(AJ78-BA78)&lt;=1100000)),     80%,
 AND(AY78="ICE",  AND(AP78&gt;1400,AP78&lt;=1600),   AND((AJ78-BA78)&gt;1100000,(AJ78-BA78)&lt;=1650000)),    90%,
 AND(AY78="ICE",  AND(AP78&gt;1400,AP78&lt;=1600),   (AJ78-BA78)&gt;1650000),                      100%,
 AND(AY78="ICE",  AND(AP78&gt;1600,AP78&lt;=2000),   (AJ78-BA78)&lt;=1650000),                     150%,
 AND(AY78="ICE",  AND(AP78&gt;1600,AP78&lt;=2000),   (AJ78-BA78)&gt;1650000),                      170%,
 AND(AY78="ICE",  AP78&gt;2000),                                                    220%,
 AND(AY78="PHEV",  AP78&lt;=1600,                (AJ78-BA78)&lt;=1350000),                     45%,
 AND(AY78="PHEV",  AP78&lt;=1600,                (AJ78-BA78)&gt;1350000),                      75%,
 AND(AY78="PHEV",  AND(AP78&gt;1600,AP78&lt;=1800),  (AJ78-BA78)&lt;=1350000),                     85%,
 AND(AY78="BEV",    AZ78&lt;=160,                 (AJ78-BA78)&lt;=1650000),                     25%,
 AND(AY78="BEV",    AZ78&lt;=160,                 (AJ78-BA78)&gt;1650000),                      55%,
 AND(AY78="BEV",    AZ78&gt; 160,                 (AJ78-BA78)&lt;=1650000),                     65%,
 AND(AY78="BEV",    AZ78&gt; 160,                 (AJ78-BA78)&gt;1650000),                      75%)</f>
        <v>#N/A</v>
      </c>
      <c r="AX78" s="67" t="e" cm="1">
        <f t="array" ref="AX78">_xlfn.IFS(
 AD78=0,AV78,
 AND(AY78="ICE",  AP78&lt;=1400,AND(AJ78&gt;900000,  AJ78&lt;=1100000)),                    80%,
 AND(AY78="ICE",  AP78&lt;=1400,AJ78&gt;1100000),                                       90%,
 AND(AY78="ICE",  AND(AP78&gt;1400,AP78&lt;=1600),   AJ78&lt;=850000),                      75%,
 AND(AY78="ICE",  AND(AP78&gt;1400,AP78&lt;=1600),   AND(AJ78&gt;850000,AJ78&lt;=1100000)),     80%,
 AND(AY78="ICE",  AND(AP78&gt;1400,AP78&lt;=1600),   AND(AJ78&gt;1100000,AJ78&lt;=1650000)),    90%,
 AND(AY78="ICE",  AND(AP78&gt;1400,AP78&lt;=1600),   AJ78&gt;1650000),                      100%,
 AND(AY78="ICE",  AND(AP78&gt;1600,AP78&lt;=2000),   AJ78&lt;=1650000),                     150%,
 AND(AY78="ICE",  AND(AP78&gt;1600,AP78&lt;=2000),   AJ78&gt;1650000),                      170%,
 AND(AY78="ICE",  AP78&gt;2000),                                                    220%,
 AND(AY78="PHEV",  AP78&lt;=1600,                AJ78&lt;=1350000),                     45%,
 AND(AY78="PHEV",  AP78&lt;=1600,                AJ78&gt;1350000),                      75%,
 AND(AY78="PHEV",  AND(AP78&gt;1600,AP78&lt;=1800),  AJ78&lt;=1350000),                     85%,
 AND(AY78="BEV",    AZ78&lt;=160,                 AJ78&lt;=1650000),                     25%,
 AND(AY78="BEV",    AZ78&lt;=160,                 AJ78&gt;1650000),                      55%,
 AND(AY78="BEV",    AZ78&gt; 160,                 AJ78&lt;=1650000),                     65%,
 AND(AY78="BEV",    AZ78&gt; 160,                 AJ78&gt;1650000),                      75%)</f>
        <v>#N/A</v>
      </c>
      <c r="AY78" s="80" t="e">
        <f>_xlfn.XLOOKUP(A78,'[1]My Input'!$B:$B,'[1]My Input'!$V:$V)</f>
        <v>#N/A</v>
      </c>
      <c r="AZ78" s="80">
        <f>_xlfn.IFNA(_xlfn.XLOOKUP(A78,'[1]kW Tescil'!$A:$A,'[1]kW Tescil'!$C:$C),"-")</f>
        <v>0</v>
      </c>
      <c r="BA78" s="81">
        <f>_xlfn.XLOOKUP(A78,'[1]My Input'!$B:$B,'[1]My Input'!$H:$H)</f>
        <v>0</v>
      </c>
      <c r="BC78" s="82">
        <v>0</v>
      </c>
      <c r="BD78" s="82">
        <v>0</v>
      </c>
      <c r="BF78" s="83">
        <v>0</v>
      </c>
      <c r="BG78" s="83">
        <v>0</v>
      </c>
      <c r="BI78" s="84" t="e">
        <v>#N/A</v>
      </c>
      <c r="BL78" s="83">
        <v>0</v>
      </c>
    </row>
    <row r="79" spans="1:64" s="74" customFormat="1" ht="15" hidden="1" customHeight="1" x14ac:dyDescent="0.25">
      <c r="A79" s="57"/>
      <c r="B79" s="57" t="str">
        <f t="shared" ref="B79:B164" si="359">D79&amp;E79&amp;F79</f>
        <v>MBGLB 200 4MATICProgressive+</v>
      </c>
      <c r="C79" s="85" t="s">
        <v>106</v>
      </c>
      <c r="D79" s="59" t="s">
        <v>47</v>
      </c>
      <c r="E79" s="60" t="s">
        <v>127</v>
      </c>
      <c r="F79" s="61" t="s">
        <v>128</v>
      </c>
      <c r="G79" s="62"/>
      <c r="H79" s="63" t="e">
        <v>#N/A</v>
      </c>
      <c r="I79" s="64" t="e">
        <f>H79/$H$81*$I$81</f>
        <v>#N/A</v>
      </c>
      <c r="J79" s="65"/>
      <c r="K79" s="66" t="e">
        <f>(((H79-AO79)/(1+AQ79)/1.2/$AS$1)+AS79)*(1+AQ79)*(1.2)*$AS$1+AO79</f>
        <v>#N/A</v>
      </c>
      <c r="L79" s="64" t="e">
        <f>K79/$K$81*$L$81</f>
        <v>#N/A</v>
      </c>
      <c r="M79" s="65"/>
      <c r="N79" s="66" t="e">
        <f>AN79*1.2*(1+AV79)+AO79</f>
        <v>#N/A</v>
      </c>
      <c r="O79" s="63" t="e">
        <f>AK79*1.2*(1+AV79)+AO79</f>
        <v>#N/A</v>
      </c>
      <c r="P79" s="241" t="str">
        <f>IF(ISNUMBER(O79),O79/$O$81*$P$81,"")</f>
        <v/>
      </c>
      <c r="Q79" s="241" t="str">
        <f>IF(ISNUMBER(N79),N79/$N$81*$Q$81,"")</f>
        <v/>
      </c>
      <c r="R79" s="67" t="e">
        <f>_xlfn.XLOOKUP(A79,'[1]My Input'!$B:$B,'[1]My Input'!$F:$F)</f>
        <v>#N/A</v>
      </c>
      <c r="S79" s="65"/>
      <c r="T79" s="66" t="e">
        <f t="shared" ref="T79:T81" si="360">IF(X79&lt;&gt;0,AM79*1.2*(1+AQ79)+AO79-X79,AN79*1.2*(1+AQ79)+AO79)</f>
        <v>#N/A</v>
      </c>
      <c r="U79" s="63" t="e">
        <f t="shared" ref="U79:U81" si="361">IF(X79&lt;&gt;0,AJ79*1.2*(1+AQ79)+AO79-X79,AK79*1.2*(1+AQ79)+AO79)</f>
        <v>#N/A</v>
      </c>
      <c r="V79" s="241" t="str">
        <f>IF(ISNUMBER(U79),U79/$U$81*$V$81,"")</f>
        <v/>
      </c>
      <c r="W79" s="241" t="str">
        <f>IF(ISNUMBER(T79),T79/$T$81*$W$81,"")</f>
        <v/>
      </c>
      <c r="X79" s="68" t="e">
        <f>_xlfn.XLOOKUP(A79,'[1]My Input'!$B:$B,'[1]My Input'!$I:$I)</f>
        <v>#N/A</v>
      </c>
      <c r="Y79" s="65"/>
      <c r="Z79" s="66" t="e">
        <f t="shared" ref="Z79:Z164" si="362">IF(AD79&lt;&gt;0,AM79*1.2*(1+AQ79)+AO79-AD79,AL79*(1-AG79)*1.2*(1+AQ79)+AO79)</f>
        <v>#N/A</v>
      </c>
      <c r="AA79" s="63" t="e">
        <f t="shared" ref="AA79:AA86" si="363">IF(AD79&lt;&gt;0,AJ79*1.2*(1+AX79)+AO79-AD79,AH79*(1-AG79)*1.2*(1+AV79)+AO79)</f>
        <v>#N/A</v>
      </c>
      <c r="AB79" s="241" t="str">
        <f>IF(ISNUMBER(AA79),AA79/$AA$81*$AB$81,"")</f>
        <v/>
      </c>
      <c r="AC79" s="241" t="str">
        <f>IF(ISNUMBER(Z79),Z79/$Z$81*$AC$81,"")</f>
        <v/>
      </c>
      <c r="AD79" s="69" t="e">
        <f>_xlfn.XLOOKUP(A79,'[1]My Input'!$B:$B,'[1]My Input'!$N:$N)</f>
        <v>#N/A</v>
      </c>
      <c r="AE79" s="70"/>
      <c r="AF79" s="71" t="e">
        <f>_xlfn.XLOOKUP(A79,'[1]My Input'!$B:$B,'[1]My Input'!$E:$E)</f>
        <v>#N/A</v>
      </c>
      <c r="AG79" s="72" t="e">
        <f>_xlfn.XLOOKUP(A79,'[1]My Input'!$B:$B,'[1]My Input'!$G:$G)</f>
        <v>#N/A</v>
      </c>
      <c r="AH79" s="73" t="e">
        <f>(H79-AO79)/1.2/(1+AQ79)</f>
        <v>#N/A</v>
      </c>
      <c r="AJ79" s="73" t="e">
        <f>AH79*(1-AF79)</f>
        <v>#N/A</v>
      </c>
      <c r="AK79" s="75" t="e">
        <f>AH79*(1-AF79-R79)</f>
        <v>#N/A</v>
      </c>
      <c r="AL79" s="76" t="e">
        <f>(K79-AO79)/1.2/(1+AQ79)</f>
        <v>#N/A</v>
      </c>
      <c r="AM79" s="76" t="e">
        <f>AL79*(1-AF79)</f>
        <v>#N/A</v>
      </c>
      <c r="AN79" s="76" t="e">
        <f>AL79*(1-AF79-R79)</f>
        <v>#N/A</v>
      </c>
      <c r="AO79" s="77" t="e">
        <f>_xlfn.XLOOKUP(A79,'[1]My Input'!$B:$B,'[1]My Input'!$T:$T)</f>
        <v>#N/A</v>
      </c>
      <c r="AP79" s="78" t="e">
        <f>_xlfn.XLOOKUP(A79,'[1]My Input'!$B:$B,'[1]My Input'!$S:$S)</f>
        <v>#N/A</v>
      </c>
      <c r="AQ79" s="67" t="e">
        <f>_xlfn.XLOOKUP(A79,'[1]My Input'!$B:$B,'[1]My Input'!$U:$U)</f>
        <v>#N/A</v>
      </c>
      <c r="AS79" s="103" t="e">
        <f>_xlfn.XLOOKUP(A79,'[1]My Input'!$B:$B,'[1]My Input'!$Q:$Q)</f>
        <v>#N/A</v>
      </c>
      <c r="AV79" s="67" t="e" cm="1">
        <f t="array" ref="AV79">_xlfn.IFS(
 AND(AY79="ICE",  AP79&lt;=1400,AND(AK79&gt;900000,  AK79&lt;=1100000)),                    80%,
 AND(AY79="ICE",  AP79&lt;=1400,AK79&gt;1100000),                                       90%,
 AND(AY79="ICE",  AND(AP79&gt;1400,AP79&lt;=1600),   AK79&lt;=850000),                      75%,
 AND(AY79="ICE",  AND(AP79&gt;1400,AP79&lt;=1600),   AND(AK79&gt;850000,AK79&lt;=1100000)),     80%,
 AND(AY79="ICE",  AND(AP79&gt;1400,AP79&lt;=1600),   AND(AK79&gt;1100000,AK79&lt;=1650000)),    90%,
 AND(AY79="ICE",  AND(AP79&gt;1400,AP79&lt;=1600),   AK79&gt;1650000),                      100%,
 AND(AY79="ICE",  AND(AP79&gt;1600,AP79&lt;=2000),   AK79&lt;=1650000),                     150%,
 AND(AY79="ICE",  AND(AP79&gt;1600,AP79&lt;=2000),   AK79&gt;1650000),                      170%,
 AND(AY79="ICE",  AP79&gt;2000),                                                    220%,
 AND(AY79="PHEV",  AP79&lt;=1600,                AK79&lt;=1350000),                     45%,
 AND(AY79="PHEV",  AP79&lt;=1600,                AK79&gt;1350000),                      75%,
 AND(AY79="PHEV",  AND(AP79&gt;1600,AP79&lt;=1800),  AK79&lt;=1350000),                     85%,
 AND(AY79="BEV",    AZ79&lt;=160,                 AK79&lt;=1650000),                     25%,
 AND(AY79="BEV",    AZ79&lt;=160,                 AK79&gt;1650000),                      55%,
 AND(AY79="BEV",    AZ79&gt; 160,                 AK79&lt;=1650000),                     65%,
 AND(AY79="BEV",    AZ79&gt; 160,                 AK79&gt;1650000),                      75%)</f>
        <v>#N/A</v>
      </c>
      <c r="AW79" s="67" t="e" cm="1">
        <f t="array" ref="AW79">_xlfn.IFS(
 X79=0,AV79,
 AND(AY79="ICE",  AP79&lt;=1400,AND((AJ79-BA79)&gt;900000,  (AJ79-BA79)&lt;=1100000)),                    80%,
 AND(AY79="ICE",  AP79&lt;=1400,(AJ79-BA79)&gt;1100000),                                       90%,
 AND(AY79="ICE",  AND(AP79&gt;1400,AP79&lt;=1600),   (AJ79-BA79)&lt;=850000),                      75%,
 AND(AY79="ICE",  AND(AP79&gt;1400,AP79&lt;=1600),   AND((AJ79-BA79)&gt;850000,(AJ79-BA79)&lt;=1100000)),     80%,
 AND(AY79="ICE",  AND(AP79&gt;1400,AP79&lt;=1600),   AND((AJ79-BA79)&gt;1100000,(AJ79-BA79)&lt;=1650000)),    90%,
 AND(AY79="ICE",  AND(AP79&gt;1400,AP79&lt;=1600),   (AJ79-BA79)&gt;1650000),                      100%,
 AND(AY79="ICE",  AND(AP79&gt;1600,AP79&lt;=2000),   (AJ79-BA79)&lt;=1650000),                     150%,
 AND(AY79="ICE",  AND(AP79&gt;1600,AP79&lt;=2000),   (AJ79-BA79)&gt;1650000),                      170%,
 AND(AY79="ICE",  AP79&gt;2000),                                                    220%,
 AND(AY79="PHEV",  AP79&lt;=1600,                (AJ79-BA79)&lt;=1350000),                     45%,
 AND(AY79="PHEV",  AP79&lt;=1600,                (AJ79-BA79)&gt;1350000),                      75%,
 AND(AY79="PHEV",  AND(AP79&gt;1600,AP79&lt;=1800),  (AJ79-BA79)&lt;=1350000),                     85%,
 AND(AY79="BEV",    AZ79&lt;=160,                 (AJ79-BA79)&lt;=1650000),                     25%,
 AND(AY79="BEV",    AZ79&lt;=160,                 (AJ79-BA79)&gt;1650000),                      55%,
 AND(AY79="BEV",    AZ79&gt; 160,                 (AJ79-BA79)&lt;=1650000),                     65%,
 AND(AY79="BEV",    AZ79&gt; 160,                 (AJ79-BA79)&gt;1650000),                      75%)</f>
        <v>#N/A</v>
      </c>
      <c r="AX79" s="67" t="e" cm="1">
        <f t="array" ref="AX79">_xlfn.IFS(
 AD79=0,AV79,
 AND(AY79="ICE",  AP79&lt;=1400,AND(AJ79&gt;900000,  AJ79&lt;=1100000)),                    80%,
 AND(AY79="ICE",  AP79&lt;=1400,AJ79&gt;1100000),                                       90%,
 AND(AY79="ICE",  AND(AP79&gt;1400,AP79&lt;=1600),   AJ79&lt;=850000),                      75%,
 AND(AY79="ICE",  AND(AP79&gt;1400,AP79&lt;=1600),   AND(AJ79&gt;850000,AJ79&lt;=1100000)),     80%,
 AND(AY79="ICE",  AND(AP79&gt;1400,AP79&lt;=1600),   AND(AJ79&gt;1100000,AJ79&lt;=1650000)),    90%,
 AND(AY79="ICE",  AND(AP79&gt;1400,AP79&lt;=1600),   AJ79&gt;1650000),                      100%,
 AND(AY79="ICE",  AND(AP79&gt;1600,AP79&lt;=2000),   AJ79&lt;=1650000),                     150%,
 AND(AY79="ICE",  AND(AP79&gt;1600,AP79&lt;=2000),   AJ79&gt;1650000),                      170%,
 AND(AY79="ICE",  AP79&gt;2000),                                                    220%,
 AND(AY79="PHEV",  AP79&lt;=1600,                AJ79&lt;=1350000),                     45%,
 AND(AY79="PHEV",  AP79&lt;=1600,                AJ79&gt;1350000),                      75%,
 AND(AY79="PHEV",  AND(AP79&gt;1600,AP79&lt;=1800),  AJ79&lt;=1350000),                     85%,
 AND(AY79="BEV",    AZ79&lt;=160,                 AJ79&lt;=1650000),                     25%,
 AND(AY79="BEV",    AZ79&lt;=160,                 AJ79&gt;1650000),                      55%,
 AND(AY79="BEV",    AZ79&gt; 160,                 AJ79&lt;=1650000),                     65%,
 AND(AY79="BEV",    AZ79&gt; 160,                 AJ79&gt;1650000),                      75%)</f>
        <v>#N/A</v>
      </c>
      <c r="AY79" s="80" t="e">
        <f>_xlfn.XLOOKUP(A79,'[1]My Input'!$B:$B,'[1]My Input'!$V:$V)</f>
        <v>#N/A</v>
      </c>
      <c r="AZ79" s="80">
        <f>_xlfn.IFNA(_xlfn.XLOOKUP(A79,'[1]kW Tescil'!$A:$A,'[1]kW Tescil'!$C:$C),"-")</f>
        <v>0</v>
      </c>
      <c r="BA79" s="81" t="e">
        <f>_xlfn.XLOOKUP(A79,'[1]My Input'!$B:$B,'[1]My Input'!$H:$H)</f>
        <v>#N/A</v>
      </c>
      <c r="BC79" s="82" t="e">
        <v>#VALUE!</v>
      </c>
      <c r="BD79" s="82" t="e">
        <v>#VALUE!</v>
      </c>
      <c r="BF79" s="83" t="e">
        <v>#VALUE!</v>
      </c>
      <c r="BG79" s="83" t="e">
        <v>#VALUE!</v>
      </c>
      <c r="BI79" s="84" t="e">
        <v>#N/A</v>
      </c>
      <c r="BL79" s="83" t="e">
        <v>#VALUE!</v>
      </c>
    </row>
    <row r="80" spans="1:64" s="74" customFormat="1" ht="15" hidden="1" customHeight="1" x14ac:dyDescent="0.25">
      <c r="A80" s="57"/>
      <c r="B80" s="57" t="str">
        <f t="shared" si="359"/>
        <v>AudiQ3 35 TFSIAdvanced</v>
      </c>
      <c r="C80" s="85" t="s">
        <v>106</v>
      </c>
      <c r="D80" s="86" t="s">
        <v>38</v>
      </c>
      <c r="E80" s="87" t="s">
        <v>129</v>
      </c>
      <c r="F80" s="88" t="s">
        <v>40</v>
      </c>
      <c r="G80" s="62"/>
      <c r="H80" s="89">
        <v>3496481</v>
      </c>
      <c r="I80" s="90">
        <f>H80/$H$81*$I$81</f>
        <v>92.017500921101117</v>
      </c>
      <c r="J80" s="65"/>
      <c r="K80" s="91" t="e">
        <f>(((H80-AO80)/(1+AQ80)/1.2/$AS$1)+AS80)*(1+AQ80)*(1.2)*$AS$1+AO80</f>
        <v>#N/A</v>
      </c>
      <c r="L80" s="90" t="e">
        <f>K80/$K$81*$L$81</f>
        <v>#N/A</v>
      </c>
      <c r="M80" s="65"/>
      <c r="N80" s="91" t="e">
        <f>AN80*1.2*(1+AV80)+AO80</f>
        <v>#N/A</v>
      </c>
      <c r="O80" s="89" t="e">
        <f>AK80*1.2*(1+AV80)+AO80</f>
        <v>#N/A</v>
      </c>
      <c r="P80" s="238" t="str">
        <f>IF(ISNUMBER(O80),O80/$O$81*$P$81,"")</f>
        <v/>
      </c>
      <c r="Q80" s="238" t="str">
        <f>IF(ISNUMBER(N80),N80/$N$81*$Q$81,"")</f>
        <v/>
      </c>
      <c r="R80" s="67" t="e">
        <f>_xlfn.XLOOKUP(A80,'[1]My Input'!$B:$B,'[1]My Input'!$F:$F)</f>
        <v>#N/A</v>
      </c>
      <c r="S80" s="65"/>
      <c r="T80" s="91" t="e">
        <f t="shared" si="360"/>
        <v>#N/A</v>
      </c>
      <c r="U80" s="89" t="e">
        <f t="shared" si="361"/>
        <v>#N/A</v>
      </c>
      <c r="V80" s="238" t="str">
        <f>IF(ISNUMBER(U80),U80/$U$81*$V$81,"")</f>
        <v/>
      </c>
      <c r="W80" s="238" t="str">
        <f>IF(ISNUMBER(T80),T80/$T$81*$W$81,"")</f>
        <v/>
      </c>
      <c r="X80" s="92" t="e">
        <f>_xlfn.XLOOKUP(A80,'[1]My Input'!$B:$B,'[1]My Input'!$I:$I)</f>
        <v>#N/A</v>
      </c>
      <c r="Y80" s="65"/>
      <c r="Z80" s="91" t="e">
        <f t="shared" si="362"/>
        <v>#N/A</v>
      </c>
      <c r="AA80" s="89" t="e">
        <f t="shared" si="363"/>
        <v>#N/A</v>
      </c>
      <c r="AB80" s="238" t="str">
        <f>IF(ISNUMBER(AA80),AA80/$AA$81*$AB$81,"")</f>
        <v/>
      </c>
      <c r="AC80" s="238" t="str">
        <f>IF(ISNUMBER(Z80),Z80/$Z$81*$AC$81,"")</f>
        <v/>
      </c>
      <c r="AD80" s="93" t="e">
        <f>_xlfn.XLOOKUP(A80,'[1]My Input'!$B:$B,'[1]My Input'!$N:$N)</f>
        <v>#N/A</v>
      </c>
      <c r="AE80" s="70"/>
      <c r="AF80" s="71" t="e">
        <f>_xlfn.XLOOKUP(A80,'[1]My Input'!$B:$B,'[1]My Input'!$E:$E)</f>
        <v>#N/A</v>
      </c>
      <c r="AG80" s="72" t="e">
        <f>_xlfn.XLOOKUP(A80,'[1]My Input'!$B:$B,'[1]My Input'!$G:$G)</f>
        <v>#N/A</v>
      </c>
      <c r="AH80" s="73" t="e">
        <f>(H80-AO80)/1.2/(1+AQ80)</f>
        <v>#N/A</v>
      </c>
      <c r="AJ80" s="73" t="e">
        <f>AH80*(1-AF80)</f>
        <v>#N/A</v>
      </c>
      <c r="AK80" s="75" t="e">
        <f>AH80*(1-AF80-R80)</f>
        <v>#N/A</v>
      </c>
      <c r="AL80" s="76" t="e">
        <f>(K80-AO80)/1.2/(1+AQ80)</f>
        <v>#N/A</v>
      </c>
      <c r="AM80" s="76" t="e">
        <f>AL80*(1-AF80)</f>
        <v>#N/A</v>
      </c>
      <c r="AN80" s="76" t="e">
        <f>AL80*(1-AF80-R80)</f>
        <v>#N/A</v>
      </c>
      <c r="AO80" s="77" t="e">
        <f>_xlfn.XLOOKUP(A80,'[1]My Input'!$B:$B,'[1]My Input'!$T:$T)</f>
        <v>#N/A</v>
      </c>
      <c r="AP80" s="78" t="e">
        <f>_xlfn.XLOOKUP(A80,'[1]My Input'!$B:$B,'[1]My Input'!$S:$S)</f>
        <v>#N/A</v>
      </c>
      <c r="AQ80" s="67" t="e">
        <f>_xlfn.XLOOKUP(A80,'[1]My Input'!$B:$B,'[1]My Input'!$U:$U)</f>
        <v>#N/A</v>
      </c>
      <c r="AS80" s="103" t="e">
        <f>_xlfn.XLOOKUP(A80,'[1]My Input'!$B:$B,'[1]My Input'!$Q:$Q)</f>
        <v>#N/A</v>
      </c>
      <c r="AV80" s="67" t="e" cm="1">
        <f t="array" ref="AV80">_xlfn.IFS(
 AND(AY80="ICE",  AP80&lt;=1400,AND(AK80&gt;900000,  AK80&lt;=1100000)),                    80%,
 AND(AY80="ICE",  AP80&lt;=1400,AK80&gt;1100000),                                       90%,
 AND(AY80="ICE",  AND(AP80&gt;1400,AP80&lt;=1600),   AK80&lt;=850000),                      75%,
 AND(AY80="ICE",  AND(AP80&gt;1400,AP80&lt;=1600),   AND(AK80&gt;850000,AK80&lt;=1100000)),     80%,
 AND(AY80="ICE",  AND(AP80&gt;1400,AP80&lt;=1600),   AND(AK80&gt;1100000,AK80&lt;=1650000)),    90%,
 AND(AY80="ICE",  AND(AP80&gt;1400,AP80&lt;=1600),   AK80&gt;1650000),                      100%,
 AND(AY80="ICE",  AND(AP80&gt;1600,AP80&lt;=2000),   AK80&lt;=1650000),                     150%,
 AND(AY80="ICE",  AND(AP80&gt;1600,AP80&lt;=2000),   AK80&gt;1650000),                      170%,
 AND(AY80="ICE",  AP80&gt;2000),                                                    220%,
 AND(AY80="PHEV",  AP80&lt;=1600,                AK80&lt;=1350000),                     45%,
 AND(AY80="PHEV",  AP80&lt;=1600,                AK80&gt;1350000),                      75%,
 AND(AY80="PHEV",  AND(AP80&gt;1600,AP80&lt;=1800),  AK80&lt;=1350000),                     85%,
 AND(AY80="BEV",    AZ80&lt;=160,                 AK80&lt;=1650000),                     25%,
 AND(AY80="BEV",    AZ80&lt;=160,                 AK80&gt;1650000),                      55%,
 AND(AY80="BEV",    AZ80&gt; 160,                 AK80&lt;=1650000),                     65%,
 AND(AY80="BEV",    AZ80&gt; 160,                 AK80&gt;1650000),                      75%)</f>
        <v>#N/A</v>
      </c>
      <c r="AW80" s="67" t="e" cm="1">
        <f t="array" ref="AW80">_xlfn.IFS(
 X80=0,AV80,
 AND(AY80="ICE",  AP80&lt;=1400,AND((AJ80-BA80)&gt;900000,  (AJ80-BA80)&lt;=1100000)),                    80%,
 AND(AY80="ICE",  AP80&lt;=1400,(AJ80-BA80)&gt;1100000),                                       90%,
 AND(AY80="ICE",  AND(AP80&gt;1400,AP80&lt;=1600),   (AJ80-BA80)&lt;=850000),                      75%,
 AND(AY80="ICE",  AND(AP80&gt;1400,AP80&lt;=1600),   AND((AJ80-BA80)&gt;850000,(AJ80-BA80)&lt;=1100000)),     80%,
 AND(AY80="ICE",  AND(AP80&gt;1400,AP80&lt;=1600),   AND((AJ80-BA80)&gt;1100000,(AJ80-BA80)&lt;=1650000)),    90%,
 AND(AY80="ICE",  AND(AP80&gt;1400,AP80&lt;=1600),   (AJ80-BA80)&gt;1650000),                      100%,
 AND(AY80="ICE",  AND(AP80&gt;1600,AP80&lt;=2000),   (AJ80-BA80)&lt;=1650000),                     150%,
 AND(AY80="ICE",  AND(AP80&gt;1600,AP80&lt;=2000),   (AJ80-BA80)&gt;1650000),                      170%,
 AND(AY80="ICE",  AP80&gt;2000),                                                    220%,
 AND(AY80="PHEV",  AP80&lt;=1600,                (AJ80-BA80)&lt;=1350000),                     45%,
 AND(AY80="PHEV",  AP80&lt;=1600,                (AJ80-BA80)&gt;1350000),                      75%,
 AND(AY80="PHEV",  AND(AP80&gt;1600,AP80&lt;=1800),  (AJ80-BA80)&lt;=1350000),                     85%,
 AND(AY80="BEV",    AZ80&lt;=160,                 (AJ80-BA80)&lt;=1650000),                     25%,
 AND(AY80="BEV",    AZ80&lt;=160,                 (AJ80-BA80)&gt;1650000),                      55%,
 AND(AY80="BEV",    AZ80&gt; 160,                 (AJ80-BA80)&lt;=1650000),                     65%,
 AND(AY80="BEV",    AZ80&gt; 160,                 (AJ80-BA80)&gt;1650000),                      75%)</f>
        <v>#N/A</v>
      </c>
      <c r="AX80" s="67" t="e" cm="1">
        <f t="array" ref="AX80">_xlfn.IFS(
 AD80=0,AV80,
 AND(AY80="ICE",  AP80&lt;=1400,AND(AJ80&gt;900000,  AJ80&lt;=1100000)),                    80%,
 AND(AY80="ICE",  AP80&lt;=1400,AJ80&gt;1100000),                                       90%,
 AND(AY80="ICE",  AND(AP80&gt;1400,AP80&lt;=1600),   AJ80&lt;=850000),                      75%,
 AND(AY80="ICE",  AND(AP80&gt;1400,AP80&lt;=1600),   AND(AJ80&gt;850000,AJ80&lt;=1100000)),     80%,
 AND(AY80="ICE",  AND(AP80&gt;1400,AP80&lt;=1600),   AND(AJ80&gt;1100000,AJ80&lt;=1650000)),    90%,
 AND(AY80="ICE",  AND(AP80&gt;1400,AP80&lt;=1600),   AJ80&gt;1650000),                      100%,
 AND(AY80="ICE",  AND(AP80&gt;1600,AP80&lt;=2000),   AJ80&lt;=1650000),                     150%,
 AND(AY80="ICE",  AND(AP80&gt;1600,AP80&lt;=2000),   AJ80&gt;1650000),                      170%,
 AND(AY80="ICE",  AP80&gt;2000),                                                    220%,
 AND(AY80="PHEV",  AP80&lt;=1600,                AJ80&lt;=1350000),                     45%,
 AND(AY80="PHEV",  AP80&lt;=1600,                AJ80&gt;1350000),                      75%,
 AND(AY80="PHEV",  AND(AP80&gt;1600,AP80&lt;=1800),  AJ80&lt;=1350000),                     85%,
 AND(AY80="BEV",    AZ80&lt;=160,                 AJ80&lt;=1650000),                     25%,
 AND(AY80="BEV",    AZ80&lt;=160,                 AJ80&gt;1650000),                      55%,
 AND(AY80="BEV",    AZ80&gt; 160,                 AJ80&lt;=1650000),                     65%,
 AND(AY80="BEV",    AZ80&gt; 160,                 AJ80&gt;1650000),                      75%)</f>
        <v>#N/A</v>
      </c>
      <c r="AY80" s="80">
        <f>_xlfn.XLOOKUP(A80,'[1]My Input'!$B:$B,'[1]My Input'!$V:$V)</f>
        <v>0</v>
      </c>
      <c r="AZ80" s="80">
        <f>_xlfn.IFNA(_xlfn.XLOOKUP(A80,'[1]kW Tescil'!$A:$A,'[1]kW Tescil'!$C:$C),"-")</f>
        <v>0</v>
      </c>
      <c r="BA80" s="81" t="e">
        <f>_xlfn.XLOOKUP(A80,'[1]My Input'!$B:$B,'[1]My Input'!$H:$H)</f>
        <v>#N/A</v>
      </c>
      <c r="BC80" s="82" t="e">
        <v>#VALUE!</v>
      </c>
      <c r="BD80" s="82" t="e">
        <v>#VALUE!</v>
      </c>
      <c r="BF80" s="83" t="e">
        <v>#VALUE!</v>
      </c>
      <c r="BG80" s="83" t="e">
        <v>#VALUE!</v>
      </c>
      <c r="BI80" s="84" t="e">
        <v>#N/A</v>
      </c>
      <c r="BL80" s="83" t="e">
        <v>#VALUE!</v>
      </c>
    </row>
    <row r="81" spans="1:70" s="74" customFormat="1" ht="15" hidden="1" customHeight="1" thickBot="1" x14ac:dyDescent="0.3">
      <c r="A81" s="57"/>
      <c r="B81" s="57" t="str">
        <f t="shared" si="359"/>
        <v>BMWX1 sDrive20iX-Line</v>
      </c>
      <c r="C81" s="85" t="s">
        <v>106</v>
      </c>
      <c r="D81" s="94" t="s">
        <v>44</v>
      </c>
      <c r="E81" s="95" t="s">
        <v>130</v>
      </c>
      <c r="F81" s="152" t="s">
        <v>131</v>
      </c>
      <c r="G81" s="62"/>
      <c r="H81" s="98">
        <v>3799800</v>
      </c>
      <c r="I81" s="99">
        <v>100</v>
      </c>
      <c r="J81" s="65"/>
      <c r="K81" s="100" t="e">
        <f>(((H81-AO81)/(1+AQ81)/1.2/$AS$1)+AS81)*(1+AQ81)*(1.2)*$AS$1+AO81</f>
        <v>#N/A</v>
      </c>
      <c r="L81" s="99">
        <v>100</v>
      </c>
      <c r="M81" s="65"/>
      <c r="N81" s="100" t="e">
        <f>AN81*1.2*(1+AV81)+AO81</f>
        <v>#N/A</v>
      </c>
      <c r="O81" s="98" t="e">
        <f>AK81*1.2*(1+AV81)+AO81</f>
        <v>#N/A</v>
      </c>
      <c r="P81" s="99">
        <v>100</v>
      </c>
      <c r="Q81" s="99">
        <v>100</v>
      </c>
      <c r="R81" s="67" t="e">
        <f>_xlfn.XLOOKUP(A81,'[1]My Input'!$B:$B,'[1]My Input'!$F:$F)</f>
        <v>#N/A</v>
      </c>
      <c r="S81" s="65"/>
      <c r="T81" s="100" t="e">
        <f t="shared" si="360"/>
        <v>#N/A</v>
      </c>
      <c r="U81" s="98" t="e">
        <f t="shared" si="361"/>
        <v>#N/A</v>
      </c>
      <c r="V81" s="99">
        <v>100</v>
      </c>
      <c r="W81" s="99">
        <v>100</v>
      </c>
      <c r="X81" s="102" t="e">
        <f>_xlfn.XLOOKUP(A81,'[1]My Input'!$B:$B,'[1]My Input'!$I:$I)</f>
        <v>#N/A</v>
      </c>
      <c r="Y81" s="65"/>
      <c r="Z81" s="100" t="e">
        <f t="shared" si="362"/>
        <v>#N/A</v>
      </c>
      <c r="AA81" s="98" t="e">
        <f t="shared" si="363"/>
        <v>#N/A</v>
      </c>
      <c r="AB81" s="99">
        <v>100</v>
      </c>
      <c r="AC81" s="99">
        <v>100</v>
      </c>
      <c r="AD81" s="98">
        <f>_xlfn.XLOOKUP(A81,'[1]My Input'!$B:$B,'[1]My Input'!$N:$N)</f>
        <v>0</v>
      </c>
      <c r="AE81" s="70"/>
      <c r="AF81" s="71" t="e">
        <f>_xlfn.XLOOKUP(A81,'[1]My Input'!$B:$B,'[1]My Input'!$E:$E)</f>
        <v>#N/A</v>
      </c>
      <c r="AG81" s="72" t="e">
        <f>_xlfn.XLOOKUP(A81,'[1]My Input'!$B:$B,'[1]My Input'!$G:$G)</f>
        <v>#N/A</v>
      </c>
      <c r="AH81" s="73" t="e">
        <f>(H81-AO81)/1.2/(1+AQ81)</f>
        <v>#N/A</v>
      </c>
      <c r="AJ81" s="73" t="e">
        <f>AH81*(1-AF81)</f>
        <v>#N/A</v>
      </c>
      <c r="AK81" s="75" t="e">
        <f>AH81*(1-AF81-R81)</f>
        <v>#N/A</v>
      </c>
      <c r="AL81" s="76" t="e">
        <f>(K81-AO81)/1.2/(1+AQ81)</f>
        <v>#N/A</v>
      </c>
      <c r="AM81" s="76" t="e">
        <f>AL81*(1-AF81)</f>
        <v>#N/A</v>
      </c>
      <c r="AN81" s="76" t="e">
        <f>AL81*(1-AF81-R81)</f>
        <v>#N/A</v>
      </c>
      <c r="AO81" s="77" t="e">
        <f>_xlfn.XLOOKUP(A81,'[1]My Input'!$B:$B,'[1]My Input'!$T:$T)</f>
        <v>#N/A</v>
      </c>
      <c r="AP81" s="78" t="e">
        <f>_xlfn.XLOOKUP(A81,'[1]My Input'!$B:$B,'[1]My Input'!$S:$S)</f>
        <v>#N/A</v>
      </c>
      <c r="AQ81" s="67" t="e">
        <f>_xlfn.XLOOKUP(A81,'[1]My Input'!$B:$B,'[1]My Input'!$U:$U)</f>
        <v>#N/A</v>
      </c>
      <c r="AS81" s="103" t="e">
        <f>_xlfn.XLOOKUP(A81,'[1]My Input'!$B:$B,'[1]My Input'!$Q:$Q)</f>
        <v>#N/A</v>
      </c>
      <c r="AV81" s="67" t="e" cm="1">
        <f t="array" ref="AV81">_xlfn.IFS(
 AND(AY81="ICE",  AP81&lt;=1400,AND(AK81&gt;900000,  AK81&lt;=1100000)),                    80%,
 AND(AY81="ICE",  AP81&lt;=1400,AK81&gt;1100000),                                       90%,
 AND(AY81="ICE",  AND(AP81&gt;1400,AP81&lt;=1600),   AK81&lt;=850000),                      75%,
 AND(AY81="ICE",  AND(AP81&gt;1400,AP81&lt;=1600),   AND(AK81&gt;850000,AK81&lt;=1100000)),     80%,
 AND(AY81="ICE",  AND(AP81&gt;1400,AP81&lt;=1600),   AND(AK81&gt;1100000,AK81&lt;=1650000)),    90%,
 AND(AY81="ICE",  AND(AP81&gt;1400,AP81&lt;=1600),   AK81&gt;1650000),                      100%,
 AND(AY81="ICE",  AND(AP81&gt;1600,AP81&lt;=2000),   AK81&lt;=1650000),                     150%,
 AND(AY81="ICE",  AND(AP81&gt;1600,AP81&lt;=2000),   AK81&gt;1650000),                      170%,
 AND(AY81="ICE",  AP81&gt;2000),                                                    220%,
 AND(AY81="PHEV",  AP81&lt;=1600,                AK81&lt;=1350000),                     45%,
 AND(AY81="PHEV",  AP81&lt;=1600,                AK81&gt;1350000),                      75%,
 AND(AY81="PHEV",  AND(AP81&gt;1600,AP81&lt;=1800),  AK81&lt;=1350000),                     85%,
 AND(AY81="BEV",    AZ81&lt;=160,                 AK81&lt;=1650000),                     25%,
 AND(AY81="BEV",    AZ81&lt;=160,                 AK81&gt;1650000),                      55%,
 AND(AY81="BEV",    AZ81&gt; 160,                 AK81&lt;=1650000),                     65%,
 AND(AY81="BEV",    AZ81&gt; 160,                 AK81&gt;1650000),                      75%)</f>
        <v>#N/A</v>
      </c>
      <c r="AW81" s="67" t="e" cm="1">
        <f t="array" ref="AW81">_xlfn.IFS(
 X81=0,AV81,
 AND(AY81="ICE",  AP81&lt;=1400,AND((AJ81-BA81)&gt;900000,  (AJ81-BA81)&lt;=1100000)),                    80%,
 AND(AY81="ICE",  AP81&lt;=1400,(AJ81-BA81)&gt;1100000),                                       90%,
 AND(AY81="ICE",  AND(AP81&gt;1400,AP81&lt;=1600),   (AJ81-BA81)&lt;=850000),                      75%,
 AND(AY81="ICE",  AND(AP81&gt;1400,AP81&lt;=1600),   AND((AJ81-BA81)&gt;850000,(AJ81-BA81)&lt;=1100000)),     80%,
 AND(AY81="ICE",  AND(AP81&gt;1400,AP81&lt;=1600),   AND((AJ81-BA81)&gt;1100000,(AJ81-BA81)&lt;=1650000)),    90%,
 AND(AY81="ICE",  AND(AP81&gt;1400,AP81&lt;=1600),   (AJ81-BA81)&gt;1650000),                      100%,
 AND(AY81="ICE",  AND(AP81&gt;1600,AP81&lt;=2000),   (AJ81-BA81)&lt;=1650000),                     150%,
 AND(AY81="ICE",  AND(AP81&gt;1600,AP81&lt;=2000),   (AJ81-BA81)&gt;1650000),                      170%,
 AND(AY81="ICE",  AP81&gt;2000),                                                    220%,
 AND(AY81="PHEV",  AP81&lt;=1600,                (AJ81-BA81)&lt;=1350000),                     45%,
 AND(AY81="PHEV",  AP81&lt;=1600,                (AJ81-BA81)&gt;1350000),                      75%,
 AND(AY81="PHEV",  AND(AP81&gt;1600,AP81&lt;=1800),  (AJ81-BA81)&lt;=1350000),                     85%,
 AND(AY81="BEV",    AZ81&lt;=160,                 (AJ81-BA81)&lt;=1650000),                     25%,
 AND(AY81="BEV",    AZ81&lt;=160,                 (AJ81-BA81)&gt;1650000),                      55%,
 AND(AY81="BEV",    AZ81&gt; 160,                 (AJ81-BA81)&lt;=1650000),                     65%,
 AND(AY81="BEV",    AZ81&gt; 160,                 (AJ81-BA81)&gt;1650000),                      75%)</f>
        <v>#N/A</v>
      </c>
      <c r="AX81" s="67" t="e" cm="1">
        <f t="array" ref="AX81">_xlfn.IFS(
 AD81=0,AV81,
 AND(AY81="ICE",  AP81&lt;=1400,AND(AJ81&gt;900000,  AJ81&lt;=1100000)),                    80%,
 AND(AY81="ICE",  AP81&lt;=1400,AJ81&gt;1100000),                                       90%,
 AND(AY81="ICE",  AND(AP81&gt;1400,AP81&lt;=1600),   AJ81&lt;=850000),                      75%,
 AND(AY81="ICE",  AND(AP81&gt;1400,AP81&lt;=1600),   AND(AJ81&gt;850000,AJ81&lt;=1100000)),     80%,
 AND(AY81="ICE",  AND(AP81&gt;1400,AP81&lt;=1600),   AND(AJ81&gt;1100000,AJ81&lt;=1650000)),    90%,
 AND(AY81="ICE",  AND(AP81&gt;1400,AP81&lt;=1600),   AJ81&gt;1650000),                      100%,
 AND(AY81="ICE",  AND(AP81&gt;1600,AP81&lt;=2000),   AJ81&lt;=1650000),                     150%,
 AND(AY81="ICE",  AND(AP81&gt;1600,AP81&lt;=2000),   AJ81&gt;1650000),                      170%,
 AND(AY81="ICE",  AP81&gt;2000),                                                    220%,
 AND(AY81="PHEV",  AP81&lt;=1600,                AJ81&lt;=1350000),                     45%,
 AND(AY81="PHEV",  AP81&lt;=1600,                AJ81&gt;1350000),                      75%,
 AND(AY81="PHEV",  AND(AP81&gt;1600,AP81&lt;=1800),  AJ81&lt;=1350000),                     85%,
 AND(AY81="BEV",    AZ81&lt;=160,                 AJ81&lt;=1650000),                     25%,
 AND(AY81="BEV",    AZ81&lt;=160,                 AJ81&gt;1650000),                      55%,
 AND(AY81="BEV",    AZ81&gt; 160,                 AJ81&lt;=1650000),                     65%,
 AND(AY81="BEV",    AZ81&gt; 160,                 AJ81&gt;1650000),                      75%)</f>
        <v>#N/A</v>
      </c>
      <c r="AY81" s="80">
        <f>_xlfn.XLOOKUP(A81,'[1]My Input'!$B:$B,'[1]My Input'!$V:$V)</f>
        <v>0</v>
      </c>
      <c r="AZ81" s="80">
        <f>_xlfn.IFNA(_xlfn.XLOOKUP(A81,'[1]kW Tescil'!$A:$A,'[1]kW Tescil'!$C:$C),"-")</f>
        <v>0</v>
      </c>
      <c r="BA81" s="81" t="e">
        <f>_xlfn.XLOOKUP(A81,'[1]My Input'!$B:$B,'[1]My Input'!$H:$H)</f>
        <v>#N/A</v>
      </c>
      <c r="BC81" s="82">
        <v>0</v>
      </c>
      <c r="BD81" s="82">
        <v>0</v>
      </c>
      <c r="BF81" s="83">
        <v>0</v>
      </c>
      <c r="BG81" s="83">
        <v>0</v>
      </c>
      <c r="BI81" s="84" t="e">
        <v>#N/A</v>
      </c>
      <c r="BL81" s="83">
        <v>0</v>
      </c>
    </row>
    <row r="82" spans="1:70" s="117" customFormat="1" ht="7.15" hidden="1" customHeight="1" thickBot="1" x14ac:dyDescent="0.3">
      <c r="A82" s="57"/>
      <c r="B82" s="57"/>
      <c r="C82" s="104"/>
      <c r="D82" s="239"/>
      <c r="E82" s="240"/>
      <c r="F82" s="106"/>
      <c r="G82" s="107"/>
      <c r="H82" s="108"/>
      <c r="I82" s="109"/>
      <c r="J82" s="110"/>
      <c r="K82" s="108"/>
      <c r="L82" s="109"/>
      <c r="M82" s="110"/>
      <c r="N82" s="108"/>
      <c r="O82" s="108"/>
      <c r="P82" s="109"/>
      <c r="Q82" s="109"/>
      <c r="R82" s="111"/>
      <c r="S82" s="110"/>
      <c r="T82" s="108"/>
      <c r="U82" s="108"/>
      <c r="V82" s="109"/>
      <c r="W82" s="109"/>
      <c r="X82" s="166"/>
      <c r="Y82" s="110"/>
      <c r="Z82" s="108"/>
      <c r="AA82" s="108"/>
      <c r="AB82" s="109"/>
      <c r="AC82" s="109"/>
      <c r="AD82" s="167"/>
      <c r="AE82" s="114"/>
      <c r="AF82" s="115"/>
      <c r="AG82" s="19"/>
      <c r="AH82" s="116"/>
      <c r="AJ82" s="116"/>
      <c r="AK82" s="21"/>
      <c r="AL82" s="20"/>
      <c r="AM82" s="76"/>
      <c r="AN82" s="20"/>
      <c r="AO82" s="116"/>
      <c r="AP82" s="78"/>
      <c r="AQ82" s="67"/>
      <c r="AS82" s="118"/>
      <c r="AU82" s="74" t="s">
        <v>41</v>
      </c>
      <c r="AV82" s="67"/>
      <c r="AW82" s="67"/>
      <c r="AX82" s="67"/>
      <c r="AY82" s="80"/>
      <c r="AZ82" s="80"/>
      <c r="BA82" s="81"/>
      <c r="BC82" s="82">
        <v>0</v>
      </c>
      <c r="BD82" s="82">
        <v>0</v>
      </c>
      <c r="BF82" s="83">
        <v>0</v>
      </c>
      <c r="BG82" s="83">
        <v>0</v>
      </c>
      <c r="BI82" s="84">
        <v>0</v>
      </c>
      <c r="BL82" s="83">
        <v>0</v>
      </c>
    </row>
    <row r="83" spans="1:70" s="74" customFormat="1" ht="15" customHeight="1" thickBot="1" x14ac:dyDescent="0.3">
      <c r="A83" s="57" t="s">
        <v>132</v>
      </c>
      <c r="B83" s="57" t="str">
        <f>D83&amp;E83&amp;F83</f>
        <v>AudiQ2 35 TFSIAdvanced</v>
      </c>
      <c r="C83" s="168" t="s">
        <v>37</v>
      </c>
      <c r="D83" s="169" t="s">
        <v>38</v>
      </c>
      <c r="E83" s="170" t="s">
        <v>133</v>
      </c>
      <c r="F83" s="171" t="s">
        <v>40</v>
      </c>
      <c r="G83" s="65"/>
      <c r="H83" s="172">
        <v>3504957</v>
      </c>
      <c r="I83" s="173">
        <v>100</v>
      </c>
      <c r="J83" s="65">
        <v>0.32500000000000001</v>
      </c>
      <c r="K83" s="174">
        <f>(((H83-AO83)/(1+AQ83)/1.2/$AS$1)+AS83)*(1+AQ83)*(1.2)*$AS$1+AO83</f>
        <v>3504957</v>
      </c>
      <c r="L83" s="173">
        <v>100</v>
      </c>
      <c r="M83" s="101"/>
      <c r="N83" s="175">
        <f>AN83*1.2*(1+AV83)+AO83</f>
        <v>2365845.9750000001</v>
      </c>
      <c r="O83" s="172">
        <f>AK83*1.2*(1+AV83)+AO83</f>
        <v>2365845.9750000001</v>
      </c>
      <c r="P83" s="173">
        <v>100</v>
      </c>
      <c r="Q83" s="173">
        <v>100</v>
      </c>
      <c r="R83" s="67">
        <f>_xlfn.XLOOKUP(A83,'[1]My Input'!$B:$B,'[1]My Input'!$F:$F)</f>
        <v>0</v>
      </c>
      <c r="S83" s="101"/>
      <c r="T83" s="175">
        <f>IF(X83&lt;&gt;0,AM83*1.2*(1+AW83)+AO83-X83,AN83*1.2*(1+AV83)+AO83)</f>
        <v>2365845.9750000001</v>
      </c>
      <c r="U83" s="172">
        <f>IF(X83&lt;&gt;0,AJ83*1.2*(1+AW83)+AO83-X83,AK83*1.2*(1+AV83)+AO83)</f>
        <v>2365845.9750000001</v>
      </c>
      <c r="V83" s="173">
        <v>100</v>
      </c>
      <c r="W83" s="173">
        <v>100</v>
      </c>
      <c r="X83" s="176">
        <f>_xlfn.XLOOKUP(A83,'[1]My Input'!$B:$B,'[1]My Input'!$I:$I)</f>
        <v>0</v>
      </c>
      <c r="Y83" s="101"/>
      <c r="Z83" s="175">
        <f>IF(AD83&lt;&gt;0,AM83*1.2*(1+AQ83)+AO83-AD83,AL83*(1-AG83)*1.2*(1+AQ83)+AO83)</f>
        <v>2365845.9750000001</v>
      </c>
      <c r="AA83" s="172">
        <f>IF(AD83&lt;&gt;0,AJ83*1.2*(1+AX83)+AO83-AD83,AH83*(1-AG83)*1.2*(1+AV83)+AO83)</f>
        <v>2365845.9750000001</v>
      </c>
      <c r="AB83" s="173">
        <v>100</v>
      </c>
      <c r="AC83" s="173">
        <v>100</v>
      </c>
      <c r="AD83" s="172">
        <f>_xlfn.XLOOKUP(A83,'[1]My Input'!$B:$B,'[1]My Input'!$N:$N)</f>
        <v>0</v>
      </c>
      <c r="AE83" s="70"/>
      <c r="AF83" s="71">
        <f>_xlfn.XLOOKUP(A83,'[1]My Input'!$B:$B,'[1]My Input'!$E:$E)</f>
        <v>0.32500000000000001</v>
      </c>
      <c r="AG83" s="72">
        <f>_xlfn.XLOOKUP(A83,'[1]My Input'!$B:$B,'[1]My Input'!$G:$G)</f>
        <v>0.32500000000000001</v>
      </c>
      <c r="AH83" s="73">
        <f>(H83-AO83)/1.2/(1+AQ83)</f>
        <v>1622665.2777777778</v>
      </c>
      <c r="AJ83" s="73">
        <f>AH83*(1-AF83)</f>
        <v>1095299.0625</v>
      </c>
      <c r="AK83" s="75">
        <f>AH83*(1-AF83-R83)</f>
        <v>1095299.0625</v>
      </c>
      <c r="AL83" s="76">
        <f>(K83-AO83)/1.2/(1+AQ83)</f>
        <v>1622665.2777777778</v>
      </c>
      <c r="AM83" s="76">
        <f>AL83*(1-AF83)</f>
        <v>1095299.0625</v>
      </c>
      <c r="AN83" s="76">
        <f>AL83*(1-AF83-R83)</f>
        <v>1095299.0625</v>
      </c>
      <c r="AO83" s="77">
        <f>_xlfn.XLOOKUP(A83,'[1]My Input'!$B:$B,'[1]My Input'!$T:$T)</f>
        <v>0</v>
      </c>
      <c r="AP83" s="78">
        <f>_xlfn.XLOOKUP(A83,'[1]My Input'!$B:$B,'[1]My Input'!$S:$S)</f>
        <v>1600</v>
      </c>
      <c r="AQ83" s="67">
        <v>0.8</v>
      </c>
      <c r="AS83" s="103">
        <f>_xlfn.XLOOKUP(A83,'[1]My Input'!$B:$B,'[1]My Input'!$Q:$Q)</f>
        <v>0</v>
      </c>
      <c r="AU83" s="74" t="s">
        <v>41</v>
      </c>
      <c r="AV83" s="67" cm="1">
        <f t="array" ref="AV83">_xlfn.IFS(
 AND(AY83="ICE",  AP83&lt;=1400,AND(AK83&gt;900000,  AK83&lt;=1100000)),                    80%,
 AND(AY83="ICE",  AP83&lt;=1400,AK83&gt;1100000),                                       90%,
 AND(AY83="ICE",  AND(AP83&gt;1400,AP83&lt;=1600),   AK83&lt;=850000),                      75%,
 AND(AY83="ICE",  AND(AP83&gt;1400,AP83&lt;=1600),   AND(AK83&gt;850000,AK83&lt;=1100000)),     80%,
 AND(AY83="ICE",  AND(AP83&gt;1400,AP83&lt;=1600),   AND(AK83&gt;1100000,AK83&lt;=1650000)),    90%,
 AND(AY83="ICE",  AND(AP83&gt;1400,AP83&lt;=1600),   AK83&gt;1650000),                      100%,
 AND(AY83="ICE",  AND(AP83&gt;1600,AP83&lt;=2000),   AK83&lt;=1650000),                     150%,
 AND(AY83="ICE",  AND(AP83&gt;1600,AP83&lt;=2000),   AK83&gt;1650000),                      170%,
 AND(AY83="ICE",  AP83&gt;2000),                                                    220%,
 AND(AY83="PHEV",  AP83&lt;=1600,                AK83&lt;=1350000),                     45%,
 AND(AY83="PHEV",  AP83&lt;=1600,                AK83&gt;1350000),                      75%,
 AND(AY83="PHEV",  AND(AP83&gt;1600,AP83&lt;=1800),  AK83&lt;=1350000),                     85%,
 AND(AY83="BEV",    AZ83&lt;=160,                 AK83&lt;=1650000),                     25%,
 AND(AY83="BEV",    AZ83&lt;=160,                 AK83&gt;1650000),                      55%,
 AND(AY83="BEV",    AZ83&gt; 160,                 AK83&lt;=1650000),                     65%,
 AND(AY83="BEV",    AZ83&gt; 160,                 AK83&gt;1650000),                      75%)</f>
        <v>0.8</v>
      </c>
      <c r="AW83" s="67" cm="1">
        <f t="array" ref="AW83">_xlfn.IFS(
 X83=0,AV83,
 AND(AY83="ICE",  AP83&lt;=1400,AND((AJ83-BA83)&gt;900000,  (AJ83-BA83)&lt;=1100000)),                    80%,
 AND(AY83="ICE",  AP83&lt;=1400,(AJ83-BA83)&gt;1100000),                                       90%,
 AND(AY83="ICE",  AND(AP83&gt;1400,AP83&lt;=1600),   (AJ83-BA83)&lt;=850000),                      75%,
 AND(AY83="ICE",  AND(AP83&gt;1400,AP83&lt;=1600),   AND((AJ83-BA83)&gt;850000,(AJ83-BA83)&lt;=1100000)),     80%,
 AND(AY83="ICE",  AND(AP83&gt;1400,AP83&lt;=1600),   AND((AJ83-BA83)&gt;1100000,(AJ83-BA83)&lt;=1650000)),    90%,
 AND(AY83="ICE",  AND(AP83&gt;1400,AP83&lt;=1600),   (AJ83-BA83)&gt;1650000),                      100%,
 AND(AY83="ICE",  AND(AP83&gt;1600,AP83&lt;=2000),   (AJ83-BA83)&lt;=1650000),                     150%,
 AND(AY83="ICE",  AND(AP83&gt;1600,AP83&lt;=2000),   (AJ83-BA83)&gt;1650000),                      170%,
 AND(AY83="ICE",  AP83&gt;2000),                                                    220%,
 AND(AY83="PHEV",  AP83&lt;=1600,                (AJ83-BA83)&lt;=1350000),                     45%,
 AND(AY83="PHEV",  AP83&lt;=1600,                (AJ83-BA83)&gt;1350000),                      75%,
 AND(AY83="PHEV",  AND(AP83&gt;1600,AP83&lt;=1800),  (AJ83-BA83)&lt;=1350000),                     85%,
 AND(AY83="BEV",    AZ83&lt;=160,                 (AJ83-BA83)&lt;=1650000),                     25%,
 AND(AY83="BEV",    AZ83&lt;=160,                 (AJ83-BA83)&gt;1650000),                      55%,
 AND(AY83="BEV",    AZ83&gt; 160,                 (AJ83-BA83)&lt;=1650000),                     65%,
 AND(AY83="BEV",    AZ83&gt; 160,                 (AJ83-BA83)&gt;1650000),                      75%)</f>
        <v>0.8</v>
      </c>
      <c r="AX83" s="67" cm="1">
        <f t="array" ref="AX83">_xlfn.IFS(
 AD83=0,AV83,
 AND(AY83="ICE",  AP83&lt;=1400,AND(AJ83&gt;900000,  AJ83&lt;=1100000)),                    80%,
 AND(AY83="ICE",  AP83&lt;=1400,AJ83&gt;1100000),                                       90%,
 AND(AY83="ICE",  AND(AP83&gt;1400,AP83&lt;=1600),   AJ83&lt;=850000),                      75%,
 AND(AY83="ICE",  AND(AP83&gt;1400,AP83&lt;=1600),   AND(AJ83&gt;850000,AJ83&lt;=1100000)),     80%,
 AND(AY83="ICE",  AND(AP83&gt;1400,AP83&lt;=1600),   AND(AJ83&gt;1100000,AJ83&lt;=1650000)),    90%,
 AND(AY83="ICE",  AND(AP83&gt;1400,AP83&lt;=1600),   AJ83&gt;1650000),                      100%,
 AND(AY83="ICE",  AND(AP83&gt;1600,AP83&lt;=2000),   AJ83&lt;=1650000),                     150%,
 AND(AY83="ICE",  AND(AP83&gt;1600,AP83&lt;=2000),   AJ83&gt;1650000),                      170%,
 AND(AY83="ICE",  AP83&gt;2000),                                                    220%,
 AND(AY83="PHEV",  AP83&lt;=1600,                AJ83&lt;=1350000),                     45%,
 AND(AY83="PHEV",  AP83&lt;=1600,                AJ83&gt;1350000),                      75%,
 AND(AY83="PHEV",  AND(AP83&gt;1600,AP83&lt;=1800),  AJ83&lt;=1350000),                     85%,
 AND(AY83="BEV",    AZ83&lt;=160,                 AJ83&lt;=1650000),                     25%,
 AND(AY83="BEV",    AZ83&lt;=160,                 AJ83&gt;1650000),                      55%,
 AND(AY83="BEV",    AZ83&gt; 160,                 AJ83&lt;=1650000),                     65%,
 AND(AY83="BEV",    AZ83&gt; 160,                 AJ83&gt;1650000),                      75%)</f>
        <v>0.8</v>
      </c>
      <c r="AY83" s="80" t="str">
        <f>_xlfn.XLOOKUP(A83,'[1]My Input'!$B:$B,'[1]My Input'!$V:$V)</f>
        <v>ICE</v>
      </c>
      <c r="AZ83" s="80" t="str">
        <f>_xlfn.IFNA(_xlfn.XLOOKUP(A83,'[1]kW Tescil'!$A:$A,'[1]kW Tescil'!$C:$C),"-")</f>
        <v>-</v>
      </c>
      <c r="BA83" s="81">
        <f>_xlfn.XLOOKUP(A83,'[1]My Input'!$B:$B,'[1]My Input'!$H:$H)</f>
        <v>0</v>
      </c>
      <c r="BC83" s="82">
        <v>0</v>
      </c>
      <c r="BD83" s="82">
        <v>0</v>
      </c>
      <c r="BF83" s="83">
        <v>0</v>
      </c>
      <c r="BG83" s="83">
        <v>0</v>
      </c>
      <c r="BI83" s="84">
        <v>136632.67107500043</v>
      </c>
      <c r="BL83" s="83">
        <v>0</v>
      </c>
    </row>
    <row r="84" spans="1:70" s="117" customFormat="1" ht="7.15" customHeight="1" thickBot="1" x14ac:dyDescent="0.3">
      <c r="A84" s="57"/>
      <c r="B84" s="57"/>
      <c r="C84" s="104"/>
      <c r="D84" s="239"/>
      <c r="E84" s="240"/>
      <c r="F84" s="106"/>
      <c r="G84" s="107"/>
      <c r="H84" s="108"/>
      <c r="I84" s="109"/>
      <c r="J84" s="65"/>
      <c r="K84" s="108"/>
      <c r="L84" s="109"/>
      <c r="M84" s="110"/>
      <c r="N84" s="108"/>
      <c r="O84" s="108"/>
      <c r="P84" s="109"/>
      <c r="Q84" s="109"/>
      <c r="R84" s="111"/>
      <c r="S84" s="110"/>
      <c r="T84" s="108"/>
      <c r="U84" s="108"/>
      <c r="V84" s="109"/>
      <c r="W84" s="109"/>
      <c r="X84" s="166"/>
      <c r="Y84" s="110"/>
      <c r="Z84" s="108"/>
      <c r="AA84" s="108"/>
      <c r="AB84" s="109"/>
      <c r="AC84" s="109"/>
      <c r="AD84" s="167"/>
      <c r="AE84" s="114"/>
      <c r="AF84" s="115"/>
      <c r="AG84" s="19"/>
      <c r="AH84" s="116"/>
      <c r="AJ84" s="116"/>
      <c r="AK84" s="21"/>
      <c r="AL84" s="20"/>
      <c r="AM84" s="76"/>
      <c r="AN84" s="20"/>
      <c r="AO84" s="116"/>
      <c r="AP84" s="78"/>
      <c r="AQ84" s="67"/>
      <c r="AS84" s="118"/>
      <c r="AU84" s="74" t="s">
        <v>41</v>
      </c>
      <c r="AV84" s="67"/>
      <c r="AW84" s="67"/>
      <c r="AX84" s="67"/>
      <c r="AY84" s="80"/>
      <c r="AZ84" s="80"/>
      <c r="BA84" s="81"/>
      <c r="BC84" s="82">
        <v>0</v>
      </c>
      <c r="BD84" s="82">
        <v>0</v>
      </c>
      <c r="BF84" s="83">
        <v>0</v>
      </c>
      <c r="BG84" s="83">
        <v>0</v>
      </c>
      <c r="BI84" s="84">
        <v>0</v>
      </c>
      <c r="BL84" s="83">
        <v>0</v>
      </c>
    </row>
    <row r="85" spans="1:70" s="74" customFormat="1" ht="15" customHeight="1" x14ac:dyDescent="0.25">
      <c r="A85" s="57" t="s">
        <v>134</v>
      </c>
      <c r="B85" s="57" t="str">
        <f t="shared" ref="B85:B170" si="364">D85&amp;E85&amp;F85</f>
        <v>MBGLB 200AMG</v>
      </c>
      <c r="C85" s="58" t="s">
        <v>37</v>
      </c>
      <c r="D85" s="59" t="s">
        <v>47</v>
      </c>
      <c r="E85" s="60" t="s">
        <v>135</v>
      </c>
      <c r="F85" s="61" t="s">
        <v>49</v>
      </c>
      <c r="G85" s="65"/>
      <c r="H85" s="63">
        <v>4918931</v>
      </c>
      <c r="I85" s="64">
        <f t="shared" ref="I85:I90" si="365">H85/$H$91*$I$91</f>
        <v>95.893333302141741</v>
      </c>
      <c r="J85" s="65">
        <v>0.04</v>
      </c>
      <c r="K85" s="66">
        <f t="shared" ref="K85:K91" si="366">(((H85-AO85)/(1+AQ85)/1.2/$AS$1)+AS85)*(1+AQ85)*(1.2)*$AS$1+AO85</f>
        <v>5617260.7999999998</v>
      </c>
      <c r="L85" s="64">
        <f>K85/$K$91*$L$91</f>
        <v>109.50709862355363</v>
      </c>
      <c r="M85" s="65"/>
      <c r="N85" s="66">
        <f t="shared" ref="N85:N91" si="367">AN85*1.2*(1+AV85)+AO85</f>
        <v>5392570.3680000007</v>
      </c>
      <c r="O85" s="63">
        <f t="shared" ref="O85:O91" si="368">AK85*1.2*(1+AV85)+AO85</f>
        <v>4722173.7600000007</v>
      </c>
      <c r="P85" s="241">
        <f t="shared" ref="P85:P90" si="369">IF(ISNUMBER(O85),O85/$O$91*$P$91,"")</f>
        <v>101.16219776929243</v>
      </c>
      <c r="Q85" s="241">
        <f t="shared" ref="Q85:Q90" si="370">IF(ISNUMBER(N85),N85/$N$91*$Q$91,"")</f>
        <v>115.52397217429839</v>
      </c>
      <c r="R85" s="67">
        <f>_xlfn.XLOOKUP(A85,'[1]My Input'!$B:$B,'[1]My Input'!$F:$F)</f>
        <v>0</v>
      </c>
      <c r="S85" s="65"/>
      <c r="T85" s="66">
        <f t="shared" ref="T85:T91" si="371">IF(X85&lt;&gt;0,AM85*1.2*(1+AW85)+AO85-X85,AN85*1.2*(1+AV85)+AO85)</f>
        <v>5392570.3680000007</v>
      </c>
      <c r="U85" s="63">
        <f t="shared" ref="U85:U91" si="372">IF(X85&lt;&gt;0,AJ85*1.2*(1+AW85)+AO85-X85,AK85*1.2*(1+AV85)+AO85)</f>
        <v>4722173.7600000007</v>
      </c>
      <c r="V85" s="241">
        <f t="shared" ref="V85:V90" si="373">IF(ISNUMBER(U85),U85/$U$91*$V$91,"")</f>
        <v>105.50696934580326</v>
      </c>
      <c r="W85" s="241">
        <f t="shared" ref="W85:W90" si="374">IF(ISNUMBER(T85),T85/$T$91*$W$91,"")</f>
        <v>120.48556140205713</v>
      </c>
      <c r="X85" s="68">
        <f>_xlfn.XLOOKUP(A85,'[1]My Input'!$B:$B,'[1]My Input'!$I:$I)</f>
        <v>0</v>
      </c>
      <c r="Y85" s="65"/>
      <c r="Z85" s="66">
        <f t="shared" ref="Z85:Z170" si="375">IF(AD85&lt;&gt;0,AM85*1.2*(1+AQ85)+AO85-AD85,AL85*(1-AG85)*1.2*(1+AQ85)+AO85)</f>
        <v>5311753.5380000006</v>
      </c>
      <c r="AA85" s="63">
        <f t="shared" ref="AA85:AA91" si="376">IF(AD85&lt;&gt;0,AJ85*1.2*(1+AX85)+AO85-AD85,AH85*(1-AG85)*1.2*(1+AV85)+AO85)</f>
        <v>4641356.9300000006</v>
      </c>
      <c r="AB85" s="241">
        <f t="shared" ref="AB85:AB90" si="377">IF(ISNUMBER(AA85),AA85/$AA$91*$AB$91,"")</f>
        <v>97.579133298148832</v>
      </c>
      <c r="AC85" s="241">
        <f t="shared" ref="AC85:AC90" si="378">IF(ISNUMBER(Z85),Z85/$Z$91*$AC$91,"")</f>
        <v>111.67344256185349</v>
      </c>
      <c r="AD85" s="69">
        <f>_xlfn.XLOOKUP(A85,'[1]My Input'!$B:$B,'[1]My Input'!$N:$N)</f>
        <v>80816.83</v>
      </c>
      <c r="AE85" s="70"/>
      <c r="AF85" s="71">
        <f>_xlfn.XLOOKUP(A85,'[1]My Input'!$B:$B,'[1]My Input'!$E:$E)</f>
        <v>0.04</v>
      </c>
      <c r="AG85" s="72">
        <f>_xlfn.XLOOKUP(A85,'[1]My Input'!$B:$B,'[1]My Input'!$G:$G)</f>
        <v>0.04</v>
      </c>
      <c r="AH85" s="73">
        <f t="shared" ref="AH85:AH91" si="379">(H85-AO85)/1.2/(1+AQ85)</f>
        <v>2157425.8771929829</v>
      </c>
      <c r="AJ85" s="73">
        <f t="shared" ref="AJ85:AJ91" si="380">AH85*(1-AF85)</f>
        <v>2071128.8421052636</v>
      </c>
      <c r="AK85" s="75">
        <f t="shared" ref="AK85:AK91" si="381">AH85*(1-AF85-R85)</f>
        <v>2071128.8421052636</v>
      </c>
      <c r="AL85" s="76">
        <f t="shared" ref="AL85:AL91" si="382">(K85-AO85)/1.2/(1+AQ85)</f>
        <v>2463710.8771929829</v>
      </c>
      <c r="AM85" s="76">
        <f t="shared" ref="AM85:AM91" si="383">AL85*(1-AF85)</f>
        <v>2365162.4421052635</v>
      </c>
      <c r="AN85" s="76">
        <f t="shared" ref="AN85:AN91" si="384">AL85*(1-AF85-R85)</f>
        <v>2365162.4421052635</v>
      </c>
      <c r="AO85" s="77">
        <f>_xlfn.XLOOKUP(A85,'[1]My Input'!$B:$B,'[1]My Input'!$T:$T)</f>
        <v>0</v>
      </c>
      <c r="AP85" s="78">
        <f>_xlfn.XLOOKUP(A85,'[1]My Input'!$B:$B,'[1]My Input'!$S:$S)</f>
        <v>1300</v>
      </c>
      <c r="AQ85" s="67">
        <f>_xlfn.XLOOKUP(A85,'[1]My Input'!$B:$B,'[1]My Input'!$U:$U)</f>
        <v>0.9</v>
      </c>
      <c r="AS85" s="155">
        <v>5834</v>
      </c>
      <c r="AU85" s="74" t="s">
        <v>41</v>
      </c>
      <c r="AV85" s="67" cm="1">
        <f t="array" ref="AV85">_xlfn.IFS(
 AND(AY85="ICE",  AP85&lt;=1400,AND(AK85&gt;900000,  AK85&lt;=1100000)),                    80%,
 AND(AY85="ICE",  AP85&lt;=1400,AK85&gt;1100000),                                       90%,
 AND(AY85="ICE",  AND(AP85&gt;1400,AP85&lt;=1600),   AK85&lt;=850000),                      75%,
 AND(AY85="ICE",  AND(AP85&gt;1400,AP85&lt;=1600),   AND(AK85&gt;850000,AK85&lt;=1100000)),     80%,
 AND(AY85="ICE",  AND(AP85&gt;1400,AP85&lt;=1600),   AND(AK85&gt;1100000,AK85&lt;=1650000)),    90%,
 AND(AY85="ICE",  AND(AP85&gt;1400,AP85&lt;=1600),   AK85&gt;1650000),                      100%,
 AND(AY85="ICE",  AND(AP85&gt;1600,AP85&lt;=2000),   AK85&lt;=1650000),                     150%,
 AND(AY85="ICE",  AND(AP85&gt;1600,AP85&lt;=2000),   AK85&gt;1650000),                      170%,
 AND(AY85="ICE",  AP85&gt;2000),                                                    220%,
 AND(AY85="PHEV",  AP85&lt;=1600,                AK85&lt;=1350000),                     45%,
 AND(AY85="PHEV",  AP85&lt;=1600,                AK85&gt;1350000),                      75%,
 AND(AY85="PHEV",  AND(AP85&gt;1600,AP85&lt;=1800),  AK85&lt;=1350000),                     85%,
 AND(AY85="BEV",    AZ85&lt;=160,                 AK85&lt;=1650000),                     25%,
 AND(AY85="BEV",    AZ85&lt;=160,                 AK85&gt;1650000),                      55%,
 AND(AY85="BEV",    AZ85&gt; 160,                 AK85&lt;=1650000),                     65%,
 AND(AY85="BEV",    AZ85&gt; 160,                 AK85&gt;1650000),                      75%)</f>
        <v>0.9</v>
      </c>
      <c r="AW85" s="67" cm="1">
        <f t="array" ref="AW85">_xlfn.IFS(
 X85=0,AV85,
 AND(AY85="ICE",  AP85&lt;=1400,AND((AJ85-BA85)&gt;900000,  (AJ85-BA85)&lt;=1100000)),                    80%,
 AND(AY85="ICE",  AP85&lt;=1400,(AJ85-BA85)&gt;1100000),                                       90%,
 AND(AY85="ICE",  AND(AP85&gt;1400,AP85&lt;=1600),   (AJ85-BA85)&lt;=850000),                      75%,
 AND(AY85="ICE",  AND(AP85&gt;1400,AP85&lt;=1600),   AND((AJ85-BA85)&gt;850000,(AJ85-BA85)&lt;=1100000)),     80%,
 AND(AY85="ICE",  AND(AP85&gt;1400,AP85&lt;=1600),   AND((AJ85-BA85)&gt;1100000,(AJ85-BA85)&lt;=1650000)),    90%,
 AND(AY85="ICE",  AND(AP85&gt;1400,AP85&lt;=1600),   (AJ85-BA85)&gt;1650000),                      100%,
 AND(AY85="ICE",  AND(AP85&gt;1600,AP85&lt;=2000),   (AJ85-BA85)&lt;=1650000),                     150%,
 AND(AY85="ICE",  AND(AP85&gt;1600,AP85&lt;=2000),   (AJ85-BA85)&gt;1650000),                      170%,
 AND(AY85="ICE",  AP85&gt;2000),                                                    220%,
 AND(AY85="PHEV",  AP85&lt;=1600,                (AJ85-BA85)&lt;=1350000),                     45%,
 AND(AY85="PHEV",  AP85&lt;=1600,                (AJ85-BA85)&gt;1350000),                      75%,
 AND(AY85="PHEV",  AND(AP85&gt;1600,AP85&lt;=1800),  (AJ85-BA85)&lt;=1350000),                     85%,
 AND(AY85="BEV",    AZ85&lt;=160,                 (AJ85-BA85)&lt;=1650000),                     25%,
 AND(AY85="BEV",    AZ85&lt;=160,                 (AJ85-BA85)&gt;1650000),                      55%,
 AND(AY85="BEV",    AZ85&gt; 160,                 (AJ85-BA85)&lt;=1650000),                     65%,
 AND(AY85="BEV",    AZ85&gt; 160,                 (AJ85-BA85)&gt;1650000),                      75%)</f>
        <v>0.9</v>
      </c>
      <c r="AX85" s="67" cm="1">
        <f t="array" ref="AX85">_xlfn.IFS(
 AD85=0,AV85,
 AND(AY85="ICE",  AP85&lt;=1400,AND(AJ85&gt;900000,  AJ85&lt;=1100000)),                    80%,
 AND(AY85="ICE",  AP85&lt;=1400,AJ85&gt;1100000),                                       90%,
 AND(AY85="ICE",  AND(AP85&gt;1400,AP85&lt;=1600),   AJ85&lt;=850000),                      75%,
 AND(AY85="ICE",  AND(AP85&gt;1400,AP85&lt;=1600),   AND(AJ85&gt;850000,AJ85&lt;=1100000)),     80%,
 AND(AY85="ICE",  AND(AP85&gt;1400,AP85&lt;=1600),   AND(AJ85&gt;1100000,AJ85&lt;=1650000)),    90%,
 AND(AY85="ICE",  AND(AP85&gt;1400,AP85&lt;=1600),   AJ85&gt;1650000),                      100%,
 AND(AY85="ICE",  AND(AP85&gt;1600,AP85&lt;=2000),   AJ85&lt;=1650000),                     150%,
 AND(AY85="ICE",  AND(AP85&gt;1600,AP85&lt;=2000),   AJ85&gt;1650000),                      170%,
 AND(AY85="ICE",  AP85&gt;2000),                                                    220%,
 AND(AY85="PHEV",  AP85&lt;=1600,                AJ85&lt;=1350000),                     45%,
 AND(AY85="PHEV",  AP85&lt;=1600,                AJ85&gt;1350000),                      75%,
 AND(AY85="PHEV",  AND(AP85&gt;1600,AP85&lt;=1800),  AJ85&lt;=1350000),                     85%,
 AND(AY85="BEV",    AZ85&lt;=160,                 AJ85&lt;=1650000),                     25%,
 AND(AY85="BEV",    AZ85&lt;=160,                 AJ85&gt;1650000),                      55%,
 AND(AY85="BEV",    AZ85&gt; 160,                 AJ85&lt;=1650000),                     65%,
 AND(AY85="BEV",    AZ85&gt; 160,                 AJ85&gt;1650000),                      75%)</f>
        <v>0.9</v>
      </c>
      <c r="AY85" s="80" t="str">
        <f>_xlfn.XLOOKUP(A85,'[1]My Input'!$B:$B,'[1]My Input'!$V:$V)</f>
        <v>ICE</v>
      </c>
      <c r="AZ85" s="80" t="str">
        <f>_xlfn.IFNA(_xlfn.XLOOKUP(A85,'[1]kW Tescil'!$A:$A,'[1]kW Tescil'!$C:$C),"-")</f>
        <v>-</v>
      </c>
      <c r="BA85" s="81">
        <f>_xlfn.XLOOKUP(A85,'[1]My Input'!$B:$B,'[1]My Input'!$H:$H)</f>
        <v>0</v>
      </c>
      <c r="BC85" s="82">
        <v>6.5347416574726509</v>
      </c>
      <c r="BD85" s="82">
        <v>7.7002686983421711</v>
      </c>
      <c r="BF85" s="83">
        <v>10.531756498094552</v>
      </c>
      <c r="BG85" s="83">
        <v>12.285302150777895</v>
      </c>
      <c r="BI85" s="84">
        <v>604039.49560000049</v>
      </c>
      <c r="BL85" s="83">
        <v>5.8026541745885964</v>
      </c>
    </row>
    <row r="86" spans="1:70" s="74" customFormat="1" ht="15" customHeight="1" thickBot="1" x14ac:dyDescent="0.3">
      <c r="A86" s="57" t="s">
        <v>136</v>
      </c>
      <c r="B86" s="57" t="str">
        <f t="shared" si="364"/>
        <v>MBGLA 200AMG</v>
      </c>
      <c r="C86" s="58" t="s">
        <v>37</v>
      </c>
      <c r="D86" s="86" t="s">
        <v>47</v>
      </c>
      <c r="E86" s="87" t="s">
        <v>137</v>
      </c>
      <c r="F86" s="88" t="s">
        <v>49</v>
      </c>
      <c r="G86" s="65"/>
      <c r="H86" s="89">
        <v>4400867</v>
      </c>
      <c r="I86" s="90">
        <f t="shared" si="365"/>
        <v>85.793804802180915</v>
      </c>
      <c r="J86" s="65">
        <v>0.06</v>
      </c>
      <c r="K86" s="91">
        <f t="shared" si="366"/>
        <v>5099196.8</v>
      </c>
      <c r="L86" s="90">
        <f>K86/$K$91*$L$91</f>
        <v>99.407570123592819</v>
      </c>
      <c r="M86" s="65"/>
      <c r="N86" s="91">
        <f t="shared" si="367"/>
        <v>4793244.9919999996</v>
      </c>
      <c r="O86" s="89">
        <f t="shared" si="368"/>
        <v>4136814.9800000004</v>
      </c>
      <c r="P86" s="238">
        <f t="shared" si="369"/>
        <v>88.622171993461635</v>
      </c>
      <c r="Q86" s="238">
        <f t="shared" si="370"/>
        <v>102.68474276502997</v>
      </c>
      <c r="R86" s="67">
        <f>_xlfn.XLOOKUP(A86,'[1]My Input'!$B:$B,'[1]My Input'!$F:$F)</f>
        <v>0</v>
      </c>
      <c r="S86" s="65"/>
      <c r="T86" s="91">
        <f t="shared" si="371"/>
        <v>4793244.9919999996</v>
      </c>
      <c r="U86" s="89">
        <f t="shared" si="372"/>
        <v>4136814.9800000004</v>
      </c>
      <c r="V86" s="238">
        <f t="shared" si="373"/>
        <v>92.428367414442562</v>
      </c>
      <c r="W86" s="238">
        <f t="shared" si="374"/>
        <v>107.09490546952445</v>
      </c>
      <c r="X86" s="92">
        <f>_xlfn.XLOOKUP(A86,'[1]My Input'!$B:$B,'[1]My Input'!$I:$I)</f>
        <v>0</v>
      </c>
      <c r="Y86" s="65"/>
      <c r="Z86" s="91">
        <f t="shared" si="375"/>
        <v>4712428.1619999995</v>
      </c>
      <c r="AA86" s="89">
        <f t="shared" si="376"/>
        <v>4055998.1500000004</v>
      </c>
      <c r="AB86" s="238">
        <f t="shared" si="377"/>
        <v>85.272645501085194</v>
      </c>
      <c r="AC86" s="238">
        <f t="shared" si="378"/>
        <v>99.073323321795982</v>
      </c>
      <c r="AD86" s="93">
        <f>_xlfn.XLOOKUP(A86,'[1]My Input'!$B:$B,'[1]My Input'!$N:$N)</f>
        <v>80816.83</v>
      </c>
      <c r="AE86" s="70"/>
      <c r="AF86" s="71">
        <f>_xlfn.XLOOKUP(A86,'[1]My Input'!$B:$B,'[1]My Input'!$E:$E)</f>
        <v>0.06</v>
      </c>
      <c r="AG86" s="72">
        <f>_xlfn.XLOOKUP(A86,'[1]My Input'!$B:$B,'[1]My Input'!$G:$G)</f>
        <v>0.06</v>
      </c>
      <c r="AH86" s="73">
        <f t="shared" si="379"/>
        <v>1930204.8245614038</v>
      </c>
      <c r="AJ86" s="73">
        <f t="shared" si="380"/>
        <v>1814392.5350877196</v>
      </c>
      <c r="AK86" s="75">
        <f t="shared" si="381"/>
        <v>1814392.5350877196</v>
      </c>
      <c r="AL86" s="76">
        <f t="shared" si="382"/>
        <v>2236489.8245614036</v>
      </c>
      <c r="AM86" s="76">
        <f t="shared" si="383"/>
        <v>2102300.4350877195</v>
      </c>
      <c r="AN86" s="76">
        <f t="shared" si="384"/>
        <v>2102300.4350877195</v>
      </c>
      <c r="AO86" s="77">
        <f>_xlfn.XLOOKUP(A86,'[1]My Input'!$B:$B,'[1]My Input'!$T:$T)</f>
        <v>0</v>
      </c>
      <c r="AP86" s="78">
        <f>_xlfn.XLOOKUP(A86,'[1]My Input'!$B:$B,'[1]My Input'!$S:$S)</f>
        <v>1300</v>
      </c>
      <c r="AQ86" s="67">
        <f>_xlfn.XLOOKUP(A86,'[1]My Input'!$B:$B,'[1]My Input'!$U:$U)</f>
        <v>0.9</v>
      </c>
      <c r="AS86" s="155">
        <v>5834</v>
      </c>
      <c r="AU86" s="74" t="s">
        <v>41</v>
      </c>
      <c r="AV86" s="67" cm="1">
        <f t="array" ref="AV86">_xlfn.IFS(
 AND(AY86="ICE",  AP86&lt;=1400,AND(AK86&gt;900000,  AK86&lt;=1100000)),                    80%,
 AND(AY86="ICE",  AP86&lt;=1400,AK86&gt;1100000),                                       90%,
 AND(AY86="ICE",  AND(AP86&gt;1400,AP86&lt;=1600),   AK86&lt;=850000),                      75%,
 AND(AY86="ICE",  AND(AP86&gt;1400,AP86&lt;=1600),   AND(AK86&gt;850000,AK86&lt;=1100000)),     80%,
 AND(AY86="ICE",  AND(AP86&gt;1400,AP86&lt;=1600),   AND(AK86&gt;1100000,AK86&lt;=1650000)),    90%,
 AND(AY86="ICE",  AND(AP86&gt;1400,AP86&lt;=1600),   AK86&gt;1650000),                      100%,
 AND(AY86="ICE",  AND(AP86&gt;1600,AP86&lt;=2000),   AK86&lt;=1650000),                     150%,
 AND(AY86="ICE",  AND(AP86&gt;1600,AP86&lt;=2000),   AK86&gt;1650000),                      170%,
 AND(AY86="ICE",  AP86&gt;2000),                                                    220%,
 AND(AY86="PHEV",  AP86&lt;=1600,                AK86&lt;=1350000),                     45%,
 AND(AY86="PHEV",  AP86&lt;=1600,                AK86&gt;1350000),                      75%,
 AND(AY86="PHEV",  AND(AP86&gt;1600,AP86&lt;=1800),  AK86&lt;=1350000),                     85%,
 AND(AY86="BEV",    AZ86&lt;=160,                 AK86&lt;=1650000),                     25%,
 AND(AY86="BEV",    AZ86&lt;=160,                 AK86&gt;1650000),                      55%,
 AND(AY86="BEV",    AZ86&gt; 160,                 AK86&lt;=1650000),                     65%,
 AND(AY86="BEV",    AZ86&gt; 160,                 AK86&gt;1650000),                      75%)</f>
        <v>0.9</v>
      </c>
      <c r="AW86" s="67" cm="1">
        <f t="array" ref="AW86">_xlfn.IFS(
 X86=0,AV86,
 AND(AY86="ICE",  AP86&lt;=1400,AND((AJ86-BA86)&gt;900000,  (AJ86-BA86)&lt;=1100000)),                    80%,
 AND(AY86="ICE",  AP86&lt;=1400,(AJ86-BA86)&gt;1100000),                                       90%,
 AND(AY86="ICE",  AND(AP86&gt;1400,AP86&lt;=1600),   (AJ86-BA86)&lt;=850000),                      75%,
 AND(AY86="ICE",  AND(AP86&gt;1400,AP86&lt;=1600),   AND((AJ86-BA86)&gt;850000,(AJ86-BA86)&lt;=1100000)),     80%,
 AND(AY86="ICE",  AND(AP86&gt;1400,AP86&lt;=1600),   AND((AJ86-BA86)&gt;1100000,(AJ86-BA86)&lt;=1650000)),    90%,
 AND(AY86="ICE",  AND(AP86&gt;1400,AP86&lt;=1600),   (AJ86-BA86)&gt;1650000),                      100%,
 AND(AY86="ICE",  AND(AP86&gt;1600,AP86&lt;=2000),   (AJ86-BA86)&lt;=1650000),                     150%,
 AND(AY86="ICE",  AND(AP86&gt;1600,AP86&lt;=2000),   (AJ86-BA86)&gt;1650000),                      170%,
 AND(AY86="ICE",  AP86&gt;2000),                                                    220%,
 AND(AY86="PHEV",  AP86&lt;=1600,                (AJ86-BA86)&lt;=1350000),                     45%,
 AND(AY86="PHEV",  AP86&lt;=1600,                (AJ86-BA86)&gt;1350000),                      75%,
 AND(AY86="PHEV",  AND(AP86&gt;1600,AP86&lt;=1800),  (AJ86-BA86)&lt;=1350000),                     85%,
 AND(AY86="BEV",    AZ86&lt;=160,                 (AJ86-BA86)&lt;=1650000),                     25%,
 AND(AY86="BEV",    AZ86&lt;=160,                 (AJ86-BA86)&gt;1650000),                      55%,
 AND(AY86="BEV",    AZ86&gt; 160,                 (AJ86-BA86)&lt;=1650000),                     65%,
 AND(AY86="BEV",    AZ86&gt; 160,                 (AJ86-BA86)&gt;1650000),                      75%)</f>
        <v>0.9</v>
      </c>
      <c r="AX86" s="67" cm="1">
        <f t="array" ref="AX86">_xlfn.IFS(
 AD86=0,AV86,
 AND(AY86="ICE",  AP86&lt;=1400,AND(AJ86&gt;900000,  AJ86&lt;=1100000)),                    80%,
 AND(AY86="ICE",  AP86&lt;=1400,AJ86&gt;1100000),                                       90%,
 AND(AY86="ICE",  AND(AP86&gt;1400,AP86&lt;=1600),   AJ86&lt;=850000),                      75%,
 AND(AY86="ICE",  AND(AP86&gt;1400,AP86&lt;=1600),   AND(AJ86&gt;850000,AJ86&lt;=1100000)),     80%,
 AND(AY86="ICE",  AND(AP86&gt;1400,AP86&lt;=1600),   AND(AJ86&gt;1100000,AJ86&lt;=1650000)),    90%,
 AND(AY86="ICE",  AND(AP86&gt;1400,AP86&lt;=1600),   AJ86&gt;1650000),                      100%,
 AND(AY86="ICE",  AND(AP86&gt;1600,AP86&lt;=2000),   AJ86&lt;=1650000),                     150%,
 AND(AY86="ICE",  AND(AP86&gt;1600,AP86&lt;=2000),   AJ86&gt;1650000),                      170%,
 AND(AY86="ICE",  AP86&gt;2000),                                                    220%,
 AND(AY86="PHEV",  AP86&lt;=1600,                AJ86&lt;=1350000),                     45%,
 AND(AY86="PHEV",  AP86&lt;=1600,                AJ86&gt;1350000),                      75%,
 AND(AY86="PHEV",  AND(AP86&gt;1600,AP86&lt;=1800),  AJ86&lt;=1350000),                     85%,
 AND(AY86="BEV",    AZ86&lt;=160,                 AJ86&lt;=1650000),                     25%,
 AND(AY86="BEV",    AZ86&lt;=160,                 AJ86&gt;1650000),                      55%,
 AND(AY86="BEV",    AZ86&gt; 160,                 AJ86&lt;=1650000),                     65%,
 AND(AY86="BEV",    AZ86&gt; 160,                 AJ86&gt;1650000),                      75%)</f>
        <v>0.9</v>
      </c>
      <c r="AY86" s="80" t="str">
        <f>_xlfn.XLOOKUP(A86,'[1]My Input'!$B:$B,'[1]My Input'!$V:$V)</f>
        <v>ICE</v>
      </c>
      <c r="AZ86" s="80" t="str">
        <f>_xlfn.IFNA(_xlfn.XLOOKUP(A86,'[1]kW Tescil'!$A:$A,'[1]kW Tescil'!$C:$C),"-")</f>
        <v>-</v>
      </c>
      <c r="BA86" s="81">
        <f>_xlfn.XLOOKUP(A86,'[1]My Input'!$B:$B,'[1]My Input'!$H:$H)</f>
        <v>0</v>
      </c>
      <c r="BC86" s="82">
        <v>3.8453755945877361</v>
      </c>
      <c r="BD86" s="82">
        <v>4.70245320733531</v>
      </c>
      <c r="BF86" s="83">
        <v>7.5223075860318573</v>
      </c>
      <c r="BG86" s="83">
        <v>8.983439459863348</v>
      </c>
      <c r="BI86" s="84">
        <v>457322.9859000002</v>
      </c>
      <c r="BL86" s="83">
        <v>2.9753811462349233</v>
      </c>
    </row>
    <row r="87" spans="1:70" s="74" customFormat="1" ht="15" customHeight="1" thickBot="1" x14ac:dyDescent="0.3">
      <c r="A87" s="57" t="s">
        <v>136</v>
      </c>
      <c r="B87" s="57" t="str">
        <f t="shared" si="364"/>
        <v>MBGLA 200AMG</v>
      </c>
      <c r="C87" s="85" t="s">
        <v>42</v>
      </c>
      <c r="D87" s="86" t="s">
        <v>47</v>
      </c>
      <c r="E87" s="87" t="s">
        <v>137</v>
      </c>
      <c r="F87" s="88" t="s">
        <v>49</v>
      </c>
      <c r="G87" s="178"/>
      <c r="H87" s="89">
        <v>4752367</v>
      </c>
      <c r="I87" s="90">
        <f t="shared" si="365"/>
        <v>92.646209655126171</v>
      </c>
      <c r="J87" s="65">
        <v>0.06</v>
      </c>
      <c r="K87" s="66">
        <f t="shared" si="366"/>
        <v>5491035.7000000011</v>
      </c>
      <c r="L87" s="64">
        <f>K87/$K$91*$L$91</f>
        <v>107.04637177347259</v>
      </c>
      <c r="M87" s="157"/>
      <c r="N87" s="66">
        <f t="shared" si="367"/>
        <v>5161573.5580000011</v>
      </c>
      <c r="O87" s="89">
        <f t="shared" si="368"/>
        <v>4467224.9799999995</v>
      </c>
      <c r="P87" s="90">
        <f t="shared" si="369"/>
        <v>95.700480303097365</v>
      </c>
      <c r="Q87" s="207">
        <f t="shared" si="370"/>
        <v>110.57537304072996</v>
      </c>
      <c r="R87" s="67">
        <f>_xlfn.XLOOKUP(A87,'[1]My Input'!$B:$B,'[1]My Input'!$F:$F)</f>
        <v>0</v>
      </c>
      <c r="S87" s="157"/>
      <c r="T87" s="158">
        <f t="shared" si="371"/>
        <v>5161573.5580000011</v>
      </c>
      <c r="U87" s="89">
        <f t="shared" si="372"/>
        <v>4467224.9799999995</v>
      </c>
      <c r="V87" s="90">
        <f t="shared" si="373"/>
        <v>99.810678933099325</v>
      </c>
      <c r="W87" s="90">
        <f t="shared" si="374"/>
        <v>115.32442701981698</v>
      </c>
      <c r="X87" s="92">
        <f>_xlfn.XLOOKUP(A87,'[1]My Input'!$B:$B,'[1]My Input'!$I:$I)</f>
        <v>0</v>
      </c>
      <c r="Y87" s="157"/>
      <c r="Z87" s="158">
        <f t="shared" si="375"/>
        <v>5080756.7280000011</v>
      </c>
      <c r="AA87" s="89">
        <f t="shared" si="376"/>
        <v>4386408.1499999994</v>
      </c>
      <c r="AB87" s="90">
        <f t="shared" si="377"/>
        <v>92.219131608336852</v>
      </c>
      <c r="AC87" s="90">
        <f t="shared" si="378"/>
        <v>106.81700319414533</v>
      </c>
      <c r="AD87" s="93">
        <f>_xlfn.XLOOKUP(A87,'[1]My Input'!$B:$B,'[1]My Input'!$N:$N)</f>
        <v>80816.83</v>
      </c>
      <c r="AE87" s="70"/>
      <c r="AF87" s="71">
        <f>_xlfn.XLOOKUP(A87,'[1]My Input'!$B:$B,'[1]My Input'!$E:$E)</f>
        <v>0.06</v>
      </c>
      <c r="AG87" s="208">
        <f>_xlfn.XLOOKUP(A87,'[1]My Input'!$B:$B,'[1]My Input'!$G:$G)</f>
        <v>0.06</v>
      </c>
      <c r="AH87" s="73">
        <f t="shared" si="379"/>
        <v>2084371.4912280703</v>
      </c>
      <c r="AJ87" s="73">
        <f t="shared" si="380"/>
        <v>1959309.2017543861</v>
      </c>
      <c r="AK87" s="75">
        <f t="shared" si="381"/>
        <v>1959309.2017543861</v>
      </c>
      <c r="AL87" s="76">
        <f t="shared" si="382"/>
        <v>2408348.991228071</v>
      </c>
      <c r="AM87" s="76">
        <f t="shared" si="383"/>
        <v>2263848.0517543866</v>
      </c>
      <c r="AN87" s="76">
        <f t="shared" si="384"/>
        <v>2263848.0517543866</v>
      </c>
      <c r="AO87" s="77">
        <f>_xlfn.XLOOKUP(A87,'[1]My Input'!$B:$B,'[1]My Input'!$T:$T)</f>
        <v>0</v>
      </c>
      <c r="AP87" s="78">
        <f>_xlfn.XLOOKUP(A87,'[1]My Input'!$B:$B,'[1]My Input'!$S:$S)</f>
        <v>1300</v>
      </c>
      <c r="AQ87" s="67">
        <f>_xlfn.XLOOKUP(A87,'[1]My Input'!$B:$B,'[1]My Input'!$U:$U)</f>
        <v>0.9</v>
      </c>
      <c r="AS87" s="153">
        <v>6171</v>
      </c>
      <c r="AU87" s="74" t="s">
        <v>41</v>
      </c>
      <c r="AV87" s="67" cm="1">
        <f t="array" ref="AV87">_xlfn.IFS(
 AND(AY87="ICE",  AP87&lt;=1400,AND(AK87&gt;900000,  AK87&lt;=1100000)),                    80%,
 AND(AY87="ICE",  AP87&lt;=1400,AK87&gt;1100000),                                       90%,
 AND(AY87="ICE",  AND(AP87&gt;1400,AP87&lt;=1600),   AK87&lt;=850000),                      75%,
 AND(AY87="ICE",  AND(AP87&gt;1400,AP87&lt;=1600),   AND(AK87&gt;850000,AK87&lt;=1100000)),     80%,
 AND(AY87="ICE",  AND(AP87&gt;1400,AP87&lt;=1600),   AND(AK87&gt;1100000,AK87&lt;=1650000)),    90%,
 AND(AY87="ICE",  AND(AP87&gt;1400,AP87&lt;=1600),   AK87&gt;1650000),                      100%,
 AND(AY87="ICE",  AND(AP87&gt;1600,AP87&lt;=2000),   AK87&lt;=1650000),                     150%,
 AND(AY87="ICE",  AND(AP87&gt;1600,AP87&lt;=2000),   AK87&gt;1650000),                      170%,
 AND(AY87="ICE",  AP87&gt;2000),                                                    220%,
 AND(AY87="PHEV",  AP87&lt;=1600,                AK87&lt;=1350000),                     45%,
 AND(AY87="PHEV",  AP87&lt;=1600,                AK87&gt;1350000),                      75%,
 AND(AY87="PHEV",  AND(AP87&gt;1600,AP87&lt;=1800),  AK87&lt;=1350000),                     85%,
 AND(AY87="BEV",    AZ87&lt;=160,                 AK87&lt;=1650000),                     25%,
 AND(AY87="BEV",    AZ87&lt;=160,                 AK87&gt;1650000),                      55%,
 AND(AY87="BEV",    AZ87&gt; 160,                 AK87&lt;=1650000),                     65%,
 AND(AY87="BEV",    AZ87&gt; 160,                 AK87&gt;1650000),                      75%)</f>
        <v>0.9</v>
      </c>
      <c r="AW87" s="67" cm="1">
        <f t="array" ref="AW87">_xlfn.IFS(
 X87=0,AV87,
 AND(AY87="ICE",  AP87&lt;=1400,AND((AJ87-BA87)&gt;900000,  (AJ87-BA87)&lt;=1100000)),                    80%,
 AND(AY87="ICE",  AP87&lt;=1400,(AJ87-BA87)&gt;1100000),                                       90%,
 AND(AY87="ICE",  AND(AP87&gt;1400,AP87&lt;=1600),   (AJ87-BA87)&lt;=850000),                      75%,
 AND(AY87="ICE",  AND(AP87&gt;1400,AP87&lt;=1600),   AND((AJ87-BA87)&gt;850000,(AJ87-BA87)&lt;=1100000)),     80%,
 AND(AY87="ICE",  AND(AP87&gt;1400,AP87&lt;=1600),   AND((AJ87-BA87)&gt;1100000,(AJ87-BA87)&lt;=1650000)),    90%,
 AND(AY87="ICE",  AND(AP87&gt;1400,AP87&lt;=1600),   (AJ87-BA87)&gt;1650000),                      100%,
 AND(AY87="ICE",  AND(AP87&gt;1600,AP87&lt;=2000),   (AJ87-BA87)&lt;=1650000),                     150%,
 AND(AY87="ICE",  AND(AP87&gt;1600,AP87&lt;=2000),   (AJ87-BA87)&gt;1650000),                      170%,
 AND(AY87="ICE",  AP87&gt;2000),                                                    220%,
 AND(AY87="PHEV",  AP87&lt;=1600,                (AJ87-BA87)&lt;=1350000),                     45%,
 AND(AY87="PHEV",  AP87&lt;=1600,                (AJ87-BA87)&gt;1350000),                      75%,
 AND(AY87="PHEV",  AND(AP87&gt;1600,AP87&lt;=1800),  (AJ87-BA87)&lt;=1350000),                     85%,
 AND(AY87="BEV",    AZ87&lt;=160,                 (AJ87-BA87)&lt;=1650000),                     25%,
 AND(AY87="BEV",    AZ87&lt;=160,                 (AJ87-BA87)&gt;1650000),                      55%,
 AND(AY87="BEV",    AZ87&gt; 160,                 (AJ87-BA87)&lt;=1650000),                     65%,
 AND(AY87="BEV",    AZ87&gt; 160,                 (AJ87-BA87)&gt;1650000),                      75%)</f>
        <v>0.9</v>
      </c>
      <c r="AX87" s="67" cm="1">
        <f t="array" ref="AX87">_xlfn.IFS(
 AD87=0,AV87,
 AND(AY87="ICE",  AP87&lt;=1400,AND(AJ87&gt;900000,  AJ87&lt;=1100000)),                    80%,
 AND(AY87="ICE",  AP87&lt;=1400,AJ87&gt;1100000),                                       90%,
 AND(AY87="ICE",  AND(AP87&gt;1400,AP87&lt;=1600),   AJ87&lt;=850000),                      75%,
 AND(AY87="ICE",  AND(AP87&gt;1400,AP87&lt;=1600),   AND(AJ87&gt;850000,AJ87&lt;=1100000)),     80%,
 AND(AY87="ICE",  AND(AP87&gt;1400,AP87&lt;=1600),   AND(AJ87&gt;1100000,AJ87&lt;=1650000)),    90%,
 AND(AY87="ICE",  AND(AP87&gt;1400,AP87&lt;=1600),   AJ87&gt;1650000),                      100%,
 AND(AY87="ICE",  AND(AP87&gt;1600,AP87&lt;=2000),   AJ87&lt;=1650000),                     150%,
 AND(AY87="ICE",  AND(AP87&gt;1600,AP87&lt;=2000),   AJ87&gt;1650000),                      170%,
 AND(AY87="ICE",  AP87&gt;2000),                                                    220%,
 AND(AY87="PHEV",  AP87&lt;=1600,                AJ87&lt;=1350000),                     45%,
 AND(AY87="PHEV",  AP87&lt;=1600,                AJ87&gt;1350000),                      75%,
 AND(AY87="PHEV",  AND(AP87&gt;1600,AP87&lt;=1800),  AJ87&lt;=1350000),                     85%,
 AND(AY87="BEV",    AZ87&lt;=160,                 AJ87&lt;=1650000),                     25%,
 AND(AY87="BEV",    AZ87&lt;=160,                 AJ87&gt;1650000),                      55%,
 AND(AY87="BEV",    AZ87&gt; 160,                 AJ87&lt;=1650000),                     65%,
 AND(AY87="BEV",    AZ87&gt; 160,                 AJ87&gt;1650000),                      75%)</f>
        <v>0.9</v>
      </c>
      <c r="AY87" s="80" t="str">
        <f>_xlfn.XLOOKUP(A87,'[1]My Input'!$B:$B,'[1]My Input'!$V:$V)</f>
        <v>ICE</v>
      </c>
      <c r="AZ87" s="80" t="str">
        <f>_xlfn.IFNA(_xlfn.XLOOKUP(A87,'[1]kW Tescil'!$A:$A,'[1]kW Tescil'!$C:$C),"-")</f>
        <v>-</v>
      </c>
      <c r="BA87" s="81">
        <f>_xlfn.XLOOKUP(A87,'[1]My Input'!$B:$B,'[1]My Input'!$H:$H)</f>
        <v>0</v>
      </c>
      <c r="BC87" s="82">
        <v>3.8453755945877361</v>
      </c>
      <c r="BD87" s="82">
        <v>4.70245320733531</v>
      </c>
      <c r="BF87" s="83">
        <v>7.5223075860318573</v>
      </c>
      <c r="BG87" s="83">
        <v>8.983439459863348</v>
      </c>
      <c r="BI87" s="84">
        <v>457322.9859000002</v>
      </c>
      <c r="BL87" s="83">
        <v>2.9753811462349233</v>
      </c>
    </row>
    <row r="88" spans="1:70" s="74" customFormat="1" ht="15" customHeight="1" thickBot="1" x14ac:dyDescent="0.3">
      <c r="A88" s="57" t="s">
        <v>138</v>
      </c>
      <c r="B88" s="57" t="str">
        <f t="shared" si="364"/>
        <v>AudiQ3 SUV TFSI Advanced</v>
      </c>
      <c r="C88" s="85" t="s">
        <v>42</v>
      </c>
      <c r="D88" s="86" t="s">
        <v>38</v>
      </c>
      <c r="E88" s="87" t="s">
        <v>139</v>
      </c>
      <c r="F88" s="88" t="s">
        <v>40</v>
      </c>
      <c r="G88" s="178"/>
      <c r="H88" s="89">
        <v>5090352</v>
      </c>
      <c r="I88" s="90">
        <f t="shared" si="365"/>
        <v>99.235142953057036</v>
      </c>
      <c r="J88" s="65">
        <v>0.115</v>
      </c>
      <c r="K88" s="66">
        <f t="shared" si="366"/>
        <v>5920692</v>
      </c>
      <c r="L88" s="64">
        <f>K88/$K$91*$L$91</f>
        <v>115.42241420652661</v>
      </c>
      <c r="M88" s="157"/>
      <c r="N88" s="66">
        <f t="shared" si="367"/>
        <v>5239812.419999999</v>
      </c>
      <c r="O88" s="89">
        <f t="shared" si="368"/>
        <v>4504961.5199999996</v>
      </c>
      <c r="P88" s="90">
        <f t="shared" si="369"/>
        <v>96.508902762039</v>
      </c>
      <c r="Q88" s="207">
        <f t="shared" si="370"/>
        <v>112.25146876129237</v>
      </c>
      <c r="R88" s="67">
        <f>_xlfn.XLOOKUP(A88,'[1]My Input'!$B:$B,'[1]My Input'!$F:$F)</f>
        <v>0</v>
      </c>
      <c r="S88" s="157"/>
      <c r="T88" s="158">
        <f t="shared" si="371"/>
        <v>5239812.419999999</v>
      </c>
      <c r="U88" s="89">
        <f t="shared" si="372"/>
        <v>4504961.5199999996</v>
      </c>
      <c r="V88" s="90">
        <f t="shared" si="373"/>
        <v>100.65382197936384</v>
      </c>
      <c r="W88" s="90">
        <f t="shared" si="374"/>
        <v>117.07250865218035</v>
      </c>
      <c r="X88" s="92">
        <f>_xlfn.XLOOKUP(A88,'[1]My Input'!$B:$B,'[1]My Input'!$I:$I)</f>
        <v>0</v>
      </c>
      <c r="Y88" s="157"/>
      <c r="Z88" s="158">
        <f t="shared" si="375"/>
        <v>5239812.419999999</v>
      </c>
      <c r="AA88" s="89">
        <f t="shared" si="376"/>
        <v>4504961.5199999996</v>
      </c>
      <c r="AB88" s="90">
        <f t="shared" si="377"/>
        <v>94.711578379538906</v>
      </c>
      <c r="AC88" s="90">
        <f t="shared" si="378"/>
        <v>110.16096419640704</v>
      </c>
      <c r="AD88" s="93">
        <f>_xlfn.XLOOKUP(A88,'[1]My Input'!$B:$B,'[1]My Input'!$N:$N)</f>
        <v>0</v>
      </c>
      <c r="AE88" s="70"/>
      <c r="AF88" s="71">
        <f>_xlfn.XLOOKUP(A88,'[1]My Input'!$B:$B,'[1]My Input'!$E:$E)</f>
        <v>0.115</v>
      </c>
      <c r="AG88" s="208">
        <f>_xlfn.XLOOKUP(A88,'[1]My Input'!$B:$B,'[1]My Input'!$G:$G)</f>
        <v>0.115</v>
      </c>
      <c r="AH88" s="73">
        <f t="shared" si="379"/>
        <v>2120980</v>
      </c>
      <c r="AJ88" s="73">
        <f t="shared" si="380"/>
        <v>1877067.3</v>
      </c>
      <c r="AK88" s="75">
        <f t="shared" si="381"/>
        <v>1877067.3</v>
      </c>
      <c r="AL88" s="76">
        <f t="shared" si="382"/>
        <v>2466955</v>
      </c>
      <c r="AM88" s="76">
        <f t="shared" si="383"/>
        <v>2183255.1749999998</v>
      </c>
      <c r="AN88" s="76">
        <f t="shared" si="384"/>
        <v>2183255.1749999998</v>
      </c>
      <c r="AO88" s="77">
        <f>_xlfn.XLOOKUP(A88,'[1]My Input'!$B:$B,'[1]My Input'!$T:$T)</f>
        <v>0</v>
      </c>
      <c r="AP88" s="78">
        <f>_xlfn.XLOOKUP(A88,'[1]My Input'!$B:$B,'[1]My Input'!$S:$S)</f>
        <v>1600</v>
      </c>
      <c r="AQ88" s="67">
        <v>1</v>
      </c>
      <c r="AS88" s="153">
        <v>6590</v>
      </c>
      <c r="AU88" s="74" t="s">
        <v>41</v>
      </c>
      <c r="AV88" s="67" cm="1">
        <f t="array" ref="AV88">_xlfn.IFS(
 AND(AY88="ICE",  AP88&lt;=1400,AND(AK88&gt;900000,  AK88&lt;=1100000)),                    80%,
 AND(AY88="ICE",  AP88&lt;=1400,AK88&gt;1100000),                                       90%,
 AND(AY88="ICE",  AND(AP88&gt;1400,AP88&lt;=1600),   AK88&lt;=850000),                      75%,
 AND(AY88="ICE",  AND(AP88&gt;1400,AP88&lt;=1600),   AND(AK88&gt;850000,AK88&lt;=1100000)),     80%,
 AND(AY88="ICE",  AND(AP88&gt;1400,AP88&lt;=1600),   AND(AK88&gt;1100000,AK88&lt;=1650000)),    90%,
 AND(AY88="ICE",  AND(AP88&gt;1400,AP88&lt;=1600),   AK88&gt;1650000),                      100%,
 AND(AY88="ICE",  AND(AP88&gt;1600,AP88&lt;=2000),   AK88&lt;=1650000),                     150%,
 AND(AY88="ICE",  AND(AP88&gt;1600,AP88&lt;=2000),   AK88&gt;1650000),                      170%,
 AND(AY88="ICE",  AP88&gt;2000),                                                    220%,
 AND(AY88="PHEV",  AP88&lt;=1600,                AK88&lt;=1350000),                     45%,
 AND(AY88="PHEV",  AP88&lt;=1600,                AK88&gt;1350000),                      75%,
 AND(AY88="PHEV",  AND(AP88&gt;1600,AP88&lt;=1800),  AK88&lt;=1350000),                     85%,
 AND(AY88="BEV",    AZ88&lt;=160,                 AK88&lt;=1650000),                     25%,
 AND(AY88="BEV",    AZ88&lt;=160,                 AK88&gt;1650000),                      55%,
 AND(AY88="BEV",    AZ88&gt; 160,                 AK88&lt;=1650000),                     65%,
 AND(AY88="BEV",    AZ88&gt; 160,                 AK88&gt;1650000),                      75%)</f>
        <v>1</v>
      </c>
      <c r="AW88" s="67" cm="1">
        <f t="array" ref="AW88">_xlfn.IFS(
 X88=0,AV88,
 AND(AY88="ICE",  AP88&lt;=1400,AND((AJ88-BA88)&gt;900000,  (AJ88-BA88)&lt;=1100000)),                    80%,
 AND(AY88="ICE",  AP88&lt;=1400,(AJ88-BA88)&gt;1100000),                                       90%,
 AND(AY88="ICE",  AND(AP88&gt;1400,AP88&lt;=1600),   (AJ88-BA88)&lt;=850000),                      75%,
 AND(AY88="ICE",  AND(AP88&gt;1400,AP88&lt;=1600),   AND((AJ88-BA88)&gt;850000,(AJ88-BA88)&lt;=1100000)),     80%,
 AND(AY88="ICE",  AND(AP88&gt;1400,AP88&lt;=1600),   AND((AJ88-BA88)&gt;1100000,(AJ88-BA88)&lt;=1650000)),    90%,
 AND(AY88="ICE",  AND(AP88&gt;1400,AP88&lt;=1600),   (AJ88-BA88)&gt;1650000),                      100%,
 AND(AY88="ICE",  AND(AP88&gt;1600,AP88&lt;=2000),   (AJ88-BA88)&lt;=1650000),                     150%,
 AND(AY88="ICE",  AND(AP88&gt;1600,AP88&lt;=2000),   (AJ88-BA88)&gt;1650000),                      170%,
 AND(AY88="ICE",  AP88&gt;2000),                                                    220%,
 AND(AY88="PHEV",  AP88&lt;=1600,                (AJ88-BA88)&lt;=1350000),                     45%,
 AND(AY88="PHEV",  AP88&lt;=1600,                (AJ88-BA88)&gt;1350000),                      75%,
 AND(AY88="PHEV",  AND(AP88&gt;1600,AP88&lt;=1800),  (AJ88-BA88)&lt;=1350000),                     85%,
 AND(AY88="BEV",    AZ88&lt;=160,                 (AJ88-BA88)&lt;=1650000),                     25%,
 AND(AY88="BEV",    AZ88&lt;=160,                 (AJ88-BA88)&gt;1650000),                      55%,
 AND(AY88="BEV",    AZ88&gt; 160,                 (AJ88-BA88)&lt;=1650000),                     65%,
 AND(AY88="BEV",    AZ88&gt; 160,                 (AJ88-BA88)&gt;1650000),                      75%)</f>
        <v>1</v>
      </c>
      <c r="AX88" s="67" cm="1">
        <f t="array" ref="AX88">_xlfn.IFS(
 AD88=0,AV88,
 AND(AY88="ICE",  AP88&lt;=1400,AND(AJ88&gt;900000,  AJ88&lt;=1100000)),                    80%,
 AND(AY88="ICE",  AP88&lt;=1400,AJ88&gt;1100000),                                       90%,
 AND(AY88="ICE",  AND(AP88&gt;1400,AP88&lt;=1600),   AJ88&lt;=850000),                      75%,
 AND(AY88="ICE",  AND(AP88&gt;1400,AP88&lt;=1600),   AND(AJ88&gt;850000,AJ88&lt;=1100000)),     80%,
 AND(AY88="ICE",  AND(AP88&gt;1400,AP88&lt;=1600),   AND(AJ88&gt;1100000,AJ88&lt;=1650000)),    90%,
 AND(AY88="ICE",  AND(AP88&gt;1400,AP88&lt;=1600),   AJ88&gt;1650000),                      100%,
 AND(AY88="ICE",  AND(AP88&gt;1600,AP88&lt;=2000),   AJ88&lt;=1650000),                     150%,
 AND(AY88="ICE",  AND(AP88&gt;1600,AP88&lt;=2000),   AJ88&gt;1650000),                      170%,
 AND(AY88="ICE",  AP88&gt;2000),                                                    220%,
 AND(AY88="PHEV",  AP88&lt;=1600,                AJ88&lt;=1350000),                     45%,
 AND(AY88="PHEV",  AP88&lt;=1600,                AJ88&gt;1350000),                      75%,
 AND(AY88="PHEV",  AND(AP88&gt;1600,AP88&lt;=1800),  AJ88&lt;=1350000),                     85%,
 AND(AY88="BEV",    AZ88&lt;=160,                 AJ88&lt;=1650000),                     25%,
 AND(AY88="BEV",    AZ88&lt;=160,                 AJ88&gt;1650000),                      55%,
 AND(AY88="BEV",    AZ88&gt; 160,                 AJ88&lt;=1650000),                     65%,
 AND(AY88="BEV",    AZ88&gt; 160,                 AJ88&gt;1650000),                      75%)</f>
        <v>1</v>
      </c>
      <c r="AY88" s="80" t="str">
        <f>_xlfn.XLOOKUP(A88,'[1]My Input'!$B:$B,'[1]My Input'!$V:$V)</f>
        <v>ICE</v>
      </c>
      <c r="AZ88" s="80" t="str">
        <f>_xlfn.IFNA(_xlfn.XLOOKUP(A88,'[1]kW Tescil'!$A:$A,'[1]kW Tescil'!$C:$C),"-")</f>
        <v>-</v>
      </c>
      <c r="BA88" s="81">
        <f>_xlfn.XLOOKUP(A88,'[1]My Input'!$B:$B,'[1]My Input'!$H:$H)</f>
        <v>0</v>
      </c>
      <c r="BC88" s="82">
        <v>7.943822508916881</v>
      </c>
      <c r="BD88" s="82">
        <v>9.0433793733037646</v>
      </c>
      <c r="BF88" s="83">
        <v>11.667961170764954</v>
      </c>
      <c r="BG88" s="83">
        <v>13.374365217152175</v>
      </c>
      <c r="BI88" s="84">
        <v>647032.92602000106</v>
      </c>
      <c r="BL88" s="83">
        <v>7.0738280605640682</v>
      </c>
    </row>
    <row r="89" spans="1:70" s="74" customFormat="1" ht="15" hidden="1" customHeight="1" thickBot="1" x14ac:dyDescent="0.3">
      <c r="A89" s="57" t="s">
        <v>140</v>
      </c>
      <c r="B89" s="57" t="str">
        <f t="shared" si="364"/>
        <v>AudiQ3 35 TFSIS Line</v>
      </c>
      <c r="C89" s="58" t="s">
        <v>37</v>
      </c>
      <c r="D89" s="86" t="s">
        <v>38</v>
      </c>
      <c r="E89" s="87" t="s">
        <v>129</v>
      </c>
      <c r="F89" s="88" t="s">
        <v>51</v>
      </c>
      <c r="G89" s="110"/>
      <c r="H89" s="89">
        <f>3919177*(1+11.1%)</f>
        <v>4354205.6469999999</v>
      </c>
      <c r="I89" s="90">
        <f t="shared" si="365"/>
        <v>84.884153360524607</v>
      </c>
      <c r="J89" s="110"/>
      <c r="K89" s="91">
        <f t="shared" si="366"/>
        <v>5229023.6470000008</v>
      </c>
      <c r="L89" s="90">
        <f>K89/$K$91*$L$91</f>
        <v>101.93851213333787</v>
      </c>
      <c r="M89" s="110"/>
      <c r="N89" s="91">
        <f t="shared" si="367"/>
        <v>4421139.4935385007</v>
      </c>
      <c r="O89" s="89">
        <f t="shared" si="368"/>
        <v>3681480.8745384994</v>
      </c>
      <c r="P89" s="238">
        <f t="shared" si="369"/>
        <v>78.867639193762159</v>
      </c>
      <c r="Q89" s="238">
        <f t="shared" si="370"/>
        <v>94.713200009601309</v>
      </c>
      <c r="R89" s="67">
        <f>_xlfn.XLOOKUP(A89,'[1]My Input'!$B:$B,'[1]My Input'!$F:$F)</f>
        <v>0</v>
      </c>
      <c r="S89" s="110"/>
      <c r="T89" s="91">
        <f t="shared" si="371"/>
        <v>4421139.4935385007</v>
      </c>
      <c r="U89" s="89">
        <f t="shared" si="372"/>
        <v>3681480.8745384994</v>
      </c>
      <c r="V89" s="238">
        <f t="shared" si="373"/>
        <v>82.254891394994829</v>
      </c>
      <c r="W89" s="238">
        <f t="shared" si="374"/>
        <v>98.780996364328331</v>
      </c>
      <c r="X89" s="92">
        <f>_xlfn.XLOOKUP(A89,'[1]My Input'!$B:$B,'[1]My Input'!$I:$I)</f>
        <v>0</v>
      </c>
      <c r="Y89" s="110"/>
      <c r="Z89" s="91">
        <f t="shared" si="375"/>
        <v>4653831.0458300011</v>
      </c>
      <c r="AA89" s="89">
        <f t="shared" si="376"/>
        <v>3681480.8745384994</v>
      </c>
      <c r="AB89" s="238">
        <f t="shared" si="377"/>
        <v>77.398855207452826</v>
      </c>
      <c r="AC89" s="238">
        <f t="shared" si="378"/>
        <v>97.841387080762402</v>
      </c>
      <c r="AD89" s="93">
        <f>_xlfn.XLOOKUP(A89,'[1]My Input'!$B:$B,'[1]My Input'!$N:$N)</f>
        <v>0</v>
      </c>
      <c r="AE89" s="70"/>
      <c r="AF89" s="71">
        <f>_xlfn.XLOOKUP(A89,'[1]My Input'!$B:$B,'[1]My Input'!$E:$E)</f>
        <v>0.11</v>
      </c>
      <c r="AG89" s="72">
        <f>_xlfn.XLOOKUP(A89,'[1]My Input'!$B:$B,'[1]My Input'!$G:$G)</f>
        <v>0.11</v>
      </c>
      <c r="AH89" s="73">
        <f t="shared" si="379"/>
        <v>1814252.3529166668</v>
      </c>
      <c r="AJ89" s="73">
        <f t="shared" si="380"/>
        <v>1614684.5940958334</v>
      </c>
      <c r="AK89" s="75">
        <f t="shared" si="381"/>
        <v>1614684.5940958334</v>
      </c>
      <c r="AL89" s="76">
        <f t="shared" si="382"/>
        <v>2178759.8529166672</v>
      </c>
      <c r="AM89" s="76">
        <f t="shared" si="383"/>
        <v>1939096.2690958339</v>
      </c>
      <c r="AN89" s="76">
        <f t="shared" si="384"/>
        <v>1939096.2690958339</v>
      </c>
      <c r="AO89" s="77">
        <f>_xlfn.XLOOKUP(A89,'[1]My Input'!$B:$B,'[1]My Input'!$T:$T)</f>
        <v>0</v>
      </c>
      <c r="AP89" s="78">
        <f>_xlfn.XLOOKUP(A89,'[1]My Input'!$B:$B,'[1]My Input'!$S:$S)</f>
        <v>1600</v>
      </c>
      <c r="AQ89" s="67">
        <f>_xlfn.XLOOKUP(A89,'[1]My Input'!$B:$B,'[1]My Input'!$U:$U)</f>
        <v>1</v>
      </c>
      <c r="AS89" s="155">
        <v>6943</v>
      </c>
      <c r="AU89" s="74" t="s">
        <v>41</v>
      </c>
      <c r="AV89" s="67" cm="1">
        <f t="array" ref="AV89">_xlfn.IFS(
 AND(AY89="ICE",  AP89&lt;=1400,AND(AK89&gt;900000,  AK89&lt;=1100000)),                    80%,
 AND(AY89="ICE",  AP89&lt;=1400,AK89&gt;1100000),                                       90%,
 AND(AY89="ICE",  AND(AP89&gt;1400,AP89&lt;=1600),   AK89&lt;=850000),                      75%,
 AND(AY89="ICE",  AND(AP89&gt;1400,AP89&lt;=1600),   AND(AK89&gt;850000,AK89&lt;=1100000)),     80%,
 AND(AY89="ICE",  AND(AP89&gt;1400,AP89&lt;=1600),   AND(AK89&gt;1100000,AK89&lt;=1650000)),    90%,
 AND(AY89="ICE",  AND(AP89&gt;1400,AP89&lt;=1600),   AK89&gt;1650000),                      100%,
 AND(AY89="ICE",  AND(AP89&gt;1600,AP89&lt;=2000),   AK89&lt;=1650000),                     150%,
 AND(AY89="ICE",  AND(AP89&gt;1600,AP89&lt;=2000),   AK89&gt;1650000),                      170%,
 AND(AY89="ICE",  AP89&gt;2000),                                                    220%,
 AND(AY89="PHEV",  AP89&lt;=1600,                AK89&lt;=1350000),                     45%,
 AND(AY89="PHEV",  AP89&lt;=1600,                AK89&gt;1350000),                      75%,
 AND(AY89="PHEV",  AND(AP89&gt;1600,AP89&lt;=1800),  AK89&lt;=1350000),                     85%,
 AND(AY89="BEV",    AZ89&lt;=160,                 AK89&lt;=1650000),                     25%,
 AND(AY89="BEV",    AZ89&lt;=160,                 AK89&gt;1650000),                      55%,
 AND(AY89="BEV",    AZ89&gt; 160,                 AK89&lt;=1650000),                     65%,
 AND(AY89="BEV",    AZ89&gt; 160,                 AK89&gt;1650000),                      75%)</f>
        <v>0.9</v>
      </c>
      <c r="AW89" s="67" cm="1">
        <f t="array" ref="AW89">_xlfn.IFS(
 X89=0,AV89,
 AND(AY89="ICE",  AP89&lt;=1400,AND((AJ89-BA89)&gt;900000,  (AJ89-BA89)&lt;=1100000)),                    80%,
 AND(AY89="ICE",  AP89&lt;=1400,(AJ89-BA89)&gt;1100000),                                       90%,
 AND(AY89="ICE",  AND(AP89&gt;1400,AP89&lt;=1600),   (AJ89-BA89)&lt;=850000),                      75%,
 AND(AY89="ICE",  AND(AP89&gt;1400,AP89&lt;=1600),   AND((AJ89-BA89)&gt;850000,(AJ89-BA89)&lt;=1100000)),     80%,
 AND(AY89="ICE",  AND(AP89&gt;1400,AP89&lt;=1600),   AND((AJ89-BA89)&gt;1100000,(AJ89-BA89)&lt;=1650000)),    90%,
 AND(AY89="ICE",  AND(AP89&gt;1400,AP89&lt;=1600),   (AJ89-BA89)&gt;1650000),                      100%,
 AND(AY89="ICE",  AND(AP89&gt;1600,AP89&lt;=2000),   (AJ89-BA89)&lt;=1650000),                     150%,
 AND(AY89="ICE",  AND(AP89&gt;1600,AP89&lt;=2000),   (AJ89-BA89)&gt;1650000),                      170%,
 AND(AY89="ICE",  AP89&gt;2000),                                                    220%,
 AND(AY89="PHEV",  AP89&lt;=1600,                (AJ89-BA89)&lt;=1350000),                     45%,
 AND(AY89="PHEV",  AP89&lt;=1600,                (AJ89-BA89)&gt;1350000),                      75%,
 AND(AY89="PHEV",  AND(AP89&gt;1600,AP89&lt;=1800),  (AJ89-BA89)&lt;=1350000),                     85%,
 AND(AY89="BEV",    AZ89&lt;=160,                 (AJ89-BA89)&lt;=1650000),                     25%,
 AND(AY89="BEV",    AZ89&lt;=160,                 (AJ89-BA89)&gt;1650000),                      55%,
 AND(AY89="BEV",    AZ89&gt; 160,                 (AJ89-BA89)&lt;=1650000),                     65%,
 AND(AY89="BEV",    AZ89&gt; 160,                 (AJ89-BA89)&gt;1650000),                      75%)</f>
        <v>0.9</v>
      </c>
      <c r="AX89" s="67" cm="1">
        <f t="array" ref="AX89">_xlfn.IFS(
 AD89=0,AV89,
 AND(AY89="ICE",  AP89&lt;=1400,AND(AJ89&gt;900000,  AJ89&lt;=1100000)),                    80%,
 AND(AY89="ICE",  AP89&lt;=1400,AJ89&gt;1100000),                                       90%,
 AND(AY89="ICE",  AND(AP89&gt;1400,AP89&lt;=1600),   AJ89&lt;=850000),                      75%,
 AND(AY89="ICE",  AND(AP89&gt;1400,AP89&lt;=1600),   AND(AJ89&gt;850000,AJ89&lt;=1100000)),     80%,
 AND(AY89="ICE",  AND(AP89&gt;1400,AP89&lt;=1600),   AND(AJ89&gt;1100000,AJ89&lt;=1650000)),    90%,
 AND(AY89="ICE",  AND(AP89&gt;1400,AP89&lt;=1600),   AJ89&gt;1650000),                      100%,
 AND(AY89="ICE",  AND(AP89&gt;1600,AP89&lt;=2000),   AJ89&lt;=1650000),                     150%,
 AND(AY89="ICE",  AND(AP89&gt;1600,AP89&lt;=2000),   AJ89&gt;1650000),                      170%,
 AND(AY89="ICE",  AP89&gt;2000),                                                    220%,
 AND(AY89="PHEV",  AP89&lt;=1600,                AJ89&lt;=1350000),                     45%,
 AND(AY89="PHEV",  AP89&lt;=1600,                AJ89&gt;1350000),                      75%,
 AND(AY89="PHEV",  AND(AP89&gt;1600,AP89&lt;=1800),  AJ89&lt;=1350000),                     85%,
 AND(AY89="BEV",    AZ89&lt;=160,                 AJ89&lt;=1650000),                     25%,
 AND(AY89="BEV",    AZ89&lt;=160,                 AJ89&gt;1650000),                      55%,
 AND(AY89="BEV",    AZ89&gt; 160,                 AJ89&lt;=1650000),                     65%,
 AND(AY89="BEV",    AZ89&gt; 160,                 AJ89&gt;1650000),                      75%)</f>
        <v>0.9</v>
      </c>
      <c r="AY89" s="80" t="str">
        <f>_xlfn.XLOOKUP(A89,'[1]My Input'!$B:$B,'[1]My Input'!$V:$V)</f>
        <v>ICE</v>
      </c>
      <c r="AZ89" s="80" t="str">
        <f>_xlfn.IFNA(_xlfn.XLOOKUP(A89,'[1]kW Tescil'!$A:$A,'[1]kW Tescil'!$C:$C),"-")</f>
        <v>-</v>
      </c>
      <c r="BA89" s="81">
        <f>_xlfn.XLOOKUP(A89,'[1]My Input'!$B:$B,'[1]My Input'!$H:$H)</f>
        <v>0</v>
      </c>
      <c r="BC89" s="82">
        <v>-4.4062787243284873</v>
      </c>
      <c r="BD89" s="82">
        <v>-4.368710983155367</v>
      </c>
      <c r="BF89" s="83">
        <v>-0.92960610197394544</v>
      </c>
      <c r="BG89" s="83">
        <v>-0.25080755042748137</v>
      </c>
      <c r="BI89" s="84">
        <v>67277.941998499911</v>
      </c>
      <c r="BL89" s="242">
        <v>-5.5107705161295684</v>
      </c>
    </row>
    <row r="90" spans="1:70" s="74" customFormat="1" ht="15" customHeight="1" x14ac:dyDescent="0.25">
      <c r="A90" s="57" t="s">
        <v>141</v>
      </c>
      <c r="B90" s="57" t="str">
        <f t="shared" si="364"/>
        <v>BMWX1 sDrive20iM Sport</v>
      </c>
      <c r="C90" s="85" t="s">
        <v>42</v>
      </c>
      <c r="D90" s="86" t="s">
        <v>44</v>
      </c>
      <c r="E90" s="87" t="s">
        <v>130</v>
      </c>
      <c r="F90" s="88" t="s">
        <v>53</v>
      </c>
      <c r="G90" s="178"/>
      <c r="H90" s="89">
        <f>5123880-193800</f>
        <v>4930080</v>
      </c>
      <c r="I90" s="90">
        <f t="shared" si="365"/>
        <v>96.110680277121787</v>
      </c>
      <c r="J90" s="65">
        <v>0.03</v>
      </c>
      <c r="K90" s="66">
        <f>(((H90-AO90)/(1+AQ90)/1.2/$AS$1)+AS90)*(1+AQ90)*(1.2)*$AS$1+AO90</f>
        <v>5616528</v>
      </c>
      <c r="L90" s="64">
        <v>100</v>
      </c>
      <c r="M90" s="157"/>
      <c r="N90" s="66">
        <f>AN90*1.2*(1+AV90)+AO90</f>
        <v>5448032.1599999992</v>
      </c>
      <c r="O90" s="89">
        <f>AK90*1.2*(1+AV90)+AO90</f>
        <v>4782177.5999999996</v>
      </c>
      <c r="P90" s="90">
        <f t="shared" si="369"/>
        <v>102.44764820748146</v>
      </c>
      <c r="Q90" s="207">
        <f t="shared" si="370"/>
        <v>116.71211921337373</v>
      </c>
      <c r="R90" s="67">
        <f>_xlfn.XLOOKUP(A90,'[1]My Input'!$B:$B,'[1]My Input'!$F:$F)</f>
        <v>0</v>
      </c>
      <c r="S90" s="157"/>
      <c r="T90" s="158">
        <f>IF(X90&lt;&gt;0,AM90*1.2*(1+AW90)+AO90-X90,AN90*1.2*(1+AV90)+AO90)</f>
        <v>5448032.1599999992</v>
      </c>
      <c r="U90" s="89">
        <f>IF(X90&lt;&gt;0,AJ90*1.2*(1+AW90)+AO90-X90,AK90*1.2*(1+AV90)+AO90)</f>
        <v>4782177.5999999996</v>
      </c>
      <c r="V90" s="90">
        <f t="shared" si="373"/>
        <v>106.84762804013947</v>
      </c>
      <c r="W90" s="90">
        <f t="shared" si="374"/>
        <v>121.72473765558134</v>
      </c>
      <c r="X90" s="92">
        <f>_xlfn.XLOOKUP(A90,'[1]My Input'!$B:$B,'[1]My Input'!$I:$I)</f>
        <v>0</v>
      </c>
      <c r="Y90" s="157"/>
      <c r="Z90" s="158">
        <f t="shared" si="375"/>
        <v>5448032.1599999992</v>
      </c>
      <c r="AA90" s="89">
        <f>IF(AD90&lt;&gt;0,AJ90*1.2*(1+AX90)+AO90-AD90,AH90*(1-AG90)*1.2*(1+AV90)+AO90)</f>
        <v>4782177.5999999996</v>
      </c>
      <c r="AB90" s="90">
        <f t="shared" si="377"/>
        <v>100.53972416334321</v>
      </c>
      <c r="AC90" s="90">
        <f t="shared" si="378"/>
        <v>114.53854214854395</v>
      </c>
      <c r="AD90" s="93">
        <f>_xlfn.XLOOKUP(A90,'[1]My Input'!$B:$B,'[1]My Input'!$N:$N)</f>
        <v>0</v>
      </c>
      <c r="AE90" s="70"/>
      <c r="AF90" s="71">
        <f>_xlfn.XLOOKUP(A90,'[1]My Input'!$B:$B,'[1]My Input'!$E:$E)</f>
        <v>0.03</v>
      </c>
      <c r="AG90" s="208">
        <f>_xlfn.XLOOKUP(A90,'[1]My Input'!$B:$B,'[1]My Input'!$G:$G)</f>
        <v>0.03</v>
      </c>
      <c r="AH90" s="73">
        <f>(H90-AO90)/1.2/(1+AQ90)</f>
        <v>2054200</v>
      </c>
      <c r="AJ90" s="73">
        <f>AH90*(1-AF90)</f>
        <v>1992574</v>
      </c>
      <c r="AK90" s="75">
        <f>AH90*(1-AF90-R90)</f>
        <v>1992574</v>
      </c>
      <c r="AL90" s="76">
        <f>(K90-AO90)/1.2/(1+AQ90)</f>
        <v>2340220</v>
      </c>
      <c r="AM90" s="76">
        <f>AL90*(1-AF90)</f>
        <v>2270013.4</v>
      </c>
      <c r="AN90" s="76">
        <f>AL90*(1-AF90-R90)</f>
        <v>2270013.4</v>
      </c>
      <c r="AO90" s="77">
        <f>_xlfn.XLOOKUP(A90,'[1]My Input'!$B:$B,'[1]My Input'!$T:$T)</f>
        <v>0</v>
      </c>
      <c r="AP90" s="78">
        <f>_xlfn.XLOOKUP(A90,'[1]My Input'!$B:$B,'[1]My Input'!$S:$S)</f>
        <v>1600</v>
      </c>
      <c r="AQ90" s="67">
        <f>_xlfn.XLOOKUP(A90,'[1]My Input'!$B:$B,'[1]My Input'!$U:$U)</f>
        <v>1</v>
      </c>
      <c r="AS90" s="153">
        <v>5448</v>
      </c>
      <c r="AU90" s="74" t="s">
        <v>41</v>
      </c>
      <c r="AV90" s="67" cm="1">
        <f t="array" ref="AV90">_xlfn.IFS(
 AND(AY90="ICE",  AP90&lt;=1400,AND(AK90&gt;900000,  AK90&lt;=1100000)),                    80%,
 AND(AY90="ICE",  AP90&lt;=1400,AK90&gt;1100000),                                       90%,
 AND(AY90="ICE",  AND(AP90&gt;1400,AP90&lt;=1600),   AK90&lt;=850000),                      75%,
 AND(AY90="ICE",  AND(AP90&gt;1400,AP90&lt;=1600),   AND(AK90&gt;850000,AK90&lt;=1100000)),     80%,
 AND(AY90="ICE",  AND(AP90&gt;1400,AP90&lt;=1600),   AND(AK90&gt;1100000,AK90&lt;=1650000)),    90%,
 AND(AY90="ICE",  AND(AP90&gt;1400,AP90&lt;=1600),   AK90&gt;1650000),                      100%,
 AND(AY90="ICE",  AND(AP90&gt;1600,AP90&lt;=2000),   AK90&lt;=1650000),                     150%,
 AND(AY90="ICE",  AND(AP90&gt;1600,AP90&lt;=2000),   AK90&gt;1650000),                      170%,
 AND(AY90="ICE",  AP90&gt;2000),                                                    220%,
 AND(AY90="PHEV",  AP90&lt;=1600,                AK90&lt;=1350000),                     45%,
 AND(AY90="PHEV",  AP90&lt;=1600,                AK90&gt;1350000),                      75%,
 AND(AY90="PHEV",  AND(AP90&gt;1600,AP90&lt;=1800),  AK90&lt;=1350000),                     85%,
 AND(AY90="BEV",    AZ90&lt;=160,                 AK90&lt;=1650000),                     25%,
 AND(AY90="BEV",    AZ90&lt;=160,                 AK90&gt;1650000),                      55%,
 AND(AY90="BEV",    AZ90&gt; 160,                 AK90&lt;=1650000),                     65%,
 AND(AY90="BEV",    AZ90&gt; 160,                 AK90&gt;1650000),                      75%)</f>
        <v>1</v>
      </c>
      <c r="AW90" s="67" cm="1">
        <f t="array" ref="AW90">_xlfn.IFS(
 X90=0,AV90,
 AND(AY90="ICE",  AP90&lt;=1400,AND((AJ90-BA90)&gt;900000,  (AJ90-BA90)&lt;=1100000)),                    80%,
 AND(AY90="ICE",  AP90&lt;=1400,(AJ90-BA90)&gt;1100000),                                       90%,
 AND(AY90="ICE",  AND(AP90&gt;1400,AP90&lt;=1600),   (AJ90-BA90)&lt;=850000),                      75%,
 AND(AY90="ICE",  AND(AP90&gt;1400,AP90&lt;=1600),   AND((AJ90-BA90)&gt;850000,(AJ90-BA90)&lt;=1100000)),     80%,
 AND(AY90="ICE",  AND(AP90&gt;1400,AP90&lt;=1600),   AND((AJ90-BA90)&gt;1100000,(AJ90-BA90)&lt;=1650000)),    90%,
 AND(AY90="ICE",  AND(AP90&gt;1400,AP90&lt;=1600),   (AJ90-BA90)&gt;1650000),                      100%,
 AND(AY90="ICE",  AND(AP90&gt;1600,AP90&lt;=2000),   (AJ90-BA90)&lt;=1650000),                     150%,
 AND(AY90="ICE",  AND(AP90&gt;1600,AP90&lt;=2000),   (AJ90-BA90)&gt;1650000),                      170%,
 AND(AY90="ICE",  AP90&gt;2000),                                                    220%,
 AND(AY90="PHEV",  AP90&lt;=1600,                (AJ90-BA90)&lt;=1350000),                     45%,
 AND(AY90="PHEV",  AP90&lt;=1600,                (AJ90-BA90)&gt;1350000),                      75%,
 AND(AY90="PHEV",  AND(AP90&gt;1600,AP90&lt;=1800),  (AJ90-BA90)&lt;=1350000),                     85%,
 AND(AY90="BEV",    AZ90&lt;=160,                 (AJ90-BA90)&lt;=1650000),                     25%,
 AND(AY90="BEV",    AZ90&lt;=160,                 (AJ90-BA90)&gt;1650000),                      55%,
 AND(AY90="BEV",    AZ90&gt; 160,                 (AJ90-BA90)&lt;=1650000),                     65%,
 AND(AY90="BEV",    AZ90&gt; 160,                 (AJ90-BA90)&gt;1650000),                      75%)</f>
        <v>1</v>
      </c>
      <c r="AX90" s="67" cm="1">
        <f t="array" ref="AX90">_xlfn.IFS(
 AD90=0,AV90,
 AND(AY90="ICE",  AP90&lt;=1400,AND(AJ90&gt;900000,  AJ90&lt;=1100000)),                    80%,
 AND(AY90="ICE",  AP90&lt;=1400,AJ90&gt;1100000),                                       90%,
 AND(AY90="ICE",  AND(AP90&gt;1400,AP90&lt;=1600),   AJ90&lt;=850000),                      75%,
 AND(AY90="ICE",  AND(AP90&gt;1400,AP90&lt;=1600),   AND(AJ90&gt;850000,AJ90&lt;=1100000)),     80%,
 AND(AY90="ICE",  AND(AP90&gt;1400,AP90&lt;=1600),   AND(AJ90&gt;1100000,AJ90&lt;=1650000)),    90%,
 AND(AY90="ICE",  AND(AP90&gt;1400,AP90&lt;=1600),   AJ90&gt;1650000),                      100%,
 AND(AY90="ICE",  AND(AP90&gt;1600,AP90&lt;=2000),   AJ90&lt;=1650000),                     150%,
 AND(AY90="ICE",  AND(AP90&gt;1600,AP90&lt;=2000),   AJ90&gt;1650000),                      170%,
 AND(AY90="ICE",  AP90&gt;2000),                                                    220%,
 AND(AY90="PHEV",  AP90&lt;=1600,                AJ90&lt;=1350000),                     45%,
 AND(AY90="PHEV",  AP90&lt;=1600,                AJ90&gt;1350000),                      75%,
 AND(AY90="PHEV",  AND(AP90&gt;1600,AP90&lt;=1800),  AJ90&lt;=1350000),                     85%,
 AND(AY90="BEV",    AZ90&lt;=160,                 AJ90&lt;=1650000),                     25%,
 AND(AY90="BEV",    AZ90&lt;=160,                 AJ90&gt;1650000),                      55%,
 AND(AY90="BEV",    AZ90&gt; 160,                 AJ90&lt;=1650000),                     65%,
 AND(AY90="BEV",    AZ90&gt; 160,                 AJ90&gt;1650000),                      75%)</f>
        <v>1</v>
      </c>
      <c r="AY90" s="80" t="str">
        <f>_xlfn.XLOOKUP(A90,'[1]My Input'!$B:$B,'[1]My Input'!$V:$V)</f>
        <v>ICE</v>
      </c>
      <c r="AZ90" s="80" t="str">
        <f>_xlfn.IFNA(_xlfn.XLOOKUP(A90,'[1]kW Tescil'!$A:$A,'[1]kW Tescil'!$C:$C),"-")</f>
        <v>-</v>
      </c>
      <c r="BA90" s="81">
        <f>_xlfn.XLOOKUP(A90,'[1]My Input'!$B:$B,'[1]My Input'!$H:$H)</f>
        <v>0</v>
      </c>
      <c r="BC90" s="82">
        <v>0</v>
      </c>
      <c r="BD90" s="82">
        <v>0</v>
      </c>
      <c r="BF90" s="83">
        <v>0</v>
      </c>
      <c r="BG90" s="83">
        <v>0</v>
      </c>
      <c r="BI90" s="84">
        <v>385503.1674809996</v>
      </c>
      <c r="BL90" s="83">
        <v>0</v>
      </c>
    </row>
    <row r="91" spans="1:70" s="74" customFormat="1" ht="15.75" thickBot="1" x14ac:dyDescent="0.3">
      <c r="A91" s="57" t="s">
        <v>142</v>
      </c>
      <c r="B91" s="57" t="str">
        <f t="shared" si="364"/>
        <v>BMWX1 xDrive25eM Sport</v>
      </c>
      <c r="C91" s="58" t="s">
        <v>37</v>
      </c>
      <c r="D91" s="94" t="s">
        <v>44</v>
      </c>
      <c r="E91" s="95" t="s">
        <v>143</v>
      </c>
      <c r="F91" s="152" t="s">
        <v>53</v>
      </c>
      <c r="G91" s="65"/>
      <c r="H91" s="98">
        <v>5129586</v>
      </c>
      <c r="I91" s="99">
        <v>100</v>
      </c>
      <c r="J91" s="65">
        <v>0.09</v>
      </c>
      <c r="K91" s="100">
        <f t="shared" ref="K91:K97" si="385">(((H91-AO91)/(1+AQ91)/1.2/$AS$1)+AS91)*(1+AQ91)*(1.2)*$AS$1+AO91</f>
        <v>5129586</v>
      </c>
      <c r="L91" s="99">
        <v>100</v>
      </c>
      <c r="M91" s="65"/>
      <c r="N91" s="100">
        <f t="shared" ref="N91:N97" si="386">AN91*1.2*(1+AV91)+AO91</f>
        <v>4667923.2599999988</v>
      </c>
      <c r="O91" s="98">
        <f t="shared" ref="O91:O97" si="387">AK91*1.2*(1+AV91)+AO91</f>
        <v>4667923.2599999988</v>
      </c>
      <c r="P91" s="99">
        <v>100</v>
      </c>
      <c r="Q91" s="99">
        <v>100</v>
      </c>
      <c r="R91" s="67">
        <f>_xlfn.XLOOKUP(A91,'[1]My Input'!$B:$B,'[1]My Input'!$F:$F)</f>
        <v>0.06</v>
      </c>
      <c r="S91" s="65"/>
      <c r="T91" s="100">
        <f t="shared" ref="T91:T97" si="388">IF(X91&lt;&gt;0,AM91*1.2*(1+AW91)+AO91-X91,AN91*1.2*(1+AV91)+AO91)</f>
        <v>4475698.42</v>
      </c>
      <c r="U91" s="98">
        <f t="shared" ref="U91:U97" si="389">IF(X91&lt;&gt;0,AJ91*1.2*(1+AW91)+AO91-X91,AK91*1.2*(1+AV91)+AO91)</f>
        <v>4475698.42</v>
      </c>
      <c r="V91" s="99">
        <v>100</v>
      </c>
      <c r="W91" s="99">
        <v>100</v>
      </c>
      <c r="X91" s="102">
        <f>_xlfn.XLOOKUP(A91,'[1]My Input'!$B:$B,'[1]My Input'!$I:$I)</f>
        <v>500000</v>
      </c>
      <c r="Y91" s="65"/>
      <c r="Z91" s="100">
        <f t="shared" si="375"/>
        <v>4756505.59</v>
      </c>
      <c r="AA91" s="98">
        <f t="shared" ref="AA91:AA97" si="390">IF(AD91&lt;&gt;0,AJ91*1.2*(1+AX91)+AO91-AD91,AH91*(1-AG91)*1.2*(1+AV91)+AO91)</f>
        <v>4756505.59</v>
      </c>
      <c r="AB91" s="99">
        <v>100</v>
      </c>
      <c r="AC91" s="99">
        <v>100</v>
      </c>
      <c r="AD91" s="98">
        <f>_xlfn.XLOOKUP(A91,'[1]My Input'!$B:$B,'[1]My Input'!$N:$N)</f>
        <v>219192.83</v>
      </c>
      <c r="AE91" s="70"/>
      <c r="AF91" s="71">
        <f>_xlfn.XLOOKUP(A91,'[1]My Input'!$B:$B,'[1]My Input'!$E:$E)</f>
        <v>0.03</v>
      </c>
      <c r="AG91" s="72">
        <f>_xlfn.XLOOKUP(A91,'[1]My Input'!$B:$B,'[1]My Input'!$G:$G)</f>
        <v>0.09</v>
      </c>
      <c r="AH91" s="73">
        <f t="shared" ref="AH91:AH97" si="391">(H91-AO91)/1.2/(1+AQ91)</f>
        <v>2442660</v>
      </c>
      <c r="AJ91" s="73">
        <f t="shared" ref="AJ91:AJ97" si="392">AH91*(1-AF91)</f>
        <v>2369380.1999999997</v>
      </c>
      <c r="AK91" s="75">
        <f t="shared" ref="AK91:AK97" si="393">AH91*(1-AF91-R91)</f>
        <v>2222820.5999999996</v>
      </c>
      <c r="AL91" s="76">
        <f t="shared" ref="AL91:AL97" si="394">(K91-AO91)/1.2/(1+AQ91)</f>
        <v>2442660</v>
      </c>
      <c r="AM91" s="76">
        <f t="shared" ref="AM91:AM97" si="395">AL91*(1-AF91)</f>
        <v>2369380.1999999997</v>
      </c>
      <c r="AN91" s="76">
        <f t="shared" ref="AN91:AN97" si="396">AL91*(1-AF91-R91)</f>
        <v>2222820.5999999996</v>
      </c>
      <c r="AO91" s="77">
        <f>_xlfn.XLOOKUP(A91,'[1]My Input'!$B:$B,'[1]My Input'!$T:$T)</f>
        <v>0</v>
      </c>
      <c r="AP91" s="78">
        <f>_xlfn.XLOOKUP(A91,'[1]My Input'!$B:$B,'[1]My Input'!$S:$S)</f>
        <v>1600</v>
      </c>
      <c r="AQ91" s="67">
        <f>_xlfn.XLOOKUP(A91,'[1]My Input'!$B:$B,'[1]My Input'!$U:$U)</f>
        <v>0.75</v>
      </c>
      <c r="AS91" s="103">
        <f>_xlfn.XLOOKUP(A91,'[1]My Input'!$B:$B,'[1]My Input'!$Q:$Q)</f>
        <v>0</v>
      </c>
      <c r="AU91" s="74" t="s">
        <v>41</v>
      </c>
      <c r="AV91" s="67" cm="1">
        <f t="array" ref="AV91">_xlfn.IFS(
 AND(AY91="ICE",  AP91&lt;=1400,AND(AK91&gt;900000,  AK91&lt;=1100000)),                    80%,
 AND(AY91="ICE",  AP91&lt;=1400,AK91&gt;1100000),                                       90%,
 AND(AY91="ICE",  AND(AP91&gt;1400,AP91&lt;=1600),   AK91&lt;=850000),                      75%,
 AND(AY91="ICE",  AND(AP91&gt;1400,AP91&lt;=1600),   AND(AK91&gt;850000,AK91&lt;=1100000)),     80%,
 AND(AY91="ICE",  AND(AP91&gt;1400,AP91&lt;=1600),   AND(AK91&gt;1100000,AK91&lt;=1650000)),    90%,
 AND(AY91="ICE",  AND(AP91&gt;1400,AP91&lt;=1600),   AK91&gt;1650000),                      100%,
 AND(AY91="ICE",  AND(AP91&gt;1600,AP91&lt;=2000),   AK91&lt;=1650000),                     150%,
 AND(AY91="ICE",  AND(AP91&gt;1600,AP91&lt;=2000),   AK91&gt;1650000),                      170%,
 AND(AY91="ICE",  AP91&gt;2000),                                                    220%,
 AND(AY91="PHEV",  AP91&lt;=1600,                AK91&lt;=1350000),                     45%,
 AND(AY91="PHEV",  AP91&lt;=1600,                AK91&gt;1350000),                      75%,
 AND(AY91="PHEV",  AND(AP91&gt;1600,AP91&lt;=1800),  AK91&lt;=1350000),                     85%,
 AND(AY91="BEV",    AZ91&lt;=160,                 AK91&lt;=1650000),                     25%,
 AND(AY91="BEV",    AZ91&lt;=160,                 AK91&gt;1650000),                      55%,
 AND(AY91="BEV",    AZ91&gt; 160,                 AK91&lt;=1650000),                     65%,
 AND(AY91="BEV",    AZ91&gt; 160,                 AK91&gt;1650000),                      75%)</f>
        <v>0.75</v>
      </c>
      <c r="AW91" s="67" cm="1">
        <f t="array" ref="AW91">_xlfn.IFS(
 X91=0,AV91,
 AND(AY91="ICE",  AP91&lt;=1400,AND((AJ91-BA91)&gt;900000,  (AJ91-BA91)&lt;=1100000)),                    80%,
 AND(AY91="ICE",  AP91&lt;=1400,(AJ91-BA91)&gt;1100000),                                       90%,
 AND(AY91="ICE",  AND(AP91&gt;1400,AP91&lt;=1600),   (AJ91-BA91)&lt;=850000),                      75%,
 AND(AY91="ICE",  AND(AP91&gt;1400,AP91&lt;=1600),   AND((AJ91-BA91)&gt;850000,(AJ91-BA91)&lt;=1100000)),     80%,
 AND(AY91="ICE",  AND(AP91&gt;1400,AP91&lt;=1600),   AND((AJ91-BA91)&gt;1100000,(AJ91-BA91)&lt;=1650000)),    90%,
 AND(AY91="ICE",  AND(AP91&gt;1400,AP91&lt;=1600),   (AJ91-BA91)&gt;1650000),                      100%,
 AND(AY91="ICE",  AND(AP91&gt;1600,AP91&lt;=2000),   (AJ91-BA91)&lt;=1650000),                     150%,
 AND(AY91="ICE",  AND(AP91&gt;1600,AP91&lt;=2000),   (AJ91-BA91)&gt;1650000),                      170%,
 AND(AY91="ICE",  AP91&gt;2000),                                                    220%,
 AND(AY91="PHEV",  AP91&lt;=1600,                (AJ91-BA91)&lt;=1350000),                     45%,
 AND(AY91="PHEV",  AP91&lt;=1600,                (AJ91-BA91)&gt;1350000),                      75%,
 AND(AY91="PHEV",  AND(AP91&gt;1600,AP91&lt;=1800),  (AJ91-BA91)&lt;=1350000),                     85%,
 AND(AY91="BEV",    AZ91&lt;=160,                 (AJ91-BA91)&lt;=1650000),                     25%,
 AND(AY91="BEV",    AZ91&lt;=160,                 (AJ91-BA91)&gt;1650000),                      55%,
 AND(AY91="BEV",    AZ91&gt; 160,                 (AJ91-BA91)&lt;=1650000),                     65%,
 AND(AY91="BEV",    AZ91&gt; 160,                 (AJ91-BA91)&gt;1650000),                      75%)</f>
        <v>0.75</v>
      </c>
      <c r="AX91" s="67" cm="1">
        <f t="array" ref="AX91">_xlfn.IFS(
 AD91=0,AV91,
 AND(AY91="ICE",  AP91&lt;=1400,AND(AJ91&gt;900000,  AJ91&lt;=1100000)),                    80%,
 AND(AY91="ICE",  AP91&lt;=1400,AJ91&gt;1100000),                                       90%,
 AND(AY91="ICE",  AND(AP91&gt;1400,AP91&lt;=1600),   AJ91&lt;=850000),                      75%,
 AND(AY91="ICE",  AND(AP91&gt;1400,AP91&lt;=1600),   AND(AJ91&gt;850000,AJ91&lt;=1100000)),     80%,
 AND(AY91="ICE",  AND(AP91&gt;1400,AP91&lt;=1600),   AND(AJ91&gt;1100000,AJ91&lt;=1650000)),    90%,
 AND(AY91="ICE",  AND(AP91&gt;1400,AP91&lt;=1600),   AJ91&gt;1650000),                      100%,
 AND(AY91="ICE",  AND(AP91&gt;1600,AP91&lt;=2000),   AJ91&lt;=1650000),                     150%,
 AND(AY91="ICE",  AND(AP91&gt;1600,AP91&lt;=2000),   AJ91&gt;1650000),                      170%,
 AND(AY91="ICE",  AP91&gt;2000),                                                    220%,
 AND(AY91="PHEV",  AP91&lt;=1600,                AJ91&lt;=1350000),                     45%,
 AND(AY91="PHEV",  AP91&lt;=1600,                AJ91&gt;1350000),                      75%,
 AND(AY91="PHEV",  AND(AP91&gt;1600,AP91&lt;=1800),  AJ91&lt;=1350000),                     85%,
 AND(AY91="BEV",    AZ91&lt;=160,                 AJ91&lt;=1650000),                     25%,
 AND(AY91="BEV",    AZ91&lt;=160,                 AJ91&gt;1650000),                      55%,
 AND(AY91="BEV",    AZ91&gt; 160,                 AJ91&lt;=1650000),                     65%,
 AND(AY91="BEV",    AZ91&gt; 160,                 AJ91&gt;1650000),                      75%)</f>
        <v>0.75</v>
      </c>
      <c r="AY91" s="80" t="str">
        <f>_xlfn.XLOOKUP(A91,'[1]My Input'!$B:$B,'[1]My Input'!$V:$V)</f>
        <v>PHEV</v>
      </c>
      <c r="AZ91" s="80" t="str">
        <f>_xlfn.IFNA(_xlfn.XLOOKUP(A91,'[1]kW Tescil'!$A:$A,'[1]kW Tescil'!$C:$C),"-")</f>
        <v>-</v>
      </c>
      <c r="BA91" s="81">
        <f>_xlfn.XLOOKUP(A91,'[1]My Input'!$B:$B,'[1]My Input'!$H:$H)</f>
        <v>238095.23809523811</v>
      </c>
      <c r="BC91" s="82">
        <v>0</v>
      </c>
      <c r="BD91" s="82">
        <v>0</v>
      </c>
      <c r="BF91" s="83">
        <v>0</v>
      </c>
      <c r="BG91" s="83">
        <v>0</v>
      </c>
      <c r="BI91" s="84">
        <v>184684.59098999947</v>
      </c>
      <c r="BL91" s="83">
        <v>0</v>
      </c>
      <c r="BR91" s="84">
        <f>O29-O91</f>
        <v>470011.1400000006</v>
      </c>
    </row>
    <row r="92" spans="1:70" s="117" customFormat="1" ht="7.15" customHeight="1" thickBot="1" x14ac:dyDescent="0.3">
      <c r="A92" s="57"/>
      <c r="B92" s="57"/>
      <c r="C92" s="104"/>
      <c r="D92" s="239"/>
      <c r="E92" s="240"/>
      <c r="F92" s="240"/>
      <c r="G92" s="110"/>
      <c r="H92" s="108"/>
      <c r="I92" s="109"/>
      <c r="J92" s="65"/>
      <c r="K92" s="108"/>
      <c r="L92" s="109"/>
      <c r="M92" s="110"/>
      <c r="N92" s="108"/>
      <c r="O92" s="108"/>
      <c r="P92" s="109"/>
      <c r="Q92" s="109"/>
      <c r="R92" s="111"/>
      <c r="S92" s="110"/>
      <c r="T92" s="108"/>
      <c r="U92" s="108"/>
      <c r="V92" s="109"/>
      <c r="W92" s="109"/>
      <c r="X92" s="166"/>
      <c r="Y92" s="110"/>
      <c r="Z92" s="108"/>
      <c r="AA92" s="108"/>
      <c r="AB92" s="109"/>
      <c r="AC92" s="109"/>
      <c r="AD92" s="167"/>
      <c r="AE92" s="114"/>
      <c r="AF92" s="115"/>
      <c r="AG92" s="19"/>
      <c r="AH92" s="116"/>
      <c r="AJ92" s="116"/>
      <c r="AK92" s="21"/>
      <c r="AL92" s="20"/>
      <c r="AM92" s="76"/>
      <c r="AN92" s="20"/>
      <c r="AO92" s="116"/>
      <c r="AP92" s="78"/>
      <c r="AQ92" s="67"/>
      <c r="AS92" s="118"/>
      <c r="AU92" s="74" t="s">
        <v>41</v>
      </c>
      <c r="AV92" s="67"/>
      <c r="AW92" s="67"/>
      <c r="AX92" s="67"/>
      <c r="AY92" s="80"/>
      <c r="AZ92" s="80"/>
      <c r="BA92" s="81"/>
      <c r="BC92" s="82">
        <v>0</v>
      </c>
      <c r="BD92" s="82">
        <v>0</v>
      </c>
      <c r="BF92" s="83">
        <v>0</v>
      </c>
      <c r="BG92" s="83">
        <v>0</v>
      </c>
      <c r="BI92" s="84">
        <v>0</v>
      </c>
      <c r="BL92" s="83">
        <v>0</v>
      </c>
    </row>
    <row r="93" spans="1:70" s="74" customFormat="1" ht="15" hidden="1" customHeight="1" thickBot="1" x14ac:dyDescent="0.3">
      <c r="A93" s="57" t="s">
        <v>144</v>
      </c>
      <c r="B93" s="57" t="str">
        <f t="shared" ref="B93:B178" si="397">D93&amp;E93&amp;F93</f>
        <v>MBEQB 250+AMG</v>
      </c>
      <c r="C93" s="58" t="s">
        <v>37</v>
      </c>
      <c r="D93" s="59" t="s">
        <v>47</v>
      </c>
      <c r="E93" s="60" t="s">
        <v>145</v>
      </c>
      <c r="F93" s="61" t="s">
        <v>49</v>
      </c>
      <c r="G93" s="157"/>
      <c r="H93" s="63">
        <f>3915000*(1+3%)</f>
        <v>4032450</v>
      </c>
      <c r="I93" s="64">
        <f>H93/$H$99*$I$99</f>
        <v>92.957545825814407</v>
      </c>
      <c r="J93" s="157"/>
      <c r="K93" s="91">
        <f t="shared" ref="K93:K99" si="398">(((H93-AO93)/(1+AQ93)/1.2/$AS$1)+AS93)*(1+AQ93)*(1.2)*$AS$1+AO93</f>
        <v>4189178.2499999995</v>
      </c>
      <c r="L93" s="90">
        <f>K93/$K$99*$L$99</f>
        <v>96.570504072432399</v>
      </c>
      <c r="M93" s="157"/>
      <c r="N93" s="91">
        <f t="shared" ref="N93:N99" si="399">AN93*1.2*(1+AV93)+AO93</f>
        <v>3686476.86</v>
      </c>
      <c r="O93" s="63">
        <f t="shared" ref="O93:O99" si="400">AK93*1.2*(1+AV93)+AO93</f>
        <v>3548556</v>
      </c>
      <c r="P93" s="241">
        <f>IF(ISNUMBER(O93),O93/$O$99*$P$99,"")</f>
        <v>87.024085453953916</v>
      </c>
      <c r="Q93" s="241">
        <f>IF(ISNUMBER(N93),N93/$N$99*$Q$99,"")</f>
        <v>90.406429344404799</v>
      </c>
      <c r="R93" s="67">
        <f>_xlfn.XLOOKUP(A93,'[1]My Input'!$B:$B,'[1]My Input'!$F:$F)</f>
        <v>0</v>
      </c>
      <c r="S93" s="157"/>
      <c r="T93" s="91">
        <f t="shared" ref="T93:T99" si="401">IF(X93&lt;&gt;0,AM93*1.2*(1+AW93)+AO93-X93,AN93*1.2*(1+AV93)+AO93)</f>
        <v>3686476.86</v>
      </c>
      <c r="U93" s="63">
        <f t="shared" ref="U93:U99" si="402">IF(X93&lt;&gt;0,AJ93*1.2*(1+AW93)+AO93-X93,AK93*1.2*(1+AV93)+AO93)</f>
        <v>3548556</v>
      </c>
      <c r="V93" s="241">
        <f>IF(ISNUMBER(U93),U93/$U$99*$V$99,"")</f>
        <v>87.024085453953916</v>
      </c>
      <c r="W93" s="241">
        <f>IF(ISNUMBER(T93),T93/$T$99*$W$99,"")</f>
        <v>90.406429344404799</v>
      </c>
      <c r="X93" s="68">
        <f>_xlfn.XLOOKUP(A93,'[1]My Input'!$B:$B,'[1]My Input'!$I:$I)</f>
        <v>0</v>
      </c>
      <c r="Y93" s="157"/>
      <c r="Z93" s="91">
        <f t="shared" ref="Z93:Z178" si="403">IF(AD93&lt;&gt;0,AM93*1.2*(1+AQ93)+AO93-AD93,AL93*(1-AG93)*1.2*(1+AQ93)+AO93)</f>
        <v>3605660.03</v>
      </c>
      <c r="AA93" s="63">
        <f t="shared" ref="AA93:AA99" si="404">IF(AD93&lt;&gt;0,AJ93*1.2*(1+AX93)+AO93-AD93,AH93*(1-AG93)*1.2*(1+AV93)+AO93)</f>
        <v>3467739.17</v>
      </c>
      <c r="AB93" s="241">
        <f>IF(ISNUMBER(AA93),AA93/$AA$99*$AB$99,"")</f>
        <v>84.940383630010331</v>
      </c>
      <c r="AC93" s="241">
        <f>IF(ISNUMBER(Z93),Z93/$Z$99*$AC$99,"")</f>
        <v>88.318680031403446</v>
      </c>
      <c r="AD93" s="69">
        <f>_xlfn.XLOOKUP(A93,'[1]My Input'!$B:$B,'[1]My Input'!$N:$N)</f>
        <v>80816.83</v>
      </c>
      <c r="AE93" s="70"/>
      <c r="AF93" s="71">
        <f>_xlfn.XLOOKUP(A93,'[1]My Input'!$B:$B,'[1]My Input'!$E:$E)</f>
        <v>0.12</v>
      </c>
      <c r="AG93" s="72">
        <f>_xlfn.XLOOKUP(A93,'[1]My Input'!$B:$B,'[1]My Input'!$G:$G)</f>
        <v>0.12</v>
      </c>
      <c r="AH93" s="73">
        <f t="shared" ref="AH93:AH99" si="405">(H93-AO93)/1.2/(1+AQ93)</f>
        <v>2167983.8709677421</v>
      </c>
      <c r="AJ93" s="73">
        <f t="shared" ref="AJ93:AJ99" si="406">AH93*(1-AF93)</f>
        <v>1907825.8064516131</v>
      </c>
      <c r="AK93" s="75">
        <f t="shared" ref="AK93:AK99" si="407">AH93*(1-AF93-R93)</f>
        <v>1907825.8064516131</v>
      </c>
      <c r="AL93" s="76">
        <f t="shared" ref="AL93:AL99" si="408">(K93-AO93)/1.2/(1+AQ93)</f>
        <v>2252246.3709677416</v>
      </c>
      <c r="AM93" s="76">
        <f t="shared" ref="AM93:AM99" si="409">AL93*(1-AF93)</f>
        <v>1981976.8064516126</v>
      </c>
      <c r="AN93" s="76">
        <f t="shared" ref="AN93:AN99" si="410">AL93*(1-AF93-R93)</f>
        <v>1981976.8064516126</v>
      </c>
      <c r="AO93" s="77">
        <f>_xlfn.XLOOKUP(A93,'[1]My Input'!$B:$B,'[1]My Input'!$T:$T)</f>
        <v>0</v>
      </c>
      <c r="AP93" s="78">
        <f>_xlfn.XLOOKUP(A93,'[1]My Input'!$B:$B,'[1]My Input'!$S:$S)</f>
        <v>0</v>
      </c>
      <c r="AQ93" s="67">
        <f>_xlfn.XLOOKUP(A93,'[1]My Input'!$B:$B,'[1]My Input'!$U:$U)</f>
        <v>0.55000000000000004</v>
      </c>
      <c r="AS93" s="155">
        <v>1605</v>
      </c>
      <c r="AU93" s="74" t="s">
        <v>41</v>
      </c>
      <c r="AV93" s="67" cm="1">
        <f t="array" ref="AV93">_xlfn.IFS(
 AND(AY93="ICE",  AP93&lt;=1400,AND(AK93&gt;900000,  AK93&lt;=1100000)),                    80%,
 AND(AY93="ICE",  AP93&lt;=1400,AK93&gt;1100000),                                       90%,
 AND(AY93="ICE",  AND(AP93&gt;1400,AP93&lt;=1600),   AK93&lt;=850000),                      75%,
 AND(AY93="ICE",  AND(AP93&gt;1400,AP93&lt;=1600),   AND(AK93&gt;850000,AK93&lt;=1100000)),     80%,
 AND(AY93="ICE",  AND(AP93&gt;1400,AP93&lt;=1600),   AND(AK93&gt;1100000,AK93&lt;=1650000)),    90%,
 AND(AY93="ICE",  AND(AP93&gt;1400,AP93&lt;=1600),   AK93&gt;1650000),                      100%,
 AND(AY93="ICE",  AND(AP93&gt;1600,AP93&lt;=2000),   AK93&lt;=1650000),                     150%,
 AND(AY93="ICE",  AND(AP93&gt;1600,AP93&lt;=2000),   AK93&gt;1650000),                      170%,
 AND(AY93="ICE",  AP93&gt;2000),                                                    220%,
 AND(AY93="PHEV",  AP93&lt;=1600,                AK93&lt;=1350000),                     45%,
 AND(AY93="PHEV",  AP93&lt;=1600,                AK93&gt;1350000),                      75%,
 AND(AY93="PHEV",  AND(AP93&gt;1600,AP93&lt;=1800),  AK93&lt;=1350000),                     85%,
 AND(AY93="BEV",    AZ93&lt;=160,                 AK93&lt;=1650000),                     25%,
 AND(AY93="BEV",    AZ93&lt;=160,                 AK93&gt;1650000),                      55%,
 AND(AY93="BEV",    AZ93&gt; 160,                 AK93&lt;=1650000),                     65%,
 AND(AY93="BEV",    AZ93&gt; 160,                 AK93&gt;1650000),                      75%)</f>
        <v>0.55000000000000004</v>
      </c>
      <c r="AW93" s="67" cm="1">
        <f t="array" ref="AW93">_xlfn.IFS(
 X93=0,AV93,
 AND(AY93="ICE",  AP93&lt;=1400,AND((AJ93-BA93)&gt;900000,  (AJ93-BA93)&lt;=1100000)),                    80%,
 AND(AY93="ICE",  AP93&lt;=1400,(AJ93-BA93)&gt;1100000),                                       90%,
 AND(AY93="ICE",  AND(AP93&gt;1400,AP93&lt;=1600),   (AJ93-BA93)&lt;=850000),                      75%,
 AND(AY93="ICE",  AND(AP93&gt;1400,AP93&lt;=1600),   AND((AJ93-BA93)&gt;850000,(AJ93-BA93)&lt;=1100000)),     80%,
 AND(AY93="ICE",  AND(AP93&gt;1400,AP93&lt;=1600),   AND((AJ93-BA93)&gt;1100000,(AJ93-BA93)&lt;=1650000)),    90%,
 AND(AY93="ICE",  AND(AP93&gt;1400,AP93&lt;=1600),   (AJ93-BA93)&gt;1650000),                      100%,
 AND(AY93="ICE",  AND(AP93&gt;1600,AP93&lt;=2000),   (AJ93-BA93)&lt;=1650000),                     150%,
 AND(AY93="ICE",  AND(AP93&gt;1600,AP93&lt;=2000),   (AJ93-BA93)&gt;1650000),                      170%,
 AND(AY93="ICE",  AP93&gt;2000),                                                    220%,
 AND(AY93="PHEV",  AP93&lt;=1600,                (AJ93-BA93)&lt;=1350000),                     45%,
 AND(AY93="PHEV",  AP93&lt;=1600,                (AJ93-BA93)&gt;1350000),                      75%,
 AND(AY93="PHEV",  AND(AP93&gt;1600,AP93&lt;=1800),  (AJ93-BA93)&lt;=1350000),                     85%,
 AND(AY93="BEV",    AZ93&lt;=160,                 (AJ93-BA93)&lt;=1650000),                     25%,
 AND(AY93="BEV",    AZ93&lt;=160,                 (AJ93-BA93)&gt;1650000),                      55%,
 AND(AY93="BEV",    AZ93&gt; 160,                 (AJ93-BA93)&lt;=1650000),                     65%,
 AND(AY93="BEV",    AZ93&gt; 160,                 (AJ93-BA93)&gt;1650000),                      75%)</f>
        <v>0.55000000000000004</v>
      </c>
      <c r="AX93" s="67" cm="1">
        <f t="array" ref="AX93">_xlfn.IFS(
 AD93=0,AV93,
 AND(AY93="ICE",  AP93&lt;=1400,AND(AJ93&gt;900000,  AJ93&lt;=1100000)),                    80%,
 AND(AY93="ICE",  AP93&lt;=1400,AJ93&gt;1100000),                                       90%,
 AND(AY93="ICE",  AND(AP93&gt;1400,AP93&lt;=1600),   AJ93&lt;=850000),                      75%,
 AND(AY93="ICE",  AND(AP93&gt;1400,AP93&lt;=1600),   AND(AJ93&gt;850000,AJ93&lt;=1100000)),     80%,
 AND(AY93="ICE",  AND(AP93&gt;1400,AP93&lt;=1600),   AND(AJ93&gt;1100000,AJ93&lt;=1650000)),    90%,
 AND(AY93="ICE",  AND(AP93&gt;1400,AP93&lt;=1600),   AJ93&gt;1650000),                      100%,
 AND(AY93="ICE",  AND(AP93&gt;1600,AP93&lt;=2000),   AJ93&lt;=1650000),                     150%,
 AND(AY93="ICE",  AND(AP93&gt;1600,AP93&lt;=2000),   AJ93&gt;1650000),                      170%,
 AND(AY93="ICE",  AP93&gt;2000),                                                    220%,
 AND(AY93="PHEV",  AP93&lt;=1600,                AJ93&lt;=1350000),                     45%,
 AND(AY93="PHEV",  AP93&lt;=1600,                AJ93&gt;1350000),                      75%,
 AND(AY93="PHEV",  AND(AP93&gt;1600,AP93&lt;=1800),  AJ93&lt;=1350000),                     85%,
 AND(AY93="BEV",    AZ93&lt;=160,                 AJ93&lt;=1650000),                     25%,
 AND(AY93="BEV",    AZ93&lt;=160,                 AJ93&gt;1650000),                      55%,
 AND(AY93="BEV",    AZ93&gt; 160,                 AJ93&lt;=1650000),                     65%,
 AND(AY93="BEV",    AZ93&gt; 160,                 AJ93&gt;1650000),                      75%)</f>
        <v>0.55000000000000004</v>
      </c>
      <c r="AY93" s="80" t="str">
        <f>_xlfn.XLOOKUP(A93,'[1]My Input'!$B:$B,'[1]My Input'!$V:$V)</f>
        <v>BEV</v>
      </c>
      <c r="AZ93" s="80">
        <f>_xlfn.IFNA(_xlfn.XLOOKUP(A93,'[1]kW Tescil'!$A:$A,'[1]kW Tescil'!$C:$C),"-")</f>
        <v>140</v>
      </c>
      <c r="BA93" s="81">
        <f>_xlfn.XLOOKUP(A93,'[1]My Input'!$B:$B,'[1]My Input'!$H:$H)</f>
        <v>0</v>
      </c>
      <c r="BC93" s="82">
        <v>1.273137542657139</v>
      </c>
      <c r="BD93" s="82">
        <v>5.9459809939028219E-2</v>
      </c>
      <c r="BF93" s="83">
        <v>5.0736707122209594</v>
      </c>
      <c r="BG93" s="83">
        <v>4.0465617282369237</v>
      </c>
      <c r="BI93" s="84">
        <v>68039.470799999777</v>
      </c>
      <c r="BL93" s="83">
        <v>-4.4997908055994174</v>
      </c>
    </row>
    <row r="94" spans="1:70" s="74" customFormat="1" ht="15" customHeight="1" thickBot="1" x14ac:dyDescent="0.3">
      <c r="A94" s="57" t="s">
        <v>146</v>
      </c>
      <c r="B94" s="57" t="str">
        <f>D94&amp;E94&amp;F94</f>
        <v>MBEQA 250+Night Edition</v>
      </c>
      <c r="C94" s="58" t="s">
        <v>37</v>
      </c>
      <c r="D94" s="59" t="s">
        <v>47</v>
      </c>
      <c r="E94" s="222" t="s">
        <v>147</v>
      </c>
      <c r="F94" s="223" t="s">
        <v>148</v>
      </c>
      <c r="G94" s="157"/>
      <c r="H94" s="63">
        <v>4014800</v>
      </c>
      <c r="I94" s="64">
        <f>H94/$H$99*$I$99</f>
        <v>92.550671423447213</v>
      </c>
      <c r="J94" s="65">
        <v>7.0000000000000007E-2</v>
      </c>
      <c r="K94" s="66">
        <f t="shared" si="398"/>
        <v>3888440.9</v>
      </c>
      <c r="L94" s="64">
        <f>K94/$K$99*$L$99</f>
        <v>89.637794182871716</v>
      </c>
      <c r="M94" s="157"/>
      <c r="N94" s="66">
        <f t="shared" si="399"/>
        <v>3616250.0369999995</v>
      </c>
      <c r="O94" s="63">
        <f t="shared" si="400"/>
        <v>3733764</v>
      </c>
      <c r="P94" s="64">
        <f>IF(ISNUMBER(O94),O94/$O$99*$P$99,"")</f>
        <v>91.566089812559468</v>
      </c>
      <c r="Q94" s="206">
        <f>IF(ISNUMBER(N94),N94/$N$99*$Q$99,"")</f>
        <v>88.684200627734754</v>
      </c>
      <c r="R94" s="67">
        <f>_xlfn.XLOOKUP(A94,'[1]My Input'!$B:$B,'[1]My Input'!$F:$F)</f>
        <v>0</v>
      </c>
      <c r="S94" s="157"/>
      <c r="T94" s="63">
        <f t="shared" si="401"/>
        <v>3616250.0369999995</v>
      </c>
      <c r="U94" s="63">
        <f t="shared" si="402"/>
        <v>3733764</v>
      </c>
      <c r="V94" s="64">
        <f>IF(ISNUMBER(U94),U94/$U$99*$V$99,"")</f>
        <v>91.566089812559468</v>
      </c>
      <c r="W94" s="206">
        <f>IF(ISNUMBER(T94),T94/$T$99*$W$99,"")</f>
        <v>88.684200627734754</v>
      </c>
      <c r="X94" s="68">
        <f>_xlfn.XLOOKUP(A94,'[1]My Input'!$B:$B,'[1]My Input'!$I:$I)</f>
        <v>0</v>
      </c>
      <c r="Y94" s="157"/>
      <c r="Z94" s="63">
        <f>IF(AD94&lt;&gt;0,AM94*1.2*(1+AQ94)+AO94-AD94,AL94*(1-AG94)*1.2*(1+AQ94)+AO94)</f>
        <v>3535433.2069999995</v>
      </c>
      <c r="AA94" s="63">
        <f t="shared" si="404"/>
        <v>3652947.17</v>
      </c>
      <c r="AB94" s="64">
        <f>IF(ISNUMBER(AA94),AA94/$AA$99*$AB$99,"")</f>
        <v>89.476952789376185</v>
      </c>
      <c r="AC94" s="206">
        <f>IF(ISNUMBER(Z94),Z94/$Z$99*$AC$99,"")</f>
        <v>86.598512223414332</v>
      </c>
      <c r="AD94" s="154">
        <f>_xlfn.XLOOKUP(A94,'[1]My Input'!$B:$B,'[1]My Input'!$N:$N)</f>
        <v>80816.83</v>
      </c>
      <c r="AE94" s="70"/>
      <c r="AF94" s="71">
        <f>_xlfn.XLOOKUP(A94,'[1]My Input'!$B:$B,'[1]My Input'!$E:$E)</f>
        <v>7.0000000000000007E-2</v>
      </c>
      <c r="AG94" s="72">
        <f>_xlfn.XLOOKUP(A94,'[1]My Input'!$B:$B,'[1]My Input'!$G:$G)</f>
        <v>7.0000000000000007E-2</v>
      </c>
      <c r="AH94" s="73">
        <f t="shared" si="405"/>
        <v>2158494.6236559143</v>
      </c>
      <c r="AJ94" s="73">
        <f t="shared" si="406"/>
        <v>2007400.0000000002</v>
      </c>
      <c r="AK94" s="75">
        <f t="shared" si="407"/>
        <v>2007400.0000000002</v>
      </c>
      <c r="AL94" s="76">
        <f t="shared" si="408"/>
        <v>2090559.6236559139</v>
      </c>
      <c r="AM94" s="76">
        <f t="shared" si="409"/>
        <v>1944220.4499999997</v>
      </c>
      <c r="AN94" s="76">
        <f t="shared" si="410"/>
        <v>1944220.4499999997</v>
      </c>
      <c r="AO94" s="77">
        <f>_xlfn.XLOOKUP(A94,'[1]My Input'!$B:$B,'[1]My Input'!$T:$T)</f>
        <v>0</v>
      </c>
      <c r="AP94" s="78">
        <f>_xlfn.XLOOKUP(A94,'[1]My Input'!$B:$B,'[1]My Input'!$S:$S)</f>
        <v>0</v>
      </c>
      <c r="AQ94" s="67">
        <f>_xlfn.XLOOKUP(A94,'[1]My Input'!$B:$B,'[1]My Input'!$U:$U)</f>
        <v>0.55000000000000004</v>
      </c>
      <c r="AS94" s="155">
        <v>-1294</v>
      </c>
      <c r="AU94" s="74" t="s">
        <v>41</v>
      </c>
      <c r="AV94" s="67" cm="1">
        <f t="array" ref="AV94">_xlfn.IFS(
 AND(AY94="ICE",  AP94&lt;=1400,AND(AK94&gt;900000,  AK94&lt;=1100000)),                    80%,
 AND(AY94="ICE",  AP94&lt;=1400,AK94&gt;1100000),                                       90%,
 AND(AY94="ICE",  AND(AP94&gt;1400,AP94&lt;=1600),   AK94&lt;=850000),                      75%,
 AND(AY94="ICE",  AND(AP94&gt;1400,AP94&lt;=1600),   AND(AK94&gt;850000,AK94&lt;=1100000)),     80%,
 AND(AY94="ICE",  AND(AP94&gt;1400,AP94&lt;=1600),   AND(AK94&gt;1100000,AK94&lt;=1650000)),    90%,
 AND(AY94="ICE",  AND(AP94&gt;1400,AP94&lt;=1600),   AK94&gt;1650000),                      100%,
 AND(AY94="ICE",  AND(AP94&gt;1600,AP94&lt;=2000),   AK94&lt;=1650000),                     150%,
 AND(AY94="ICE",  AND(AP94&gt;1600,AP94&lt;=2000),   AK94&gt;1650000),                      170%,
 AND(AY94="ICE",  AP94&gt;2000),                                                    220%,
 AND(AY94="PHEV",  AP94&lt;=1600,                AK94&lt;=1350000),                     45%,
 AND(AY94="PHEV",  AP94&lt;=1600,                AK94&gt;1350000),                      75%,
 AND(AY94="PHEV",  AND(AP94&gt;1600,AP94&lt;=1800),  AK94&lt;=1350000),                     85%,
 AND(AY94="BEV",    AZ94&lt;=160,                 AK94&lt;=1650000),                     25%,
 AND(AY94="BEV",    AZ94&lt;=160,                 AK94&gt;1650000),                      55%,
 AND(AY94="BEV",    AZ94&gt; 160,                 AK94&lt;=1650000),                     65%,
 AND(AY94="BEV",    AZ94&gt; 160,                 AK94&gt;1650000),                      75%)</f>
        <v>0.55000000000000004</v>
      </c>
      <c r="AW94" s="67" cm="1">
        <f t="array" ref="AW94">_xlfn.IFS(
 X94=0,AV94,
 AND(AY94="ICE",  AP94&lt;=1400,AND((AJ94-BA94)&gt;900000,  (AJ94-BA94)&lt;=1100000)),                    80%,
 AND(AY94="ICE",  AP94&lt;=1400,(AJ94-BA94)&gt;1100000),                                       90%,
 AND(AY94="ICE",  AND(AP94&gt;1400,AP94&lt;=1600),   (AJ94-BA94)&lt;=850000),                      75%,
 AND(AY94="ICE",  AND(AP94&gt;1400,AP94&lt;=1600),   AND((AJ94-BA94)&gt;850000,(AJ94-BA94)&lt;=1100000)),     80%,
 AND(AY94="ICE",  AND(AP94&gt;1400,AP94&lt;=1600),   AND((AJ94-BA94)&gt;1100000,(AJ94-BA94)&lt;=1650000)),    90%,
 AND(AY94="ICE",  AND(AP94&gt;1400,AP94&lt;=1600),   (AJ94-BA94)&gt;1650000),                      100%,
 AND(AY94="ICE",  AND(AP94&gt;1600,AP94&lt;=2000),   (AJ94-BA94)&lt;=1650000),                     150%,
 AND(AY94="ICE",  AND(AP94&gt;1600,AP94&lt;=2000),   (AJ94-BA94)&gt;1650000),                      170%,
 AND(AY94="ICE",  AP94&gt;2000),                                                    220%,
 AND(AY94="PHEV",  AP94&lt;=1600,                (AJ94-BA94)&lt;=1350000),                     45%,
 AND(AY94="PHEV",  AP94&lt;=1600,                (AJ94-BA94)&gt;1350000),                      75%,
 AND(AY94="PHEV",  AND(AP94&gt;1600,AP94&lt;=1800),  (AJ94-BA94)&lt;=1350000),                     85%,
 AND(AY94="BEV",    AZ94&lt;=160,                 (AJ94-BA94)&lt;=1650000),                     25%,
 AND(AY94="BEV",    AZ94&lt;=160,                 (AJ94-BA94)&gt;1650000),                      55%,
 AND(AY94="BEV",    AZ94&gt; 160,                 (AJ94-BA94)&lt;=1650000),                     65%,
 AND(AY94="BEV",    AZ94&gt; 160,                 (AJ94-BA94)&gt;1650000),                      75%)</f>
        <v>0.55000000000000004</v>
      </c>
      <c r="AX94" s="67" cm="1">
        <f t="array" ref="AX94">_xlfn.IFS(
 AD94=0,AV94,
 AND(AY94="ICE",  AP94&lt;=1400,AND(AJ94&gt;900000,  AJ94&lt;=1100000)),                    80%,
 AND(AY94="ICE",  AP94&lt;=1400,AJ94&gt;1100000),                                       90%,
 AND(AY94="ICE",  AND(AP94&gt;1400,AP94&lt;=1600),   AJ94&lt;=850000),                      75%,
 AND(AY94="ICE",  AND(AP94&gt;1400,AP94&lt;=1600),   AND(AJ94&gt;850000,AJ94&lt;=1100000)),     80%,
 AND(AY94="ICE",  AND(AP94&gt;1400,AP94&lt;=1600),   AND(AJ94&gt;1100000,AJ94&lt;=1650000)),    90%,
 AND(AY94="ICE",  AND(AP94&gt;1400,AP94&lt;=1600),   AJ94&gt;1650000),                      100%,
 AND(AY94="ICE",  AND(AP94&gt;1600,AP94&lt;=2000),   AJ94&lt;=1650000),                     150%,
 AND(AY94="ICE",  AND(AP94&gt;1600,AP94&lt;=2000),   AJ94&gt;1650000),                      170%,
 AND(AY94="ICE",  AP94&gt;2000),                                                    220%,
 AND(AY94="PHEV",  AP94&lt;=1600,                AJ94&lt;=1350000),                     45%,
 AND(AY94="PHEV",  AP94&lt;=1600,                AJ94&gt;1350000),                      75%,
 AND(AY94="PHEV",  AND(AP94&gt;1600,AP94&lt;=1800),  AJ94&lt;=1350000),                     85%,
 AND(AY94="BEV",    AZ94&lt;=160,                 AJ94&lt;=1650000),                     25%,
 AND(AY94="BEV",    AZ94&lt;=160,                 AJ94&gt;1650000),                      55%,
 AND(AY94="BEV",    AZ94&gt; 160,                 AJ94&lt;=1650000),                     65%,
 AND(AY94="BEV",    AZ94&gt; 160,                 AJ94&gt;1650000),                      75%)</f>
        <v>0.55000000000000004</v>
      </c>
      <c r="AY94" s="80" t="str">
        <f>_xlfn.XLOOKUP(A94,'[1]My Input'!$B:$B,'[1]My Input'!$V:$V)</f>
        <v>BEV</v>
      </c>
      <c r="AZ94" s="80">
        <f>_xlfn.IFNA(_xlfn.XLOOKUP(A94,'[1]kW Tescil'!$A:$A,'[1]kW Tescil'!$C:$C),"-")</f>
        <v>140</v>
      </c>
      <c r="BA94" s="81">
        <f>_xlfn.XLOOKUP(A94,'[1]My Input'!$B:$B,'[1]My Input'!$H:$H)</f>
        <v>0</v>
      </c>
      <c r="BC94" s="82">
        <v>2.3225691331807923</v>
      </c>
      <c r="BD94" s="82">
        <v>1.1855036408815778</v>
      </c>
      <c r="BF94" s="83">
        <v>6.0658029101373501</v>
      </c>
      <c r="BG94" s="83">
        <v>5.1158073987155461</v>
      </c>
      <c r="BI94" s="84">
        <v>443228.8620000002</v>
      </c>
      <c r="BL94" s="83">
        <v>-3.3522167102626241</v>
      </c>
    </row>
    <row r="95" spans="1:70" s="74" customFormat="1" ht="15" hidden="1" customHeight="1" thickBot="1" x14ac:dyDescent="0.3">
      <c r="A95" s="57" t="s">
        <v>149</v>
      </c>
      <c r="B95" s="57" t="str">
        <f>D95&amp;E95&amp;F95</f>
        <v>MBEQA 250+AMG</v>
      </c>
      <c r="C95" s="85" t="s">
        <v>42</v>
      </c>
      <c r="D95" s="86" t="s">
        <v>47</v>
      </c>
      <c r="E95" s="87" t="s">
        <v>147</v>
      </c>
      <c r="F95" s="88" t="s">
        <v>49</v>
      </c>
      <c r="G95" s="157"/>
      <c r="H95" s="89">
        <v>4109000</v>
      </c>
      <c r="I95" s="90">
        <f t="shared" ref="I95" si="411">H95/$H$99*$I$99</f>
        <v>94.722205061010413</v>
      </c>
      <c r="J95" s="157"/>
      <c r="K95" s="91">
        <f t="shared" si="398"/>
        <v>4265728.2499999991</v>
      </c>
      <c r="L95" s="90">
        <f t="shared" ref="L95" si="412">K95/$K$99*$L$99</f>
        <v>98.335163307628378</v>
      </c>
      <c r="M95" s="157"/>
      <c r="N95" s="91">
        <f t="shared" si="399"/>
        <v>3967127.272499999</v>
      </c>
      <c r="O95" s="89">
        <f t="shared" si="400"/>
        <v>3821370</v>
      </c>
      <c r="P95" s="90">
        <f t="shared" ref="P95" si="413">IF(ISNUMBER(O95),O95/$O$99*$P$99,"")</f>
        <v>93.714522028446453</v>
      </c>
      <c r="Q95" s="90">
        <f t="shared" ref="Q95" si="414">IF(ISNUMBER(N95),N95/$N$99*$Q$99,"")</f>
        <v>97.289044549036575</v>
      </c>
      <c r="R95" s="67">
        <f>_xlfn.XLOOKUP(A95,'[1]My Input'!$B:$B,'[1]My Input'!$F:$F)</f>
        <v>0</v>
      </c>
      <c r="S95" s="157"/>
      <c r="T95" s="243">
        <f t="shared" si="401"/>
        <v>3967127.272499999</v>
      </c>
      <c r="U95" s="89">
        <f t="shared" si="402"/>
        <v>3821370</v>
      </c>
      <c r="V95" s="90">
        <f t="shared" ref="V95" si="415">IF(ISNUMBER(U95),U95/$U$99*$V$99,"")</f>
        <v>93.714522028446453</v>
      </c>
      <c r="W95" s="207">
        <f t="shared" ref="W95" si="416">IF(ISNUMBER(T95),T95/$T$99*$W$99,"")</f>
        <v>97.289044549036575</v>
      </c>
      <c r="X95" s="92">
        <f>_xlfn.XLOOKUP(A95,'[1]My Input'!$B:$B,'[1]My Input'!$I:$I)</f>
        <v>0</v>
      </c>
      <c r="Y95" s="157"/>
      <c r="Z95" s="243">
        <f>IF(AD95&lt;&gt;0,AM95*1.2*(1+AQ95)+AO95-AD95,AL95*(1-AG95)*1.2*(1+AQ95)+AO95)</f>
        <v>3886310.442499999</v>
      </c>
      <c r="AA95" s="89">
        <f t="shared" si="404"/>
        <v>3740553.17</v>
      </c>
      <c r="AB95" s="90">
        <f t="shared" ref="AB95" si="417">IF(ISNUMBER(AA95),AA95/$AA$99*$AB$99,"")</f>
        <v>91.622814079252464</v>
      </c>
      <c r="AC95" s="207">
        <f t="shared" ref="AC95" si="418">IF(ISNUMBER(Z95),Z95/$Z$99*$AC$99,"")</f>
        <v>95.193059139815617</v>
      </c>
      <c r="AD95" s="93">
        <f>_xlfn.XLOOKUP(A95,'[1]My Input'!$B:$B,'[1]My Input'!$N:$N)</f>
        <v>80816.83</v>
      </c>
      <c r="AE95" s="70"/>
      <c r="AF95" s="71">
        <v>7.0000000000000007E-2</v>
      </c>
      <c r="AG95" s="208">
        <v>7.0000000000000007E-2</v>
      </c>
      <c r="AH95" s="73">
        <f t="shared" si="405"/>
        <v>2209139.7849462368</v>
      </c>
      <c r="AJ95" s="73">
        <f t="shared" si="406"/>
        <v>2054500</v>
      </c>
      <c r="AK95" s="75">
        <f t="shared" si="407"/>
        <v>2054500</v>
      </c>
      <c r="AL95" s="76">
        <f t="shared" si="408"/>
        <v>2293402.2849462363</v>
      </c>
      <c r="AM95" s="76">
        <f t="shared" si="409"/>
        <v>2132864.1249999995</v>
      </c>
      <c r="AN95" s="76">
        <f t="shared" si="410"/>
        <v>2132864.1249999995</v>
      </c>
      <c r="AO95" s="77">
        <f>_xlfn.XLOOKUP(A95,'[1]My Input'!$B:$B,'[1]My Input'!$T:$T)</f>
        <v>0</v>
      </c>
      <c r="AP95" s="78">
        <f>_xlfn.XLOOKUP(A95,'[1]My Input'!$B:$B,'[1]My Input'!$S:$S)</f>
        <v>0</v>
      </c>
      <c r="AQ95" s="67">
        <f>_xlfn.XLOOKUP(A95,'[1]My Input'!$B:$B,'[1]My Input'!$U:$U)</f>
        <v>0.55000000000000004</v>
      </c>
      <c r="AS95" s="103">
        <v>1605</v>
      </c>
      <c r="AU95" s="74" t="s">
        <v>41</v>
      </c>
      <c r="AV95" s="67" cm="1">
        <f t="array" ref="AV95">_xlfn.IFS(
 AND(AY95="ICE",  AP95&lt;=1400,AND(AK95&gt;900000,  AK95&lt;=1100000)),                    80%,
 AND(AY95="ICE",  AP95&lt;=1400,AK95&gt;1100000),                                       90%,
 AND(AY95="ICE",  AND(AP95&gt;1400,AP95&lt;=1600),   AK95&lt;=850000),                      75%,
 AND(AY95="ICE",  AND(AP95&gt;1400,AP95&lt;=1600),   AND(AK95&gt;850000,AK95&lt;=1100000)),     80%,
 AND(AY95="ICE",  AND(AP95&gt;1400,AP95&lt;=1600),   AND(AK95&gt;1100000,AK95&lt;=1650000)),    90%,
 AND(AY95="ICE",  AND(AP95&gt;1400,AP95&lt;=1600),   AK95&gt;1650000),                      100%,
 AND(AY95="ICE",  AND(AP95&gt;1600,AP95&lt;=2000),   AK95&lt;=1650000),                     150%,
 AND(AY95="ICE",  AND(AP95&gt;1600,AP95&lt;=2000),   AK95&gt;1650000),                      170%,
 AND(AY95="ICE",  AP95&gt;2000),                                                    220%,
 AND(AY95="PHEV",  AP95&lt;=1600,                AK95&lt;=1350000),                     45%,
 AND(AY95="PHEV",  AP95&lt;=1600,                AK95&gt;1350000),                      75%,
 AND(AY95="PHEV",  AND(AP95&gt;1600,AP95&lt;=1800),  AK95&lt;=1350000),                     85%,
 AND(AY95="BEV",    AZ95&lt;=160,                 AK95&lt;=1650000),                     25%,
 AND(AY95="BEV",    AZ95&lt;=160,                 AK95&gt;1650000),                      55%,
 AND(AY95="BEV",    AZ95&gt; 160,                 AK95&lt;=1650000),                     65%,
 AND(AY95="BEV",    AZ95&gt; 160,                 AK95&gt;1650000),                      75%)</f>
        <v>0.55000000000000004</v>
      </c>
      <c r="AW95" s="67" cm="1">
        <f t="array" ref="AW95">_xlfn.IFS(
 X95=0,AV95,
 AND(AY95="ICE",  AP95&lt;=1400,AND((AJ95-BA95)&gt;900000,  (AJ95-BA95)&lt;=1100000)),                    80%,
 AND(AY95="ICE",  AP95&lt;=1400,(AJ95-BA95)&gt;1100000),                                       90%,
 AND(AY95="ICE",  AND(AP95&gt;1400,AP95&lt;=1600),   (AJ95-BA95)&lt;=850000),                      75%,
 AND(AY95="ICE",  AND(AP95&gt;1400,AP95&lt;=1600),   AND((AJ95-BA95)&gt;850000,(AJ95-BA95)&lt;=1100000)),     80%,
 AND(AY95="ICE",  AND(AP95&gt;1400,AP95&lt;=1600),   AND((AJ95-BA95)&gt;1100000,(AJ95-BA95)&lt;=1650000)),    90%,
 AND(AY95="ICE",  AND(AP95&gt;1400,AP95&lt;=1600),   (AJ95-BA95)&gt;1650000),                      100%,
 AND(AY95="ICE",  AND(AP95&gt;1600,AP95&lt;=2000),   (AJ95-BA95)&lt;=1650000),                     150%,
 AND(AY95="ICE",  AND(AP95&gt;1600,AP95&lt;=2000),   (AJ95-BA95)&gt;1650000),                      170%,
 AND(AY95="ICE",  AP95&gt;2000),                                                    220%,
 AND(AY95="PHEV",  AP95&lt;=1600,                (AJ95-BA95)&lt;=1350000),                     45%,
 AND(AY95="PHEV",  AP95&lt;=1600,                (AJ95-BA95)&gt;1350000),                      75%,
 AND(AY95="PHEV",  AND(AP95&gt;1600,AP95&lt;=1800),  (AJ95-BA95)&lt;=1350000),                     85%,
 AND(AY95="BEV",    AZ95&lt;=160,                 (AJ95-BA95)&lt;=1650000),                     25%,
 AND(AY95="BEV",    AZ95&lt;=160,                 (AJ95-BA95)&gt;1650000),                      55%,
 AND(AY95="BEV",    AZ95&gt; 160,                 (AJ95-BA95)&lt;=1650000),                     65%,
 AND(AY95="BEV",    AZ95&gt; 160,                 (AJ95-BA95)&gt;1650000),                      75%)</f>
        <v>0.55000000000000004</v>
      </c>
      <c r="AX95" s="67" cm="1">
        <f t="array" ref="AX95">_xlfn.IFS(
 AD95=0,AV95,
 AND(AY95="ICE",  AP95&lt;=1400,AND(AJ95&gt;900000,  AJ95&lt;=1100000)),                    80%,
 AND(AY95="ICE",  AP95&lt;=1400,AJ95&gt;1100000),                                       90%,
 AND(AY95="ICE",  AND(AP95&gt;1400,AP95&lt;=1600),   AJ95&lt;=850000),                      75%,
 AND(AY95="ICE",  AND(AP95&gt;1400,AP95&lt;=1600),   AND(AJ95&gt;850000,AJ95&lt;=1100000)),     80%,
 AND(AY95="ICE",  AND(AP95&gt;1400,AP95&lt;=1600),   AND(AJ95&gt;1100000,AJ95&lt;=1650000)),    90%,
 AND(AY95="ICE",  AND(AP95&gt;1400,AP95&lt;=1600),   AJ95&gt;1650000),                      100%,
 AND(AY95="ICE",  AND(AP95&gt;1600,AP95&lt;=2000),   AJ95&lt;=1650000),                     150%,
 AND(AY95="ICE",  AND(AP95&gt;1600,AP95&lt;=2000),   AJ95&gt;1650000),                      170%,
 AND(AY95="ICE",  AP95&gt;2000),                                                    220%,
 AND(AY95="PHEV",  AP95&lt;=1600,                AJ95&lt;=1350000),                     45%,
 AND(AY95="PHEV",  AP95&lt;=1600,                AJ95&gt;1350000),                      75%,
 AND(AY95="PHEV",  AND(AP95&gt;1600,AP95&lt;=1800),  AJ95&lt;=1350000),                     85%,
 AND(AY95="BEV",    AZ95&lt;=160,                 AJ95&lt;=1650000),                     25%,
 AND(AY95="BEV",    AZ95&lt;=160,                 AJ95&gt;1650000),                      55%,
 AND(AY95="BEV",    AZ95&gt; 160,                 AJ95&lt;=1650000),                     65%,
 AND(AY95="BEV",    AZ95&gt; 160,                 AJ95&gt;1650000),                      75%)</f>
        <v>0.55000000000000004</v>
      </c>
      <c r="AY95" s="80" t="str">
        <f>_xlfn.XLOOKUP(A95,'[1]My Input'!$B:$B,'[1]My Input'!$V:$V)</f>
        <v>BEV</v>
      </c>
      <c r="AZ95" s="80">
        <f>_xlfn.IFNA(_xlfn.XLOOKUP(A95,'[1]kW Tescil'!$A:$A,'[1]kW Tescil'!$C:$C),"-")</f>
        <v>140</v>
      </c>
      <c r="BA95" s="81">
        <f>_xlfn.XLOOKUP(A95,'[1]My Input'!$B:$B,'[1]My Input'!$H:$H)</f>
        <v>0</v>
      </c>
      <c r="BC95" s="82">
        <v>2.3225691331807923</v>
      </c>
      <c r="BD95" s="82">
        <v>1.1855036408815778</v>
      </c>
      <c r="BF95" s="83">
        <v>6.0658029101373501</v>
      </c>
      <c r="BG95" s="83">
        <v>5.1158073987155461</v>
      </c>
      <c r="BI95" s="84">
        <v>443228.8620000002</v>
      </c>
      <c r="BL95" s="83">
        <v>-3.3522167102626241</v>
      </c>
    </row>
    <row r="96" spans="1:70" s="74" customFormat="1" ht="15" customHeight="1" x14ac:dyDescent="0.25">
      <c r="A96" s="57" t="s">
        <v>150</v>
      </c>
      <c r="B96" s="57" t="str">
        <f t="shared" ref="B96:B126" si="419">D96&amp;E96&amp;F96</f>
        <v>VolvoEX40Single Motor Extended Range, Ultra</v>
      </c>
      <c r="C96" s="85" t="s">
        <v>42</v>
      </c>
      <c r="D96" s="86" t="s">
        <v>151</v>
      </c>
      <c r="E96" s="87" t="s">
        <v>152</v>
      </c>
      <c r="F96" s="88" t="s">
        <v>153</v>
      </c>
      <c r="G96" s="178"/>
      <c r="H96" s="89">
        <v>4073325</v>
      </c>
      <c r="I96" s="90">
        <f>H96/$H$99*$I$99</f>
        <v>93.899811615999084</v>
      </c>
      <c r="J96" s="65">
        <v>0.19</v>
      </c>
      <c r="K96" s="66">
        <f t="shared" si="398"/>
        <v>3704305.65</v>
      </c>
      <c r="L96" s="64">
        <f>K96/$K$99*$L$99</f>
        <v>85.393039520068015</v>
      </c>
      <c r="M96" s="157"/>
      <c r="N96" s="66">
        <f t="shared" si="399"/>
        <v>3000487.5765</v>
      </c>
      <c r="O96" s="89">
        <f t="shared" si="400"/>
        <v>3299393.2499999995</v>
      </c>
      <c r="P96" s="90">
        <f>IF(ISNUMBER(O96),O96/$O$99*$P$99,"")</f>
        <v>80.91366745633961</v>
      </c>
      <c r="Q96" s="207">
        <f>IF(ISNUMBER(N96),N96/$N$99*$Q$99,"")</f>
        <v>73.583363841760729</v>
      </c>
      <c r="R96" s="67">
        <f>_xlfn.XLOOKUP(A96,'[1]My Input'!$B:$B,'[1]My Input'!$F:$F)</f>
        <v>0</v>
      </c>
      <c r="S96" s="157"/>
      <c r="T96" s="243">
        <f t="shared" si="401"/>
        <v>3000487.5765</v>
      </c>
      <c r="U96" s="89">
        <f t="shared" si="402"/>
        <v>3299393.2499999995</v>
      </c>
      <c r="V96" s="90">
        <f>IF(ISNUMBER(U96),U96/$U$99*$V$99,"")</f>
        <v>80.91366745633961</v>
      </c>
      <c r="W96" s="90">
        <f>IF(ISNUMBER(T96),T96/$T$99*$W$99,"")</f>
        <v>73.583363841760729</v>
      </c>
      <c r="X96" s="92">
        <f>_xlfn.XLOOKUP(A96,'[1]My Input'!$B:$B,'[1]My Input'!$I:$I)</f>
        <v>0</v>
      </c>
      <c r="Y96" s="157"/>
      <c r="Z96" s="243">
        <f t="shared" ref="Z96:Z126" si="420">IF(AD96&lt;&gt;0,AM96*1.2*(1+AQ96)+AO96-AD96,AL96*(1-AG96)*1.2*(1+AQ96)+AO96)</f>
        <v>3000487.5765</v>
      </c>
      <c r="AA96" s="89">
        <f t="shared" si="404"/>
        <v>3299393.2499999995</v>
      </c>
      <c r="AB96" s="90">
        <f>IF(ISNUMBER(AA96),AA96/$AA$99*$AB$99,"")</f>
        <v>80.816841942949978</v>
      </c>
      <c r="AC96" s="90">
        <f>IF(ISNUMBER(Z96),Z96/$Z$99*$AC$99,"")</f>
        <v>73.495310151884922</v>
      </c>
      <c r="AD96" s="93">
        <f>_xlfn.XLOOKUP(A96,'[1]My Input'!$B:$B,'[1]My Input'!$N:$N)</f>
        <v>0</v>
      </c>
      <c r="AE96" s="70"/>
      <c r="AF96" s="71">
        <f>_xlfn.XLOOKUP(A96,'[1]My Input'!$B:$B,'[1]My Input'!$E:$E)</f>
        <v>0.19</v>
      </c>
      <c r="AG96" s="208">
        <f>_xlfn.XLOOKUP(A96,'[1]My Input'!$B:$B,'[1]My Input'!$G:$G)</f>
        <v>0.19</v>
      </c>
      <c r="AH96" s="73">
        <f t="shared" si="405"/>
        <v>2189959.6774193547</v>
      </c>
      <c r="AJ96" s="73">
        <f t="shared" si="406"/>
        <v>1773867.3387096773</v>
      </c>
      <c r="AK96" s="75">
        <f t="shared" si="407"/>
        <v>1773867.3387096773</v>
      </c>
      <c r="AL96" s="76">
        <f t="shared" si="408"/>
        <v>1991562.1774193547</v>
      </c>
      <c r="AM96" s="76">
        <f t="shared" si="409"/>
        <v>1613165.3637096775</v>
      </c>
      <c r="AN96" s="76">
        <f t="shared" si="410"/>
        <v>1613165.3637096775</v>
      </c>
      <c r="AO96" s="77">
        <f>_xlfn.XLOOKUP(A96,'[1]My Input'!$B:$B,'[1]My Input'!$T:$T)</f>
        <v>0</v>
      </c>
      <c r="AP96" s="78">
        <f>_xlfn.XLOOKUP(A96,'[1]My Input'!$B:$B,'[1]My Input'!$S:$S)</f>
        <v>0</v>
      </c>
      <c r="AQ96" s="67">
        <f>_xlfn.XLOOKUP(A96,'[1]My Input'!$B:$B,'[1]My Input'!$U:$U)</f>
        <v>0.55000000000000004</v>
      </c>
      <c r="AS96" s="153">
        <v>-3779</v>
      </c>
      <c r="AU96" s="74" t="s">
        <v>41</v>
      </c>
      <c r="AV96" s="67" cm="1">
        <f t="array" ref="AV96">_xlfn.IFS(
 AND(AY96="ICE",  AP96&lt;=1400,AND(AK96&gt;900000,  AK96&lt;=1100000)),                    80%,
 AND(AY96="ICE",  AP96&lt;=1400,AK96&gt;1100000),                                       90%,
 AND(AY96="ICE",  AND(AP96&gt;1400,AP96&lt;=1600),   AK96&lt;=850000),                      75%,
 AND(AY96="ICE",  AND(AP96&gt;1400,AP96&lt;=1600),   AND(AK96&gt;850000,AK96&lt;=1100000)),     80%,
 AND(AY96="ICE",  AND(AP96&gt;1400,AP96&lt;=1600),   AND(AK96&gt;1100000,AK96&lt;=1650000)),    90%,
 AND(AY96="ICE",  AND(AP96&gt;1400,AP96&lt;=1600),   AK96&gt;1650000),                      100%,
 AND(AY96="ICE",  AND(AP96&gt;1600,AP96&lt;=2000),   AK96&lt;=1650000),                     150%,
 AND(AY96="ICE",  AND(AP96&gt;1600,AP96&lt;=2000),   AK96&gt;1650000),                      170%,
 AND(AY96="ICE",  AP96&gt;2000),                                                    220%,
 AND(AY96="PHEV",  AP96&lt;=1600,                AK96&lt;=1350000),                     45%,
 AND(AY96="PHEV",  AP96&lt;=1600,                AK96&gt;1350000),                      75%,
 AND(AY96="PHEV",  AND(AP96&gt;1600,AP96&lt;=1800),  AK96&lt;=1350000),                     85%,
 AND(AY96="BEV",    AZ96&lt;=160,                 AK96&lt;=1650000),                     25%,
 AND(AY96="BEV",    AZ96&lt;=160,                 AK96&gt;1650000),                      55%,
 AND(AY96="BEV",    AZ96&gt; 160,                 AK96&lt;=1650000),                     65%,
 AND(AY96="BEV",    AZ96&gt; 160,                 AK96&gt;1650000),                      75%)</f>
        <v>0.55000000000000004</v>
      </c>
      <c r="AW96" s="67" cm="1">
        <f t="array" ref="AW96">_xlfn.IFS(
 X96=0,AV96,
 AND(AY96="ICE",  AP96&lt;=1400,AND((AJ96-BA96)&gt;900000,  (AJ96-BA96)&lt;=1100000)),                    80%,
 AND(AY96="ICE",  AP96&lt;=1400,(AJ96-BA96)&gt;1100000),                                       90%,
 AND(AY96="ICE",  AND(AP96&gt;1400,AP96&lt;=1600),   (AJ96-BA96)&lt;=850000),                      75%,
 AND(AY96="ICE",  AND(AP96&gt;1400,AP96&lt;=1600),   AND((AJ96-BA96)&gt;850000,(AJ96-BA96)&lt;=1100000)),     80%,
 AND(AY96="ICE",  AND(AP96&gt;1400,AP96&lt;=1600),   AND((AJ96-BA96)&gt;1100000,(AJ96-BA96)&lt;=1650000)),    90%,
 AND(AY96="ICE",  AND(AP96&gt;1400,AP96&lt;=1600),   (AJ96-BA96)&gt;1650000),                      100%,
 AND(AY96="ICE",  AND(AP96&gt;1600,AP96&lt;=2000),   (AJ96-BA96)&lt;=1650000),                     150%,
 AND(AY96="ICE",  AND(AP96&gt;1600,AP96&lt;=2000),   (AJ96-BA96)&gt;1650000),                      170%,
 AND(AY96="ICE",  AP96&gt;2000),                                                    220%,
 AND(AY96="PHEV",  AP96&lt;=1600,                (AJ96-BA96)&lt;=1350000),                     45%,
 AND(AY96="PHEV",  AP96&lt;=1600,                (AJ96-BA96)&gt;1350000),                      75%,
 AND(AY96="PHEV",  AND(AP96&gt;1600,AP96&lt;=1800),  (AJ96-BA96)&lt;=1350000),                     85%,
 AND(AY96="BEV",    AZ96&lt;=160,                 (AJ96-BA96)&lt;=1650000),                     25%,
 AND(AY96="BEV",    AZ96&lt;=160,                 (AJ96-BA96)&gt;1650000),                      55%,
 AND(AY96="BEV",    AZ96&gt; 160,                 (AJ96-BA96)&lt;=1650000),                     65%,
 AND(AY96="BEV",    AZ96&gt; 160,                 (AJ96-BA96)&gt;1650000),                      75%)</f>
        <v>0.55000000000000004</v>
      </c>
      <c r="AX96" s="67" cm="1">
        <f t="array" ref="AX96">_xlfn.IFS(
 AD96=0,AV96,
 AND(AY96="ICE",  AP96&lt;=1400,AND(AJ96&gt;900000,  AJ96&lt;=1100000)),                    80%,
 AND(AY96="ICE",  AP96&lt;=1400,AJ96&gt;1100000),                                       90%,
 AND(AY96="ICE",  AND(AP96&gt;1400,AP96&lt;=1600),   AJ96&lt;=850000),                      75%,
 AND(AY96="ICE",  AND(AP96&gt;1400,AP96&lt;=1600),   AND(AJ96&gt;850000,AJ96&lt;=1100000)),     80%,
 AND(AY96="ICE",  AND(AP96&gt;1400,AP96&lt;=1600),   AND(AJ96&gt;1100000,AJ96&lt;=1650000)),    90%,
 AND(AY96="ICE",  AND(AP96&gt;1400,AP96&lt;=1600),   AJ96&gt;1650000),                      100%,
 AND(AY96="ICE",  AND(AP96&gt;1600,AP96&lt;=2000),   AJ96&lt;=1650000),                     150%,
 AND(AY96="ICE",  AND(AP96&gt;1600,AP96&lt;=2000),   AJ96&gt;1650000),                      170%,
 AND(AY96="ICE",  AP96&gt;2000),                                                    220%,
 AND(AY96="PHEV",  AP96&lt;=1600,                AJ96&lt;=1350000),                     45%,
 AND(AY96="PHEV",  AP96&lt;=1600,                AJ96&gt;1350000),                      75%,
 AND(AY96="PHEV",  AND(AP96&gt;1600,AP96&lt;=1800),  AJ96&lt;=1350000),                     85%,
 AND(AY96="BEV",    AZ96&lt;=160,                 AJ96&lt;=1650000),                     25%,
 AND(AY96="BEV",    AZ96&lt;=160,                 AJ96&gt;1650000),                      55%,
 AND(AY96="BEV",    AZ96&gt; 160,                 AJ96&lt;=1650000),                     65%,
 AND(AY96="BEV",    AZ96&gt; 160,                 AJ96&gt;1650000),                      75%)</f>
        <v>0.55000000000000004</v>
      </c>
      <c r="AY96" s="80" t="str">
        <f>_xlfn.XLOOKUP(A96,'[1]My Input'!$B:$B,'[1]My Input'!$V:$V)</f>
        <v>BEV</v>
      </c>
      <c r="AZ96" s="80">
        <f>_xlfn.IFNA(_xlfn.XLOOKUP(A96,'[1]kW Tescil'!$A:$A,'[1]kW Tescil'!$C:$C),"-")</f>
        <v>150</v>
      </c>
      <c r="BA96" s="81">
        <f>_xlfn.XLOOKUP(A96,'[1]My Input'!$B:$B,'[1]My Input'!$H:$H)</f>
        <v>0</v>
      </c>
      <c r="BC96" s="82">
        <v>-5.9050150997205293</v>
      </c>
      <c r="BD96" s="82">
        <v>-7.0057231520278691</v>
      </c>
      <c r="BF96" s="83">
        <v>-2.0932346871082217</v>
      </c>
      <c r="BG96" s="83">
        <v>-3.4643952566950844</v>
      </c>
      <c r="BI96" s="84">
        <v>132590.50083359983</v>
      </c>
      <c r="BL96" s="83">
        <v>-5.4221793233339071</v>
      </c>
    </row>
    <row r="97" spans="1:64" s="74" customFormat="1" ht="15" customHeight="1" x14ac:dyDescent="0.25">
      <c r="A97" s="57" t="s">
        <v>154</v>
      </c>
      <c r="B97" s="57" t="str">
        <f>D97&amp;E97&amp;F97</f>
        <v>AudiQ4 40 e-tron</v>
      </c>
      <c r="C97" s="58" t="s">
        <v>37</v>
      </c>
      <c r="D97" s="86" t="s">
        <v>38</v>
      </c>
      <c r="E97" s="87" t="s">
        <v>155</v>
      </c>
      <c r="F97" s="88"/>
      <c r="G97" s="157"/>
      <c r="H97" s="89">
        <v>4601733</v>
      </c>
      <c r="I97" s="90">
        <f>H97/$H$99*$I$99</f>
        <v>106.08087049452874</v>
      </c>
      <c r="J97" s="65">
        <v>0.21</v>
      </c>
      <c r="K97" s="91">
        <f t="shared" si="398"/>
        <v>4787951.55</v>
      </c>
      <c r="L97" s="90">
        <f>K97/$K$99*$L$99</f>
        <v>110.37365016823621</v>
      </c>
      <c r="M97" s="157"/>
      <c r="N97" s="91">
        <f t="shared" si="399"/>
        <v>3782481.7245</v>
      </c>
      <c r="O97" s="89">
        <f t="shared" si="400"/>
        <v>3635369.07</v>
      </c>
      <c r="P97" s="238">
        <f>IF(ISNUMBER(O97),O97/$O$99*$P$99,"")</f>
        <v>89.153072011359242</v>
      </c>
      <c r="Q97" s="238">
        <f>IF(ISNUMBER(N97),N97/$N$99*$Q$99,"")</f>
        <v>92.76083365202831</v>
      </c>
      <c r="R97" s="67">
        <f>_xlfn.XLOOKUP(A97,'[1]My Input'!$B:$B,'[1]My Input'!$F:$F)</f>
        <v>0.03</v>
      </c>
      <c r="S97" s="157"/>
      <c r="T97" s="89">
        <f t="shared" si="401"/>
        <v>3782481.7245</v>
      </c>
      <c r="U97" s="89">
        <f t="shared" si="402"/>
        <v>3635369.07</v>
      </c>
      <c r="V97" s="238">
        <f>IF(ISNUMBER(U97),U97/$U$99*$V$99,"")</f>
        <v>89.153072011359242</v>
      </c>
      <c r="W97" s="238">
        <f>IF(ISNUMBER(T97),T97/$T$99*$W$99,"")</f>
        <v>92.76083365202831</v>
      </c>
      <c r="X97" s="92">
        <f>_xlfn.XLOOKUP(A97,'[1]My Input'!$B:$B,'[1]My Input'!$I:$I)</f>
        <v>0</v>
      </c>
      <c r="Y97" s="157"/>
      <c r="Z97" s="89">
        <f>IF(AD97&lt;&gt;0,AM97*1.2*(1+AQ97)+AO97-AD97,AL97*(1-AG97)*1.2*(1+AQ97)+AO97)</f>
        <v>3805866.6009999998</v>
      </c>
      <c r="AA97" s="89">
        <f t="shared" si="404"/>
        <v>3653167.3900000006</v>
      </c>
      <c r="AB97" s="238">
        <f>IF(ISNUMBER(AA97),AA97/$AA$99*$AB$99,"")</f>
        <v>89.482346958420067</v>
      </c>
      <c r="AC97" s="238">
        <f>IF(ISNUMBER(Z97),Z97/$Z$99*$AC$99,"")</f>
        <v>93.222631024346455</v>
      </c>
      <c r="AD97" s="93">
        <f>_xlfn.XLOOKUP(A97,'[1]My Input'!$B:$B,'[1]My Input'!$N:$N)</f>
        <v>120253.67</v>
      </c>
      <c r="AE97" s="70"/>
      <c r="AF97" s="71">
        <f>_xlfn.XLOOKUP(A97,'[1]My Input'!$B:$B,'[1]My Input'!$E:$E)</f>
        <v>0.18</v>
      </c>
      <c r="AG97" s="72">
        <f>_xlfn.XLOOKUP(A97,'[1]My Input'!$B:$B,'[1]My Input'!$G:$G)</f>
        <v>0.21</v>
      </c>
      <c r="AH97" s="73">
        <f t="shared" si="405"/>
        <v>2474050</v>
      </c>
      <c r="AJ97" s="73">
        <f t="shared" si="406"/>
        <v>2028721.0000000002</v>
      </c>
      <c r="AK97" s="75">
        <f t="shared" si="407"/>
        <v>1954499.5</v>
      </c>
      <c r="AL97" s="76">
        <f t="shared" si="408"/>
        <v>2574167.5</v>
      </c>
      <c r="AM97" s="76">
        <f t="shared" si="409"/>
        <v>2110817.35</v>
      </c>
      <c r="AN97" s="76">
        <f t="shared" si="410"/>
        <v>2033592.3250000002</v>
      </c>
      <c r="AO97" s="77">
        <f>_xlfn.XLOOKUP(A97,'[1]My Input'!$B:$B,'[1]My Input'!$T:$T)</f>
        <v>0</v>
      </c>
      <c r="AP97" s="78">
        <f>_xlfn.XLOOKUP(A97,'[1]My Input'!$B:$B,'[1]My Input'!$S:$S)</f>
        <v>0</v>
      </c>
      <c r="AQ97" s="67">
        <f>_xlfn.XLOOKUP(A97,'[1]My Input'!$B:$B,'[1]My Input'!$U:$U)</f>
        <v>0.55000000000000004</v>
      </c>
      <c r="AS97" s="103">
        <v>1907</v>
      </c>
      <c r="AU97" s="74" t="s">
        <v>41</v>
      </c>
      <c r="AV97" s="67" cm="1">
        <f t="array" ref="AV97">_xlfn.IFS(
 AND(AY97="ICE",  AP97&lt;=1400,AND(AK97&gt;900000,  AK97&lt;=1100000)),                    80%,
 AND(AY97="ICE",  AP97&lt;=1400,AK97&gt;1100000),                                       90%,
 AND(AY97="ICE",  AND(AP97&gt;1400,AP97&lt;=1600),   AK97&lt;=850000),                      75%,
 AND(AY97="ICE",  AND(AP97&gt;1400,AP97&lt;=1600),   AND(AK97&gt;850000,AK97&lt;=1100000)),     80%,
 AND(AY97="ICE",  AND(AP97&gt;1400,AP97&lt;=1600),   AND(AK97&gt;1100000,AK97&lt;=1650000)),    90%,
 AND(AY97="ICE",  AND(AP97&gt;1400,AP97&lt;=1600),   AK97&gt;1650000),                      100%,
 AND(AY97="ICE",  AND(AP97&gt;1600,AP97&lt;=2000),   AK97&lt;=1650000),                     150%,
 AND(AY97="ICE",  AND(AP97&gt;1600,AP97&lt;=2000),   AK97&gt;1650000),                      170%,
 AND(AY97="ICE",  AP97&gt;2000),                                                    220%,
 AND(AY97="PHEV",  AP97&lt;=1600,                AK97&lt;=1350000),                     45%,
 AND(AY97="PHEV",  AP97&lt;=1600,                AK97&gt;1350000),                      75%,
 AND(AY97="PHEV",  AND(AP97&gt;1600,AP97&lt;=1800),  AK97&lt;=1350000),                     85%,
 AND(AY97="BEV",    AZ97&lt;=160,                 AK97&lt;=1650000),                     25%,
 AND(AY97="BEV",    AZ97&lt;=160,                 AK97&gt;1650000),                      55%,
 AND(AY97="BEV",    AZ97&gt; 160,                 AK97&lt;=1650000),                     65%,
 AND(AY97="BEV",    AZ97&gt; 160,                 AK97&gt;1650000),                      75%)</f>
        <v>0.55000000000000004</v>
      </c>
      <c r="AW97" s="67" cm="1">
        <f t="array" ref="AW97">_xlfn.IFS(
 X97=0,AV97,
 AND(AY97="ICE",  AP97&lt;=1400,AND((AJ97-BA97)&gt;900000,  (AJ97-BA97)&lt;=1100000)),                    80%,
 AND(AY97="ICE",  AP97&lt;=1400,(AJ97-BA97)&gt;1100000),                                       90%,
 AND(AY97="ICE",  AND(AP97&gt;1400,AP97&lt;=1600),   (AJ97-BA97)&lt;=850000),                      75%,
 AND(AY97="ICE",  AND(AP97&gt;1400,AP97&lt;=1600),   AND((AJ97-BA97)&gt;850000,(AJ97-BA97)&lt;=1100000)),     80%,
 AND(AY97="ICE",  AND(AP97&gt;1400,AP97&lt;=1600),   AND((AJ97-BA97)&gt;1100000,(AJ97-BA97)&lt;=1650000)),    90%,
 AND(AY97="ICE",  AND(AP97&gt;1400,AP97&lt;=1600),   (AJ97-BA97)&gt;1650000),                      100%,
 AND(AY97="ICE",  AND(AP97&gt;1600,AP97&lt;=2000),   (AJ97-BA97)&lt;=1650000),                     150%,
 AND(AY97="ICE",  AND(AP97&gt;1600,AP97&lt;=2000),   (AJ97-BA97)&gt;1650000),                      170%,
 AND(AY97="ICE",  AP97&gt;2000),                                                    220%,
 AND(AY97="PHEV",  AP97&lt;=1600,                (AJ97-BA97)&lt;=1350000),                     45%,
 AND(AY97="PHEV",  AP97&lt;=1600,                (AJ97-BA97)&gt;1350000),                      75%,
 AND(AY97="PHEV",  AND(AP97&gt;1600,AP97&lt;=1800),  (AJ97-BA97)&lt;=1350000),                     85%,
 AND(AY97="BEV",    AZ97&lt;=160,                 (AJ97-BA97)&lt;=1650000),                     25%,
 AND(AY97="BEV",    AZ97&lt;=160,                 (AJ97-BA97)&gt;1650000),                      55%,
 AND(AY97="BEV",    AZ97&gt; 160,                 (AJ97-BA97)&lt;=1650000),                     65%,
 AND(AY97="BEV",    AZ97&gt; 160,                 (AJ97-BA97)&gt;1650000),                      75%)</f>
        <v>0.55000000000000004</v>
      </c>
      <c r="AX97" s="67" cm="1">
        <f t="array" ref="AX97">_xlfn.IFS(
 AD97=0,AV97,
 AND(AY97="ICE",  AP97&lt;=1400,AND(AJ97&gt;900000,  AJ97&lt;=1100000)),                    80%,
 AND(AY97="ICE",  AP97&lt;=1400,AJ97&gt;1100000),                                       90%,
 AND(AY97="ICE",  AND(AP97&gt;1400,AP97&lt;=1600),   AJ97&lt;=850000),                      75%,
 AND(AY97="ICE",  AND(AP97&gt;1400,AP97&lt;=1600),   AND(AJ97&gt;850000,AJ97&lt;=1100000)),     80%,
 AND(AY97="ICE",  AND(AP97&gt;1400,AP97&lt;=1600),   AND(AJ97&gt;1100000,AJ97&lt;=1650000)),    90%,
 AND(AY97="ICE",  AND(AP97&gt;1400,AP97&lt;=1600),   AJ97&gt;1650000),                      100%,
 AND(AY97="ICE",  AND(AP97&gt;1600,AP97&lt;=2000),   AJ97&lt;=1650000),                     150%,
 AND(AY97="ICE",  AND(AP97&gt;1600,AP97&lt;=2000),   AJ97&gt;1650000),                      170%,
 AND(AY97="ICE",  AP97&gt;2000),                                                    220%,
 AND(AY97="PHEV",  AP97&lt;=1600,                AJ97&lt;=1350000),                     45%,
 AND(AY97="PHEV",  AP97&lt;=1600,                AJ97&gt;1350000),                      75%,
 AND(AY97="PHEV",  AND(AP97&gt;1600,AP97&lt;=1800),  AJ97&lt;=1350000),                     85%,
 AND(AY97="BEV",    AZ97&lt;=160,                 AJ97&lt;=1650000),                     25%,
 AND(AY97="BEV",    AZ97&lt;=160,                 AJ97&gt;1650000),                      55%,
 AND(AY97="BEV",    AZ97&gt; 160,                 AJ97&lt;=1650000),                     65%,
 AND(AY97="BEV",    AZ97&gt; 160,                 AJ97&gt;1650000),                      75%)</f>
        <v>0.55000000000000004</v>
      </c>
      <c r="AY97" s="80" t="str">
        <f>_xlfn.XLOOKUP(A97,'[1]My Input'!$B:$B,'[1]My Input'!$V:$V)</f>
        <v>BEV</v>
      </c>
      <c r="AZ97" s="80">
        <f>_xlfn.IFNA(_xlfn.XLOOKUP(A97,'[1]kW Tescil'!$A:$A,'[1]kW Tescil'!$C:$C),"-")</f>
        <v>160</v>
      </c>
      <c r="BA97" s="81">
        <f>_xlfn.XLOOKUP(A97,'[1]My Input'!$B:$B,'[1]My Input'!$H:$H)</f>
        <v>0</v>
      </c>
      <c r="BC97" s="82">
        <v>0.38806391417881514</v>
      </c>
      <c r="BD97" s="82">
        <v>4.5085368982384466E-2</v>
      </c>
      <c r="BF97" s="83">
        <v>4.3903028114961842</v>
      </c>
      <c r="BG97" s="83">
        <v>4.2150767407243563</v>
      </c>
      <c r="BI97" s="84">
        <v>393141.50373925641</v>
      </c>
      <c r="BL97" s="83">
        <v>0.8896199556980946</v>
      </c>
    </row>
    <row r="98" spans="1:64" s="74" customFormat="1" ht="15" customHeight="1" x14ac:dyDescent="0.25">
      <c r="A98" s="57" t="s">
        <v>156</v>
      </c>
      <c r="B98" s="57" t="str">
        <f t="shared" ref="B98:B99" si="421">D98&amp;E98&amp;F98</f>
        <v>BMWiX1 eDrive20M Sport</v>
      </c>
      <c r="C98" s="85" t="s">
        <v>42</v>
      </c>
      <c r="D98" s="86" t="s">
        <v>44</v>
      </c>
      <c r="E98" s="87" t="s">
        <v>157</v>
      </c>
      <c r="F98" s="88" t="s">
        <v>53</v>
      </c>
      <c r="G98" s="157"/>
      <c r="H98" s="89">
        <v>4424121</v>
      </c>
      <c r="I98" s="90">
        <f>H98/$H$99*$I$99</f>
        <v>101.9864922308889</v>
      </c>
      <c r="J98" s="65">
        <v>0.08</v>
      </c>
      <c r="K98" s="91">
        <f t="shared" si="398"/>
        <v>4424121</v>
      </c>
      <c r="L98" s="90">
        <f>K98/$K$99*$L$99</f>
        <v>101.9864922308889</v>
      </c>
      <c r="M98" s="157"/>
      <c r="N98" s="91">
        <f t="shared" si="399"/>
        <v>4070191.3199999994</v>
      </c>
      <c r="O98" s="89">
        <f t="shared" si="400"/>
        <v>4070191.3199999994</v>
      </c>
      <c r="P98" s="90">
        <f>IF(ISNUMBER(O98),O98/$O$99*$P$99,"")</f>
        <v>99.816566864274208</v>
      </c>
      <c r="Q98" s="90">
        <f>IF(ISNUMBER(N98),N98/$N$99*$Q$99,"")</f>
        <v>99.816566864274208</v>
      </c>
      <c r="R98" s="67">
        <v>0.05</v>
      </c>
      <c r="S98" s="157"/>
      <c r="T98" s="243">
        <f t="shared" si="401"/>
        <v>3991397.3699999992</v>
      </c>
      <c r="U98" s="89">
        <f t="shared" si="402"/>
        <v>3991397.3699999992</v>
      </c>
      <c r="V98" s="90">
        <f>IF(ISNUMBER(U98),U98/$U$99*$V$99,"")</f>
        <v>97.884239619599299</v>
      </c>
      <c r="W98" s="207">
        <f>IF(ISNUMBER(T98),T98/$T$99*$W$99,"")</f>
        <v>97.884239619599299</v>
      </c>
      <c r="X98" s="92">
        <v>300000</v>
      </c>
      <c r="Y98" s="157"/>
      <c r="Z98" s="243">
        <f t="shared" ref="Z98:Z99" si="422">IF(AD98&lt;&gt;0,AM98*1.2*(1+AQ98)+AO98-AD98,AL98*(1-AG98)*1.2*(1+AQ98)+AO98)</f>
        <v>4103517.7999999993</v>
      </c>
      <c r="AA98" s="89">
        <f t="shared" si="404"/>
        <v>4103517.7999999993</v>
      </c>
      <c r="AB98" s="90">
        <f>IF(ISNUMBER(AA98),AA98/$AA$99*$AB$99,"")</f>
        <v>100.51343514528976</v>
      </c>
      <c r="AC98" s="207">
        <f>IF(ISNUMBER(Z98),Z98/$Z$99*$AC$99,"")</f>
        <v>100.51343514528976</v>
      </c>
      <c r="AD98" s="93">
        <v>187879.57</v>
      </c>
      <c r="AE98" s="70"/>
      <c r="AF98" s="71">
        <f>_xlfn.XLOOKUP(A98,'[1]My Input'!$B:$B,'[1]My Input'!$E:$E)</f>
        <v>0.03</v>
      </c>
      <c r="AG98" s="208">
        <f>AF98+R98</f>
        <v>0.08</v>
      </c>
      <c r="AH98" s="73">
        <f t="shared" si="405"/>
        <v>2378559.6774193547</v>
      </c>
      <c r="AJ98" s="73">
        <f t="shared" si="406"/>
        <v>2307202.8870967738</v>
      </c>
      <c r="AK98" s="75">
        <f t="shared" si="407"/>
        <v>2188274.9032258061</v>
      </c>
      <c r="AL98" s="76">
        <f t="shared" si="408"/>
        <v>2378559.6774193547</v>
      </c>
      <c r="AM98" s="76">
        <f t="shared" si="409"/>
        <v>2307202.8870967738</v>
      </c>
      <c r="AN98" s="76">
        <f t="shared" si="410"/>
        <v>2188274.9032258061</v>
      </c>
      <c r="AO98" s="77">
        <f>_xlfn.XLOOKUP(A98,'[1]My Input'!$B:$B,'[1]My Input'!$T:$T)</f>
        <v>0</v>
      </c>
      <c r="AP98" s="78">
        <f>_xlfn.XLOOKUP(A98,'[1]My Input'!$B:$B,'[1]My Input'!$S:$S)</f>
        <v>0</v>
      </c>
      <c r="AQ98" s="67">
        <f>_xlfn.XLOOKUP(A98,'[1]My Input'!$B:$B,'[1]My Input'!$U:$U)</f>
        <v>0.55000000000000004</v>
      </c>
      <c r="AS98" s="103">
        <f>_xlfn.XLOOKUP(A98,'[1]My Input'!$B:$B,'[1]My Input'!$Q:$Q)</f>
        <v>0</v>
      </c>
      <c r="AU98" s="74" t="s">
        <v>41</v>
      </c>
      <c r="AV98" s="67" cm="1">
        <f t="array" ref="AV98">_xlfn.IFS(
 AND(AY98="ICE",  AP98&lt;=1400,AND(AK98&gt;900000,  AK98&lt;=1100000)),                    80%,
 AND(AY98="ICE",  AP98&lt;=1400,AK98&gt;1100000),                                       90%,
 AND(AY98="ICE",  AND(AP98&gt;1400,AP98&lt;=1600),   AK98&lt;=850000),                      75%,
 AND(AY98="ICE",  AND(AP98&gt;1400,AP98&lt;=1600),   AND(AK98&gt;850000,AK98&lt;=1100000)),     80%,
 AND(AY98="ICE",  AND(AP98&gt;1400,AP98&lt;=1600),   AND(AK98&gt;1100000,AK98&lt;=1650000)),    90%,
 AND(AY98="ICE",  AND(AP98&gt;1400,AP98&lt;=1600),   AK98&gt;1650000),                      100%,
 AND(AY98="ICE",  AND(AP98&gt;1600,AP98&lt;=2000),   AK98&lt;=1650000),                     150%,
 AND(AY98="ICE",  AND(AP98&gt;1600,AP98&lt;=2000),   AK98&gt;1650000),                      170%,
 AND(AY98="ICE",  AP98&gt;2000),                                                    220%,
 AND(AY98="PHEV",  AP98&lt;=1600,                AK98&lt;=1350000),                     45%,
 AND(AY98="PHEV",  AP98&lt;=1600,                AK98&gt;1350000),                      75%,
 AND(AY98="PHEV",  AND(AP98&gt;1600,AP98&lt;=1800),  AK98&lt;=1350000),                     85%,
 AND(AY98="BEV",    AZ98&lt;=160,                 AK98&lt;=1650000),                     25%,
 AND(AY98="BEV",    AZ98&lt;=160,                 AK98&gt;1650000),                      55%,
 AND(AY98="BEV",    AZ98&gt; 160,                 AK98&lt;=1650000),                     65%,
 AND(AY98="BEV",    AZ98&gt; 160,                 AK98&gt;1650000),                      75%)</f>
        <v>0.55000000000000004</v>
      </c>
      <c r="AW98" s="67" cm="1">
        <f t="array" ref="AW98">_xlfn.IFS(
 X98=0,AV98,
 AND(AY98="ICE",  AP98&lt;=1400,AND((AJ98-BA98)&gt;900000,  (AJ98-BA98)&lt;=1100000)),                    80%,
 AND(AY98="ICE",  AP98&lt;=1400,(AJ98-BA98)&gt;1100000),                                       90%,
 AND(AY98="ICE",  AND(AP98&gt;1400,AP98&lt;=1600),   (AJ98-BA98)&lt;=850000),                      75%,
 AND(AY98="ICE",  AND(AP98&gt;1400,AP98&lt;=1600),   AND((AJ98-BA98)&gt;850000,(AJ98-BA98)&lt;=1100000)),     80%,
 AND(AY98="ICE",  AND(AP98&gt;1400,AP98&lt;=1600),   AND((AJ98-BA98)&gt;1100000,(AJ98-BA98)&lt;=1650000)),    90%,
 AND(AY98="ICE",  AND(AP98&gt;1400,AP98&lt;=1600),   (AJ98-BA98)&gt;1650000),                      100%,
 AND(AY98="ICE",  AND(AP98&gt;1600,AP98&lt;=2000),   (AJ98-BA98)&lt;=1650000),                     150%,
 AND(AY98="ICE",  AND(AP98&gt;1600,AP98&lt;=2000),   (AJ98-BA98)&gt;1650000),                      170%,
 AND(AY98="ICE",  AP98&gt;2000),                                                    220%,
 AND(AY98="PHEV",  AP98&lt;=1600,                (AJ98-BA98)&lt;=1350000),                     45%,
 AND(AY98="PHEV",  AP98&lt;=1600,                (AJ98-BA98)&gt;1350000),                      75%,
 AND(AY98="PHEV",  AND(AP98&gt;1600,AP98&lt;=1800),  (AJ98-BA98)&lt;=1350000),                     85%,
 AND(AY98="BEV",    AZ98&lt;=160,                 (AJ98-BA98)&lt;=1650000),                     25%,
 AND(AY98="BEV",    AZ98&lt;=160,                 (AJ98-BA98)&gt;1650000),                      55%,
 AND(AY98="BEV",    AZ98&gt; 160,                 (AJ98-BA98)&lt;=1650000),                     65%,
 AND(AY98="BEV",    AZ98&gt; 160,                 (AJ98-BA98)&gt;1650000),                      75%)</f>
        <v>0.55000000000000004</v>
      </c>
      <c r="AX98" s="67" cm="1">
        <f t="array" ref="AX98">_xlfn.IFS(
 AD98=0,AV98,
 AND(AY98="ICE",  AP98&lt;=1400,AND(AJ98&gt;900000,  AJ98&lt;=1100000)),                    80%,
 AND(AY98="ICE",  AP98&lt;=1400,AJ98&gt;1100000),                                       90%,
 AND(AY98="ICE",  AND(AP98&gt;1400,AP98&lt;=1600),   AJ98&lt;=850000),                      75%,
 AND(AY98="ICE",  AND(AP98&gt;1400,AP98&lt;=1600),   AND(AJ98&gt;850000,AJ98&lt;=1100000)),     80%,
 AND(AY98="ICE",  AND(AP98&gt;1400,AP98&lt;=1600),   AND(AJ98&gt;1100000,AJ98&lt;=1650000)),    90%,
 AND(AY98="ICE",  AND(AP98&gt;1400,AP98&lt;=1600),   AJ98&gt;1650000),                      100%,
 AND(AY98="ICE",  AND(AP98&gt;1600,AP98&lt;=2000),   AJ98&lt;=1650000),                     150%,
 AND(AY98="ICE",  AND(AP98&gt;1600,AP98&lt;=2000),   AJ98&gt;1650000),                      170%,
 AND(AY98="ICE",  AP98&gt;2000),                                                    220%,
 AND(AY98="PHEV",  AP98&lt;=1600,                AJ98&lt;=1350000),                     45%,
 AND(AY98="PHEV",  AP98&lt;=1600,                AJ98&gt;1350000),                      75%,
 AND(AY98="PHEV",  AND(AP98&gt;1600,AP98&lt;=1800),  AJ98&lt;=1350000),                     85%,
 AND(AY98="BEV",    AZ98&lt;=160,                 AJ98&lt;=1650000),                     25%,
 AND(AY98="BEV",    AZ98&lt;=160,                 AJ98&gt;1650000),                      55%,
 AND(AY98="BEV",    AZ98&gt; 160,                 AJ98&lt;=1650000),                     65%,
 AND(AY98="BEV",    AZ98&gt; 160,                 AJ98&gt;1650000),                      75%)</f>
        <v>0.55000000000000004</v>
      </c>
      <c r="AY98" s="80" t="str">
        <f>_xlfn.XLOOKUP(A98,'[1]My Input'!$B:$B,'[1]My Input'!$V:$V)</f>
        <v>BEV</v>
      </c>
      <c r="AZ98" s="80">
        <f>_xlfn.IFNA(_xlfn.XLOOKUP(A98,'[1]kW Tescil'!$A:$A,'[1]kW Tescil'!$C:$C),"-")</f>
        <v>150</v>
      </c>
      <c r="BA98" s="81">
        <f>_xlfn.XLOOKUP(A98,'[1]My Input'!$B:$B,'[1]My Input'!$H:$H)</f>
        <v>0</v>
      </c>
      <c r="BC98" s="82">
        <v>0</v>
      </c>
      <c r="BD98" s="82">
        <v>0</v>
      </c>
      <c r="BF98" s="83">
        <v>0</v>
      </c>
      <c r="BG98" s="83">
        <v>0</v>
      </c>
      <c r="BI98" s="84">
        <v>164108.65483236965</v>
      </c>
      <c r="BL98" s="83">
        <v>0</v>
      </c>
    </row>
    <row r="99" spans="1:64" s="74" customFormat="1" ht="15" customHeight="1" thickBot="1" x14ac:dyDescent="0.3">
      <c r="A99" s="57" t="s">
        <v>156</v>
      </c>
      <c r="B99" s="57" t="str">
        <f t="shared" si="421"/>
        <v>BMWiX1 eDrive20M Sport</v>
      </c>
      <c r="C99" s="58" t="s">
        <v>37</v>
      </c>
      <c r="D99" s="94" t="s">
        <v>44</v>
      </c>
      <c r="E99" s="95" t="s">
        <v>157</v>
      </c>
      <c r="F99" s="152" t="s">
        <v>53</v>
      </c>
      <c r="G99" s="65"/>
      <c r="H99" s="98">
        <v>4337948</v>
      </c>
      <c r="I99" s="99">
        <v>100</v>
      </c>
      <c r="J99" s="65">
        <v>0.06</v>
      </c>
      <c r="K99" s="100">
        <f t="shared" si="398"/>
        <v>4337948</v>
      </c>
      <c r="L99" s="99">
        <v>100</v>
      </c>
      <c r="M99" s="65"/>
      <c r="N99" s="100">
        <f t="shared" si="399"/>
        <v>4077671.1200000006</v>
      </c>
      <c r="O99" s="98">
        <f t="shared" si="400"/>
        <v>4077671.1200000006</v>
      </c>
      <c r="P99" s="99">
        <v>100</v>
      </c>
      <c r="Q99" s="99">
        <v>100</v>
      </c>
      <c r="R99" s="67">
        <f>_xlfn.XLOOKUP(A99,'[1]My Input'!$B:$B,'[1]My Input'!$F:$F)</f>
        <v>0.03</v>
      </c>
      <c r="S99" s="65"/>
      <c r="T99" s="98">
        <f t="shared" si="401"/>
        <v>4077671.1200000006</v>
      </c>
      <c r="U99" s="98">
        <f t="shared" si="402"/>
        <v>4077671.1200000006</v>
      </c>
      <c r="V99" s="99">
        <v>100</v>
      </c>
      <c r="W99" s="99">
        <v>100</v>
      </c>
      <c r="X99" s="102">
        <f>_xlfn.XLOOKUP(A99,'[1]My Input'!$B:$B,'[1]My Input'!$I:$I)</f>
        <v>0</v>
      </c>
      <c r="Y99" s="65"/>
      <c r="Z99" s="98">
        <f t="shared" si="422"/>
        <v>4082556.5200000005</v>
      </c>
      <c r="AA99" s="98">
        <f t="shared" si="404"/>
        <v>4082556.5200000005</v>
      </c>
      <c r="AB99" s="99">
        <v>100</v>
      </c>
      <c r="AC99" s="99">
        <v>100</v>
      </c>
      <c r="AD99" s="98">
        <f>_xlfn.XLOOKUP(A99,'[1]My Input'!$B:$B,'[1]My Input'!$N:$N)</f>
        <v>125253.04</v>
      </c>
      <c r="AE99" s="70"/>
      <c r="AF99" s="71">
        <f>_xlfn.XLOOKUP(A99,'[1]My Input'!$B:$B,'[1]My Input'!$E:$E)</f>
        <v>0.03</v>
      </c>
      <c r="AG99" s="72">
        <f>_xlfn.XLOOKUP(A99,'[1]My Input'!$B:$B,'[1]My Input'!$G:$G)</f>
        <v>0.06</v>
      </c>
      <c r="AH99" s="73">
        <f t="shared" si="405"/>
        <v>2332230.1075268821</v>
      </c>
      <c r="AJ99" s="73">
        <f t="shared" si="406"/>
        <v>2262263.2043010755</v>
      </c>
      <c r="AK99" s="75">
        <f t="shared" si="407"/>
        <v>2192296.301075269</v>
      </c>
      <c r="AL99" s="76">
        <f t="shared" si="408"/>
        <v>2332230.1075268821</v>
      </c>
      <c r="AM99" s="76">
        <f t="shared" si="409"/>
        <v>2262263.2043010755</v>
      </c>
      <c r="AN99" s="76">
        <f t="shared" si="410"/>
        <v>2192296.301075269</v>
      </c>
      <c r="AO99" s="77">
        <f>_xlfn.XLOOKUP(A99,'[1]My Input'!$B:$B,'[1]My Input'!$T:$T)</f>
        <v>0</v>
      </c>
      <c r="AP99" s="78">
        <f>_xlfn.XLOOKUP(A99,'[1]My Input'!$B:$B,'[1]My Input'!$S:$S)</f>
        <v>0</v>
      </c>
      <c r="AQ99" s="67">
        <f>_xlfn.XLOOKUP(A99,'[1]My Input'!$B:$B,'[1]My Input'!$U:$U)</f>
        <v>0.55000000000000004</v>
      </c>
      <c r="AS99" s="103">
        <f>_xlfn.XLOOKUP(A99,'[1]My Input'!$B:$B,'[1]My Input'!$Q:$Q)</f>
        <v>0</v>
      </c>
      <c r="AU99" s="74" t="s">
        <v>41</v>
      </c>
      <c r="AV99" s="67" cm="1">
        <f t="array" ref="AV99">_xlfn.IFS(
 AND(AY99="ICE",  AP99&lt;=1400,AND(AK99&gt;900000,  AK99&lt;=1100000)),                    80%,
 AND(AY99="ICE",  AP99&lt;=1400,AK99&gt;1100000),                                       90%,
 AND(AY99="ICE",  AND(AP99&gt;1400,AP99&lt;=1600),   AK99&lt;=850000),                      75%,
 AND(AY99="ICE",  AND(AP99&gt;1400,AP99&lt;=1600),   AND(AK99&gt;850000,AK99&lt;=1100000)),     80%,
 AND(AY99="ICE",  AND(AP99&gt;1400,AP99&lt;=1600),   AND(AK99&gt;1100000,AK99&lt;=1650000)),    90%,
 AND(AY99="ICE",  AND(AP99&gt;1400,AP99&lt;=1600),   AK99&gt;1650000),                      100%,
 AND(AY99="ICE",  AND(AP99&gt;1600,AP99&lt;=2000),   AK99&lt;=1650000),                     150%,
 AND(AY99="ICE",  AND(AP99&gt;1600,AP99&lt;=2000),   AK99&gt;1650000),                      170%,
 AND(AY99="ICE",  AP99&gt;2000),                                                    220%,
 AND(AY99="PHEV",  AP99&lt;=1600,                AK99&lt;=1350000),                     45%,
 AND(AY99="PHEV",  AP99&lt;=1600,                AK99&gt;1350000),                      75%,
 AND(AY99="PHEV",  AND(AP99&gt;1600,AP99&lt;=1800),  AK99&lt;=1350000),                     85%,
 AND(AY99="BEV",    AZ99&lt;=160,                 AK99&lt;=1650000),                     25%,
 AND(AY99="BEV",    AZ99&lt;=160,                 AK99&gt;1650000),                      55%,
 AND(AY99="BEV",    AZ99&gt; 160,                 AK99&lt;=1650000),                     65%,
 AND(AY99="BEV",    AZ99&gt; 160,                 AK99&gt;1650000),                      75%)</f>
        <v>0.55000000000000004</v>
      </c>
      <c r="AW99" s="67" cm="1">
        <f t="array" ref="AW99">_xlfn.IFS(
 X99=0,AV99,
 AND(AY99="ICE",  AP99&lt;=1400,AND((AJ99-BA99)&gt;900000,  (AJ99-BA99)&lt;=1100000)),                    80%,
 AND(AY99="ICE",  AP99&lt;=1400,(AJ99-BA99)&gt;1100000),                                       90%,
 AND(AY99="ICE",  AND(AP99&gt;1400,AP99&lt;=1600),   (AJ99-BA99)&lt;=850000),                      75%,
 AND(AY99="ICE",  AND(AP99&gt;1400,AP99&lt;=1600),   AND((AJ99-BA99)&gt;850000,(AJ99-BA99)&lt;=1100000)),     80%,
 AND(AY99="ICE",  AND(AP99&gt;1400,AP99&lt;=1600),   AND((AJ99-BA99)&gt;1100000,(AJ99-BA99)&lt;=1650000)),    90%,
 AND(AY99="ICE",  AND(AP99&gt;1400,AP99&lt;=1600),   (AJ99-BA99)&gt;1650000),                      100%,
 AND(AY99="ICE",  AND(AP99&gt;1600,AP99&lt;=2000),   (AJ99-BA99)&lt;=1650000),                     150%,
 AND(AY99="ICE",  AND(AP99&gt;1600,AP99&lt;=2000),   (AJ99-BA99)&gt;1650000),                      170%,
 AND(AY99="ICE",  AP99&gt;2000),                                                    220%,
 AND(AY99="PHEV",  AP99&lt;=1600,                (AJ99-BA99)&lt;=1350000),                     45%,
 AND(AY99="PHEV",  AP99&lt;=1600,                (AJ99-BA99)&gt;1350000),                      75%,
 AND(AY99="PHEV",  AND(AP99&gt;1600,AP99&lt;=1800),  (AJ99-BA99)&lt;=1350000),                     85%,
 AND(AY99="BEV",    AZ99&lt;=160,                 (AJ99-BA99)&lt;=1650000),                     25%,
 AND(AY99="BEV",    AZ99&lt;=160,                 (AJ99-BA99)&gt;1650000),                      55%,
 AND(AY99="BEV",    AZ99&gt; 160,                 (AJ99-BA99)&lt;=1650000),                     65%,
 AND(AY99="BEV",    AZ99&gt; 160,                 (AJ99-BA99)&gt;1650000),                      75%)</f>
        <v>0.55000000000000004</v>
      </c>
      <c r="AX99" s="67" cm="1">
        <f t="array" ref="AX99">_xlfn.IFS(
 AD99=0,AV99,
 AND(AY99="ICE",  AP99&lt;=1400,AND(AJ99&gt;900000,  AJ99&lt;=1100000)),                    80%,
 AND(AY99="ICE",  AP99&lt;=1400,AJ99&gt;1100000),                                       90%,
 AND(AY99="ICE",  AND(AP99&gt;1400,AP99&lt;=1600),   AJ99&lt;=850000),                      75%,
 AND(AY99="ICE",  AND(AP99&gt;1400,AP99&lt;=1600),   AND(AJ99&gt;850000,AJ99&lt;=1100000)),     80%,
 AND(AY99="ICE",  AND(AP99&gt;1400,AP99&lt;=1600),   AND(AJ99&gt;1100000,AJ99&lt;=1650000)),    90%,
 AND(AY99="ICE",  AND(AP99&gt;1400,AP99&lt;=1600),   AJ99&gt;1650000),                      100%,
 AND(AY99="ICE",  AND(AP99&gt;1600,AP99&lt;=2000),   AJ99&lt;=1650000),                     150%,
 AND(AY99="ICE",  AND(AP99&gt;1600,AP99&lt;=2000),   AJ99&gt;1650000),                      170%,
 AND(AY99="ICE",  AP99&gt;2000),                                                    220%,
 AND(AY99="PHEV",  AP99&lt;=1600,                AJ99&lt;=1350000),                     45%,
 AND(AY99="PHEV",  AP99&lt;=1600,                AJ99&gt;1350000),                      75%,
 AND(AY99="PHEV",  AND(AP99&gt;1600,AP99&lt;=1800),  AJ99&lt;=1350000),                     85%,
 AND(AY99="BEV",    AZ99&lt;=160,                 AJ99&lt;=1650000),                     25%,
 AND(AY99="BEV",    AZ99&lt;=160,                 AJ99&gt;1650000),                      55%,
 AND(AY99="BEV",    AZ99&gt; 160,                 AJ99&lt;=1650000),                     65%,
 AND(AY99="BEV",    AZ99&gt; 160,                 AJ99&gt;1650000),                      75%)</f>
        <v>0.55000000000000004</v>
      </c>
      <c r="AY99" s="80" t="str">
        <f>_xlfn.XLOOKUP(A99,'[1]My Input'!$B:$B,'[1]My Input'!$V:$V)</f>
        <v>BEV</v>
      </c>
      <c r="AZ99" s="80">
        <f>_xlfn.IFNA(_xlfn.XLOOKUP(A99,'[1]kW Tescil'!$A:$A,'[1]kW Tescil'!$C:$C),"-")</f>
        <v>150</v>
      </c>
      <c r="BA99" s="81">
        <f>_xlfn.XLOOKUP(A99,'[1]My Input'!$B:$B,'[1]My Input'!$H:$H)</f>
        <v>0</v>
      </c>
      <c r="BC99" s="82">
        <v>0</v>
      </c>
      <c r="BD99" s="82">
        <v>0</v>
      </c>
      <c r="BF99" s="83">
        <v>0</v>
      </c>
      <c r="BG99" s="83">
        <v>0</v>
      </c>
      <c r="BI99" s="84">
        <v>164108.65483236965</v>
      </c>
      <c r="BL99" s="83">
        <v>0</v>
      </c>
    </row>
    <row r="100" spans="1:64" s="117" customFormat="1" ht="6.6" customHeight="1" thickBot="1" x14ac:dyDescent="0.3">
      <c r="A100" s="57"/>
      <c r="B100" s="57"/>
      <c r="C100" s="104"/>
      <c r="D100" s="239"/>
      <c r="E100" s="240"/>
      <c r="F100" s="240"/>
      <c r="G100" s="110"/>
      <c r="H100" s="108"/>
      <c r="I100" s="109"/>
      <c r="J100" s="65"/>
      <c r="K100" s="108"/>
      <c r="L100" s="109"/>
      <c r="M100" s="110"/>
      <c r="N100" s="108"/>
      <c r="O100" s="108"/>
      <c r="P100" s="219"/>
      <c r="Q100" s="219"/>
      <c r="R100" s="244"/>
      <c r="S100" s="65"/>
      <c r="T100" s="108"/>
      <c r="U100" s="108"/>
      <c r="V100" s="219"/>
      <c r="W100" s="219"/>
      <c r="X100" s="166"/>
      <c r="Y100" s="65"/>
      <c r="Z100" s="108"/>
      <c r="AA100" s="108"/>
      <c r="AB100" s="219"/>
      <c r="AC100" s="219"/>
      <c r="AD100" s="167"/>
      <c r="AE100" s="114"/>
      <c r="AF100" s="115"/>
      <c r="AG100" s="19"/>
      <c r="AH100" s="116"/>
      <c r="AJ100" s="116"/>
      <c r="AK100" s="21"/>
      <c r="AL100" s="20"/>
      <c r="AM100" s="76"/>
      <c r="AN100" s="20"/>
      <c r="AO100" s="116"/>
      <c r="AP100" s="78"/>
      <c r="AQ100" s="67"/>
      <c r="AS100" s="118"/>
      <c r="AU100" s="74" t="s">
        <v>41</v>
      </c>
      <c r="AV100" s="67"/>
      <c r="AW100" s="67"/>
      <c r="AX100" s="67"/>
      <c r="AY100" s="80"/>
      <c r="AZ100" s="80"/>
      <c r="BA100" s="81"/>
      <c r="BC100" s="82">
        <v>0</v>
      </c>
      <c r="BD100" s="82">
        <v>0</v>
      </c>
      <c r="BF100" s="83">
        <v>0</v>
      </c>
      <c r="BG100" s="83">
        <v>0</v>
      </c>
      <c r="BI100" s="84">
        <v>0</v>
      </c>
      <c r="BL100" s="83">
        <v>0</v>
      </c>
    </row>
    <row r="101" spans="1:64" s="74" customFormat="1" ht="15" customHeight="1" x14ac:dyDescent="0.25">
      <c r="A101" s="57" t="s">
        <v>134</v>
      </c>
      <c r="B101" s="57" t="str">
        <f t="shared" ref="B101:B131" si="423">D101&amp;E101&amp;F101</f>
        <v>MBGLB 200AMG</v>
      </c>
      <c r="C101" s="58" t="s">
        <v>37</v>
      </c>
      <c r="D101" s="59" t="s">
        <v>47</v>
      </c>
      <c r="E101" s="60" t="s">
        <v>135</v>
      </c>
      <c r="F101" s="61" t="s">
        <v>49</v>
      </c>
      <c r="G101" s="65"/>
      <c r="H101" s="63">
        <f>H85</f>
        <v>4918931</v>
      </c>
      <c r="I101" s="64">
        <f>H101/$H$105*$I$105</f>
        <v>89.535779865943823</v>
      </c>
      <c r="J101" s="65">
        <v>0.04</v>
      </c>
      <c r="K101" s="63">
        <f>(((H101-AO101)/(1+AQ101)/1.2/$AS$1)+AS101)*(1+AQ101)*(1.2)*$AS$1+AO101</f>
        <v>5061254.3</v>
      </c>
      <c r="L101" s="64">
        <f>K101/$K$105*$L$105</f>
        <v>92.126389016304884</v>
      </c>
      <c r="M101" s="65"/>
      <c r="N101" s="63">
        <f>AN101*1.2*(1+AV101)+AO101</f>
        <v>4858804.1280000005</v>
      </c>
      <c r="O101" s="63">
        <f>AK101*1.2*(1+AV101)+AO101</f>
        <v>4722173.7600000007</v>
      </c>
      <c r="P101" s="241">
        <f>IF(ISNUMBER(O101),O101/$O$105*$P$105,"")</f>
        <v>93.428639860115297</v>
      </c>
      <c r="Q101" s="241">
        <f>IF(ISNUMBER(N101),N101/$N$105*$Q$105,"")</f>
        <v>96.131884190926868</v>
      </c>
      <c r="R101" s="67">
        <f>_xlfn.XLOOKUP(A101,'[1]My Input'!$B:$B,'[1]My Input'!$F:$F)</f>
        <v>0</v>
      </c>
      <c r="S101" s="65"/>
      <c r="T101" s="63">
        <f>IF(X101&lt;&gt;0,AM101*1.2*(1+AW101)+AO101-X101,AN101*1.2*(1+AV101)+AO101)</f>
        <v>4858804.1280000005</v>
      </c>
      <c r="U101" s="63">
        <f>IF(X101&lt;&gt;0,AJ101*1.2*(1+AW101)+AO101-X101,AK101*1.2*(1+AV101)+AO101)</f>
        <v>4722173.7600000007</v>
      </c>
      <c r="V101" s="241">
        <f>IF(ISNUMBER(U101),U101/$U$105*$V$105,"")</f>
        <v>93.428639860115297</v>
      </c>
      <c r="W101" s="241">
        <f>IF(ISNUMBER(T101),T101/$T$105*$W$105,"")</f>
        <v>96.131884190926868</v>
      </c>
      <c r="X101" s="68">
        <f>_xlfn.XLOOKUP(A101,'[1]My Input'!$B:$B,'[1]My Input'!$I:$I)</f>
        <v>0</v>
      </c>
      <c r="Y101" s="65"/>
      <c r="Z101" s="63">
        <f t="shared" ref="Z101:Z131" si="424">IF(AD101&lt;&gt;0,AM101*1.2*(1+AQ101)+AO101-AD101,AL101*(1-AG101)*1.2*(1+AQ101)+AO101)</f>
        <v>4777987.2980000004</v>
      </c>
      <c r="AA101" s="63">
        <f>IF(AD101&lt;&gt;0,AJ101*1.2*(1+AX101)+AO101-AD101,AH101*(1-AG101)*1.2*(1+AV101)+AO101)</f>
        <v>4641356.9300000006</v>
      </c>
      <c r="AB101" s="241">
        <f>IF(ISNUMBER(AA101),AA101/$AA$105*$AB$105,"")</f>
        <v>89.732528926674519</v>
      </c>
      <c r="AC101" s="241">
        <f>IF(ISNUMBER(Z101),Z101/$Z$105*$AC$105,"")</f>
        <v>92.374038432133361</v>
      </c>
      <c r="AD101" s="69">
        <f>_xlfn.XLOOKUP(A101,'[1]My Input'!$B:$B,'[1]My Input'!$N:$N)</f>
        <v>80816.83</v>
      </c>
      <c r="AE101" s="70"/>
      <c r="AF101" s="71">
        <f>_xlfn.XLOOKUP(A101,'[1]My Input'!$B:$B,'[1]My Input'!$E:$E)</f>
        <v>0.04</v>
      </c>
      <c r="AG101" s="72">
        <f>_xlfn.XLOOKUP(A101,'[1]My Input'!$B:$B,'[1]My Input'!$G:$G)</f>
        <v>0.04</v>
      </c>
      <c r="AH101" s="73">
        <f>(H101-AO101)/1.2/(1+AQ101)</f>
        <v>2157425.8771929829</v>
      </c>
      <c r="AJ101" s="73">
        <f>AH101*(1-AF101)</f>
        <v>2071128.8421052636</v>
      </c>
      <c r="AK101" s="75">
        <f>AH101*(1-AF101-R101)</f>
        <v>2071128.8421052636</v>
      </c>
      <c r="AL101" s="76">
        <f>(K101-AO101)/1.2/(1+AQ101)</f>
        <v>2219848.3771929829</v>
      </c>
      <c r="AM101" s="76">
        <f>AL101*(1-AF101)</f>
        <v>2131054.4421052635</v>
      </c>
      <c r="AN101" s="76">
        <f>AL101*(1-AF101-R101)</f>
        <v>2131054.4421052635</v>
      </c>
      <c r="AO101" s="77">
        <f>_xlfn.XLOOKUP(A101,'[1]My Input'!$B:$B,'[1]My Input'!$T:$T)</f>
        <v>0</v>
      </c>
      <c r="AP101" s="78">
        <f>_xlfn.XLOOKUP(A101,'[1]My Input'!$B:$B,'[1]My Input'!$S:$S)</f>
        <v>1300</v>
      </c>
      <c r="AQ101" s="67">
        <f>_xlfn.XLOOKUP(A101,'[1]My Input'!$B:$B,'[1]My Input'!$U:$U)</f>
        <v>0.9</v>
      </c>
      <c r="AS101" s="155">
        <v>1189</v>
      </c>
      <c r="AU101" s="74" t="s">
        <v>41</v>
      </c>
      <c r="AV101" s="67" cm="1">
        <f t="array" ref="AV101">_xlfn.IFS(
 AND(AY101="ICE",  AP101&lt;=1400,AND(AK101&gt;900000,  AK101&lt;=1100000)),                    80%,
 AND(AY101="ICE",  AP101&lt;=1400,AK101&gt;1100000),                                       90%,
 AND(AY101="ICE",  AND(AP101&gt;1400,AP101&lt;=1600),   AK101&lt;=850000),                      75%,
 AND(AY101="ICE",  AND(AP101&gt;1400,AP101&lt;=1600),   AND(AK101&gt;850000,AK101&lt;=1100000)),     80%,
 AND(AY101="ICE",  AND(AP101&gt;1400,AP101&lt;=1600),   AND(AK101&gt;1100000,AK101&lt;=1650000)),    90%,
 AND(AY101="ICE",  AND(AP101&gt;1400,AP101&lt;=1600),   AK101&gt;1650000),                      100%,
 AND(AY101="ICE",  AND(AP101&gt;1600,AP101&lt;=2000),   AK101&lt;=1650000),                     150%,
 AND(AY101="ICE",  AND(AP101&gt;1600,AP101&lt;=2000),   AK101&gt;1650000),                      170%,
 AND(AY101="ICE",  AP101&gt;2000),                                                    220%,
 AND(AY101="PHEV",  AP101&lt;=1600,                AK101&lt;=1350000),                     45%,
 AND(AY101="PHEV",  AP101&lt;=1600,                AK101&gt;1350000),                      75%,
 AND(AY101="PHEV",  AND(AP101&gt;1600,AP101&lt;=1800),  AK101&lt;=1350000),                     85%,
 AND(AY101="BEV",    AZ101&lt;=160,                 AK101&lt;=1650000),                     25%,
 AND(AY101="BEV",    AZ101&lt;=160,                 AK101&gt;1650000),                      55%,
 AND(AY101="BEV",    AZ101&gt; 160,                 AK101&lt;=1650000),                     65%,
 AND(AY101="BEV",    AZ101&gt; 160,                 AK101&gt;1650000),                      75%)</f>
        <v>0.9</v>
      </c>
      <c r="AW101" s="67" cm="1">
        <f t="array" ref="AW101">_xlfn.IFS(
 X101=0,AV101,
 AND(AY101="ICE",  AP101&lt;=1400,AND((AJ101-BA101)&gt;900000,  (AJ101-BA101)&lt;=1100000)),                    80%,
 AND(AY101="ICE",  AP101&lt;=1400,(AJ101-BA101)&gt;1100000),                                       90%,
 AND(AY101="ICE",  AND(AP101&gt;1400,AP101&lt;=1600),   (AJ101-BA101)&lt;=850000),                      75%,
 AND(AY101="ICE",  AND(AP101&gt;1400,AP101&lt;=1600),   AND((AJ101-BA101)&gt;850000,(AJ101-BA101)&lt;=1100000)),     80%,
 AND(AY101="ICE",  AND(AP101&gt;1400,AP101&lt;=1600),   AND((AJ101-BA101)&gt;1100000,(AJ101-BA101)&lt;=1650000)),    90%,
 AND(AY101="ICE",  AND(AP101&gt;1400,AP101&lt;=1600),   (AJ101-BA101)&gt;1650000),                      100%,
 AND(AY101="ICE",  AND(AP101&gt;1600,AP101&lt;=2000),   (AJ101-BA101)&lt;=1650000),                     150%,
 AND(AY101="ICE",  AND(AP101&gt;1600,AP101&lt;=2000),   (AJ101-BA101)&gt;1650000),                      170%,
 AND(AY101="ICE",  AP101&gt;2000),                                                    220%,
 AND(AY101="PHEV",  AP101&lt;=1600,                (AJ101-BA101)&lt;=1350000),                     45%,
 AND(AY101="PHEV",  AP101&lt;=1600,                (AJ101-BA101)&gt;1350000),                      75%,
 AND(AY101="PHEV",  AND(AP101&gt;1600,AP101&lt;=1800),  (AJ101-BA101)&lt;=1350000),                     85%,
 AND(AY101="BEV",    AZ101&lt;=160,                 (AJ101-BA101)&lt;=1650000),                     25%,
 AND(AY101="BEV",    AZ101&lt;=160,                 (AJ101-BA101)&gt;1650000),                      55%,
 AND(AY101="BEV",    AZ101&gt; 160,                 (AJ101-BA101)&lt;=1650000),                     65%,
 AND(AY101="BEV",    AZ101&gt; 160,                 (AJ101-BA101)&gt;1650000),                      75%)</f>
        <v>0.9</v>
      </c>
      <c r="AX101" s="67" cm="1">
        <f t="array" ref="AX101">_xlfn.IFS(
 AD101=0,AV101,
 AND(AY101="ICE",  AP101&lt;=1400,AND(AJ101&gt;900000,  AJ101&lt;=1100000)),                    80%,
 AND(AY101="ICE",  AP101&lt;=1400,AJ101&gt;1100000),                                       90%,
 AND(AY101="ICE",  AND(AP101&gt;1400,AP101&lt;=1600),   AJ101&lt;=850000),                      75%,
 AND(AY101="ICE",  AND(AP101&gt;1400,AP101&lt;=1600),   AND(AJ101&gt;850000,AJ101&lt;=1100000)),     80%,
 AND(AY101="ICE",  AND(AP101&gt;1400,AP101&lt;=1600),   AND(AJ101&gt;1100000,AJ101&lt;=1650000)),    90%,
 AND(AY101="ICE",  AND(AP101&gt;1400,AP101&lt;=1600),   AJ101&gt;1650000),                      100%,
 AND(AY101="ICE",  AND(AP101&gt;1600,AP101&lt;=2000),   AJ101&lt;=1650000),                     150%,
 AND(AY101="ICE",  AND(AP101&gt;1600,AP101&lt;=2000),   AJ101&gt;1650000),                      170%,
 AND(AY101="ICE",  AP101&gt;2000),                                                    220%,
 AND(AY101="PHEV",  AP101&lt;=1600,                AJ101&lt;=1350000),                     45%,
 AND(AY101="PHEV",  AP101&lt;=1600,                AJ101&gt;1350000),                      75%,
 AND(AY101="PHEV",  AND(AP101&gt;1600,AP101&lt;=1800),  AJ101&lt;=1350000),                     85%,
 AND(AY101="BEV",    AZ101&lt;=160,                 AJ101&lt;=1650000),                     25%,
 AND(AY101="BEV",    AZ101&lt;=160,                 AJ101&gt;1650000),                      55%,
 AND(AY101="BEV",    AZ101&gt; 160,                 AJ101&lt;=1650000),                     65%,
 AND(AY101="BEV",    AZ101&gt; 160,                 AJ101&gt;1650000),                      75%)</f>
        <v>0.9</v>
      </c>
      <c r="AY101" s="80" t="str">
        <f>_xlfn.XLOOKUP(A101,'[1]My Input'!$B:$B,'[1]My Input'!$V:$V)</f>
        <v>ICE</v>
      </c>
      <c r="AZ101" s="80" t="str">
        <f>_xlfn.IFNA(_xlfn.XLOOKUP(A101,'[1]kW Tescil'!$A:$A,'[1]kW Tescil'!$C:$C),"-")</f>
        <v>-</v>
      </c>
      <c r="BA101" s="81">
        <f>_xlfn.XLOOKUP(A101,'[1]My Input'!$B:$B,'[1]My Input'!$H:$H)</f>
        <v>0</v>
      </c>
      <c r="BC101" s="82">
        <v>6.8278000658367546</v>
      </c>
      <c r="BD101" s="82">
        <v>9.0185304674948128</v>
      </c>
      <c r="BF101" s="83">
        <v>7.6273471952442122</v>
      </c>
      <c r="BG101" s="83">
        <v>9.8402161352061768</v>
      </c>
      <c r="BI101" s="84">
        <v>604039.49560000049</v>
      </c>
      <c r="BL101" s="83">
        <v>8.7121034585137807</v>
      </c>
    </row>
    <row r="102" spans="1:64" s="74" customFormat="1" ht="15" customHeight="1" x14ac:dyDescent="0.25">
      <c r="A102" s="57" t="s">
        <v>136</v>
      </c>
      <c r="B102" s="57" t="str">
        <f t="shared" si="423"/>
        <v>MBGLA 200AMG</v>
      </c>
      <c r="C102" s="58" t="s">
        <v>37</v>
      </c>
      <c r="D102" s="86" t="s">
        <v>47</v>
      </c>
      <c r="E102" s="87" t="s">
        <v>137</v>
      </c>
      <c r="F102" s="88" t="s">
        <v>49</v>
      </c>
      <c r="G102" s="65"/>
      <c r="H102" s="89">
        <f>H86</f>
        <v>4400867</v>
      </c>
      <c r="I102" s="90">
        <f>H102/$H$105*$I$105</f>
        <v>80.105831720610951</v>
      </c>
      <c r="J102" s="65">
        <v>0.06</v>
      </c>
      <c r="K102" s="89">
        <f>(((H102-AO102)/(1+AQ102)/1.2/$AS$1)+AS102)*(1+AQ102)*(1.2)*$AS$1+AO102</f>
        <v>4543190.3</v>
      </c>
      <c r="L102" s="90">
        <f>K102/$K$105*$L$105</f>
        <v>82.696440870972026</v>
      </c>
      <c r="M102" s="65"/>
      <c r="N102" s="89">
        <f>AN102*1.2*(1+AV102)+AO102</f>
        <v>4270598.8820000002</v>
      </c>
      <c r="O102" s="89">
        <f>AK102*1.2*(1+AV102)+AO102</f>
        <v>4136814.9800000004</v>
      </c>
      <c r="P102" s="238">
        <f>IF(ISNUMBER(O102),O102/$O$105*$P$105,"")</f>
        <v>81.847262844972079</v>
      </c>
      <c r="Q102" s="238">
        <f>IF(ISNUMBER(N102),N102/$N$105*$Q$105,"")</f>
        <v>84.494189585558402</v>
      </c>
      <c r="R102" s="67">
        <f>_xlfn.XLOOKUP(A102,'[1]My Input'!$B:$B,'[1]My Input'!$F:$F)</f>
        <v>0</v>
      </c>
      <c r="S102" s="65"/>
      <c r="T102" s="89">
        <f>IF(X102&lt;&gt;0,AM102*1.2*(1+AW102)+AO102-X102,AN102*1.2*(1+AV102)+AO102)</f>
        <v>4270598.8820000002</v>
      </c>
      <c r="U102" s="89">
        <f>IF(X102&lt;&gt;0,AJ102*1.2*(1+AW102)+AO102-X102,AK102*1.2*(1+AV102)+AO102)</f>
        <v>4136814.9800000004</v>
      </c>
      <c r="V102" s="238">
        <f>IF(ISNUMBER(U102),U102/$U$105*$V$105,"")</f>
        <v>81.847262844972079</v>
      </c>
      <c r="W102" s="238">
        <f>IF(ISNUMBER(T102),T102/$T$105*$W$105,"")</f>
        <v>84.494189585558402</v>
      </c>
      <c r="X102" s="92">
        <f>_xlfn.XLOOKUP(A102,'[1]My Input'!$B:$B,'[1]My Input'!$I:$I)</f>
        <v>0</v>
      </c>
      <c r="Y102" s="65"/>
      <c r="Z102" s="89">
        <f t="shared" si="424"/>
        <v>4189782.0520000001</v>
      </c>
      <c r="AA102" s="89">
        <f>IF(AD102&lt;&gt;0,AJ102*1.2*(1+AX102)+AO102-AD102,AH102*(1-AG102)*1.2*(1+AV102)+AO102)</f>
        <v>4055998.1500000004</v>
      </c>
      <c r="AB102" s="238">
        <f>IF(ISNUMBER(AA102),AA102/$AA$105*$AB$105,"")</f>
        <v>78.415639393933304</v>
      </c>
      <c r="AC102" s="238">
        <f>IF(ISNUMBER(Z102),Z102/$Z$105*$AC$105,"")</f>
        <v>81.002117451361741</v>
      </c>
      <c r="AD102" s="93">
        <f>_xlfn.XLOOKUP(A102,'[1]My Input'!$B:$B,'[1]My Input'!$N:$N)</f>
        <v>80816.83</v>
      </c>
      <c r="AE102" s="70"/>
      <c r="AF102" s="71">
        <f>_xlfn.XLOOKUP(A102,'[1]My Input'!$B:$B,'[1]My Input'!$E:$E)</f>
        <v>0.06</v>
      </c>
      <c r="AG102" s="72">
        <f>_xlfn.XLOOKUP(A102,'[1]My Input'!$B:$B,'[1]My Input'!$G:$G)</f>
        <v>0.06</v>
      </c>
      <c r="AH102" s="73">
        <f>(H102-AO102)/1.2/(1+AQ102)</f>
        <v>1930204.8245614038</v>
      </c>
      <c r="AJ102" s="73">
        <f>AH102*(1-AF102)</f>
        <v>1814392.5350877196</v>
      </c>
      <c r="AK102" s="75">
        <f>AH102*(1-AF102-R102)</f>
        <v>1814392.5350877196</v>
      </c>
      <c r="AL102" s="76">
        <f>(K102-AO102)/1.2/(1+AQ102)</f>
        <v>1992627.3245614036</v>
      </c>
      <c r="AM102" s="76">
        <f>AL102*(1-AF102)</f>
        <v>1873069.6850877192</v>
      </c>
      <c r="AN102" s="76">
        <f>AL102*(1-AF102-R102)</f>
        <v>1873069.6850877192</v>
      </c>
      <c r="AO102" s="77">
        <f>_xlfn.XLOOKUP(A102,'[1]My Input'!$B:$B,'[1]My Input'!$T:$T)</f>
        <v>0</v>
      </c>
      <c r="AP102" s="78">
        <f>_xlfn.XLOOKUP(A102,'[1]My Input'!$B:$B,'[1]My Input'!$S:$S)</f>
        <v>1300</v>
      </c>
      <c r="AQ102" s="67">
        <f>_xlfn.XLOOKUP(A102,'[1]My Input'!$B:$B,'[1]My Input'!$U:$U)</f>
        <v>0.9</v>
      </c>
      <c r="AS102" s="155">
        <v>1189</v>
      </c>
      <c r="AU102" s="74" t="s">
        <v>41</v>
      </c>
      <c r="AV102" s="67" cm="1">
        <f t="array" ref="AV102">_xlfn.IFS(
 AND(AY102="ICE",  AP102&lt;=1400,AND(AK102&gt;900000,  AK102&lt;=1100000)),                    80%,
 AND(AY102="ICE",  AP102&lt;=1400,AK102&gt;1100000),                                       90%,
 AND(AY102="ICE",  AND(AP102&gt;1400,AP102&lt;=1600),   AK102&lt;=850000),                      75%,
 AND(AY102="ICE",  AND(AP102&gt;1400,AP102&lt;=1600),   AND(AK102&gt;850000,AK102&lt;=1100000)),     80%,
 AND(AY102="ICE",  AND(AP102&gt;1400,AP102&lt;=1600),   AND(AK102&gt;1100000,AK102&lt;=1650000)),    90%,
 AND(AY102="ICE",  AND(AP102&gt;1400,AP102&lt;=1600),   AK102&gt;1650000),                      100%,
 AND(AY102="ICE",  AND(AP102&gt;1600,AP102&lt;=2000),   AK102&lt;=1650000),                     150%,
 AND(AY102="ICE",  AND(AP102&gt;1600,AP102&lt;=2000),   AK102&gt;1650000),                      170%,
 AND(AY102="ICE",  AP102&gt;2000),                                                    220%,
 AND(AY102="PHEV",  AP102&lt;=1600,                AK102&lt;=1350000),                     45%,
 AND(AY102="PHEV",  AP102&lt;=1600,                AK102&gt;1350000),                      75%,
 AND(AY102="PHEV",  AND(AP102&gt;1600,AP102&lt;=1800),  AK102&lt;=1350000),                     85%,
 AND(AY102="BEV",    AZ102&lt;=160,                 AK102&lt;=1650000),                     25%,
 AND(AY102="BEV",    AZ102&lt;=160,                 AK102&gt;1650000),                      55%,
 AND(AY102="BEV",    AZ102&gt; 160,                 AK102&lt;=1650000),                     65%,
 AND(AY102="BEV",    AZ102&gt; 160,                 AK102&gt;1650000),                      75%)</f>
        <v>0.9</v>
      </c>
      <c r="AW102" s="67" cm="1">
        <f t="array" ref="AW102">_xlfn.IFS(
 X102=0,AV102,
 AND(AY102="ICE",  AP102&lt;=1400,AND((AJ102-BA102)&gt;900000,  (AJ102-BA102)&lt;=1100000)),                    80%,
 AND(AY102="ICE",  AP102&lt;=1400,(AJ102-BA102)&gt;1100000),                                       90%,
 AND(AY102="ICE",  AND(AP102&gt;1400,AP102&lt;=1600),   (AJ102-BA102)&lt;=850000),                      75%,
 AND(AY102="ICE",  AND(AP102&gt;1400,AP102&lt;=1600),   AND((AJ102-BA102)&gt;850000,(AJ102-BA102)&lt;=1100000)),     80%,
 AND(AY102="ICE",  AND(AP102&gt;1400,AP102&lt;=1600),   AND((AJ102-BA102)&gt;1100000,(AJ102-BA102)&lt;=1650000)),    90%,
 AND(AY102="ICE",  AND(AP102&gt;1400,AP102&lt;=1600),   (AJ102-BA102)&gt;1650000),                      100%,
 AND(AY102="ICE",  AND(AP102&gt;1600,AP102&lt;=2000),   (AJ102-BA102)&lt;=1650000),                     150%,
 AND(AY102="ICE",  AND(AP102&gt;1600,AP102&lt;=2000),   (AJ102-BA102)&gt;1650000),                      170%,
 AND(AY102="ICE",  AP102&gt;2000),                                                    220%,
 AND(AY102="PHEV",  AP102&lt;=1600,                (AJ102-BA102)&lt;=1350000),                     45%,
 AND(AY102="PHEV",  AP102&lt;=1600,                (AJ102-BA102)&gt;1350000),                      75%,
 AND(AY102="PHEV",  AND(AP102&gt;1600,AP102&lt;=1800),  (AJ102-BA102)&lt;=1350000),                     85%,
 AND(AY102="BEV",    AZ102&lt;=160,                 (AJ102-BA102)&lt;=1650000),                     25%,
 AND(AY102="BEV",    AZ102&lt;=160,                 (AJ102-BA102)&gt;1650000),                      55%,
 AND(AY102="BEV",    AZ102&gt; 160,                 (AJ102-BA102)&lt;=1650000),                     65%,
 AND(AY102="BEV",    AZ102&gt; 160,                 (AJ102-BA102)&gt;1650000),                      75%)</f>
        <v>0.9</v>
      </c>
      <c r="AX102" s="67" cm="1">
        <f t="array" ref="AX102">_xlfn.IFS(
 AD102=0,AV102,
 AND(AY102="ICE",  AP102&lt;=1400,AND(AJ102&gt;900000,  AJ102&lt;=1100000)),                    80%,
 AND(AY102="ICE",  AP102&lt;=1400,AJ102&gt;1100000),                                       90%,
 AND(AY102="ICE",  AND(AP102&gt;1400,AP102&lt;=1600),   AJ102&lt;=850000),                      75%,
 AND(AY102="ICE",  AND(AP102&gt;1400,AP102&lt;=1600),   AND(AJ102&gt;850000,AJ102&lt;=1100000)),     80%,
 AND(AY102="ICE",  AND(AP102&gt;1400,AP102&lt;=1600),   AND(AJ102&gt;1100000,AJ102&lt;=1650000)),    90%,
 AND(AY102="ICE",  AND(AP102&gt;1400,AP102&lt;=1600),   AJ102&gt;1650000),                      100%,
 AND(AY102="ICE",  AND(AP102&gt;1600,AP102&lt;=2000),   AJ102&lt;=1650000),                     150%,
 AND(AY102="ICE",  AND(AP102&gt;1600,AP102&lt;=2000),   AJ102&gt;1650000),                      170%,
 AND(AY102="ICE",  AP102&gt;2000),                                                    220%,
 AND(AY102="PHEV",  AP102&lt;=1600,                AJ102&lt;=1350000),                     45%,
 AND(AY102="PHEV",  AP102&lt;=1600,                AJ102&gt;1350000),                      75%,
 AND(AY102="PHEV",  AND(AP102&gt;1600,AP102&lt;=1800),  AJ102&lt;=1350000),                     85%,
 AND(AY102="BEV",    AZ102&lt;=160,                 AJ102&lt;=1650000),                     25%,
 AND(AY102="BEV",    AZ102&lt;=160,                 AJ102&gt;1650000),                      55%,
 AND(AY102="BEV",    AZ102&gt; 160,                 AJ102&lt;=1650000),                     65%,
 AND(AY102="BEV",    AZ102&gt; 160,                 AJ102&gt;1650000),                      75%)</f>
        <v>0.9</v>
      </c>
      <c r="AY102" s="80" t="str">
        <f>_xlfn.XLOOKUP(A102,'[1]My Input'!$B:$B,'[1]My Input'!$V:$V)</f>
        <v>ICE</v>
      </c>
      <c r="AZ102" s="80" t="str">
        <f>_xlfn.IFNA(_xlfn.XLOOKUP(A102,'[1]kW Tescil'!$A:$A,'[1]kW Tescil'!$C:$C),"-")</f>
        <v>-</v>
      </c>
      <c r="BA102" s="81">
        <f>_xlfn.XLOOKUP(A102,'[1]My Input'!$B:$B,'[1]My Input'!$H:$H)</f>
        <v>0</v>
      </c>
      <c r="BC102" s="82">
        <v>4.2639531434805917</v>
      </c>
      <c r="BD102" s="82">
        <v>6.4688126913313795</v>
      </c>
      <c r="BF102" s="83">
        <v>4.9868915315454814</v>
      </c>
      <c r="BG102" s="83">
        <v>7.2141251340650996</v>
      </c>
      <c r="BI102" s="84">
        <v>457322.9859000002</v>
      </c>
      <c r="BL102" s="83">
        <v>5.8369802533853345</v>
      </c>
    </row>
    <row r="103" spans="1:64" s="74" customFormat="1" ht="15" customHeight="1" x14ac:dyDescent="0.25">
      <c r="A103" s="57" t="s">
        <v>136</v>
      </c>
      <c r="B103" s="57" t="str">
        <f t="shared" si="423"/>
        <v>MBGLA 200AMG</v>
      </c>
      <c r="C103" s="85" t="s">
        <v>42</v>
      </c>
      <c r="D103" s="86" t="s">
        <v>47</v>
      </c>
      <c r="E103" s="87" t="s">
        <v>137</v>
      </c>
      <c r="F103" s="88" t="s">
        <v>49</v>
      </c>
      <c r="G103" s="65"/>
      <c r="H103" s="89">
        <v>4615867</v>
      </c>
      <c r="I103" s="90">
        <f>H103/$H$105*$I$105</f>
        <v>84.019322816781624</v>
      </c>
      <c r="J103" s="65">
        <v>0.01</v>
      </c>
      <c r="K103" s="89">
        <f>(((H103-AO103)/(1+AQ103)/1.2/$AS$1)+AS103)*(1+AQ103)*(1.2)*$AS$1+AO103</f>
        <v>4758190.3</v>
      </c>
      <c r="L103" s="90">
        <f>K103/$K$105*$L$105</f>
        <v>86.6099319671427</v>
      </c>
      <c r="M103" s="65"/>
      <c r="N103" s="89">
        <f>AN103*1.2*(1+AV103)+AO103</f>
        <v>4710608.3969999999</v>
      </c>
      <c r="O103" s="89">
        <f>AK103*1.2*(1+AV103)+AO103</f>
        <v>4569708.33</v>
      </c>
      <c r="P103" s="238">
        <f>IF(ISNUMBER(O103),O103/$O$105*$P$105,"")</f>
        <v>90.412097378928067</v>
      </c>
      <c r="Q103" s="238">
        <f>IF(ISNUMBER(N103),N103/$N$105*$Q$105,"")</f>
        <v>93.199818095077504</v>
      </c>
      <c r="R103" s="67">
        <f>_xlfn.XLOOKUP(A103,'[1]My Input'!$B:$B,'[1]My Input'!$F:$F)</f>
        <v>0</v>
      </c>
      <c r="S103" s="65"/>
      <c r="T103" s="89">
        <f>IF(X103&lt;&gt;0,AM103*1.2*(1+AW103)+AO103-X103,AN103*1.2*(1+AV103)+AO103)</f>
        <v>4710608.3969999999</v>
      </c>
      <c r="U103" s="89">
        <f>IF(X103&lt;&gt;0,AJ103*1.2*(1+AW103)+AO103-X103,AK103*1.2*(1+AV103)+AO103)</f>
        <v>4569708.33</v>
      </c>
      <c r="V103" s="238">
        <f>IF(ISNUMBER(U103),U103/$U$105*$V$105,"")</f>
        <v>90.412097378928067</v>
      </c>
      <c r="W103" s="238">
        <f>IF(ISNUMBER(T103),T103/$T$105*$W$105,"")</f>
        <v>93.199818095077504</v>
      </c>
      <c r="X103" s="92">
        <f>_xlfn.XLOOKUP(A103,'[1]My Input'!$B:$B,'[1]My Input'!$I:$I)</f>
        <v>0</v>
      </c>
      <c r="Y103" s="65"/>
      <c r="Z103" s="89">
        <f t="shared" si="424"/>
        <v>4629791.5669999998</v>
      </c>
      <c r="AA103" s="89">
        <f>IF(AD103&lt;&gt;0,AJ103*1.2*(1+AX103)+AO103-AD103,AH103*(1-AG103)*1.2*(1+AV103)+AO103)</f>
        <v>4488891.5</v>
      </c>
      <c r="AB103" s="238">
        <f>IF(ISNUMBER(AA103),AA103/$AA$105*$AB$105,"")</f>
        <v>86.784876157424364</v>
      </c>
      <c r="AC103" s="238">
        <f>IF(ISNUMBER(Z103),Z103/$Z$105*$AC$105,"")</f>
        <v>89.508932834928771</v>
      </c>
      <c r="AD103" s="93">
        <f>_xlfn.XLOOKUP(A103,'[1]My Input'!$B:$B,'[1]My Input'!$N:$N)</f>
        <v>80816.83</v>
      </c>
      <c r="AE103" s="70"/>
      <c r="AF103" s="71">
        <v>0.01</v>
      </c>
      <c r="AG103" s="208">
        <v>0.01</v>
      </c>
      <c r="AH103" s="73">
        <f>(H103-AO103)/1.2/(1+AQ103)</f>
        <v>2024503.0701754389</v>
      </c>
      <c r="AJ103" s="73">
        <f>AH103*(1-AF103)</f>
        <v>2004258.0394736845</v>
      </c>
      <c r="AK103" s="75">
        <f>AH103*(1-AF103-R103)</f>
        <v>2004258.0394736845</v>
      </c>
      <c r="AL103" s="76">
        <f>(K103-AO103)/1.2/(1+AQ103)</f>
        <v>2086925.5701754389</v>
      </c>
      <c r="AM103" s="76">
        <f>AL103*(1-AF103)</f>
        <v>2066056.3144736844</v>
      </c>
      <c r="AN103" s="76">
        <f>AL103*(1-AF103-R103)</f>
        <v>2066056.3144736844</v>
      </c>
      <c r="AO103" s="77">
        <f>_xlfn.XLOOKUP(A103,'[1]My Input'!$B:$B,'[1]My Input'!$T:$T)</f>
        <v>0</v>
      </c>
      <c r="AP103" s="78">
        <f>_xlfn.XLOOKUP(A103,'[1]My Input'!$B:$B,'[1]My Input'!$S:$S)</f>
        <v>1300</v>
      </c>
      <c r="AQ103" s="67">
        <f>_xlfn.XLOOKUP(A103,'[1]My Input'!$B:$B,'[1]My Input'!$U:$U)</f>
        <v>0.9</v>
      </c>
      <c r="AS103" s="155">
        <v>1189</v>
      </c>
      <c r="AU103" s="74" t="s">
        <v>41</v>
      </c>
      <c r="AV103" s="67" cm="1">
        <f t="array" ref="AV103">_xlfn.IFS(
 AND(AY103="ICE",  AP103&lt;=1400,AND(AK103&gt;900000,  AK103&lt;=1100000)),                    80%,
 AND(AY103="ICE",  AP103&lt;=1400,AK103&gt;1100000),                                       90%,
 AND(AY103="ICE",  AND(AP103&gt;1400,AP103&lt;=1600),   AK103&lt;=850000),                      75%,
 AND(AY103="ICE",  AND(AP103&gt;1400,AP103&lt;=1600),   AND(AK103&gt;850000,AK103&lt;=1100000)),     80%,
 AND(AY103="ICE",  AND(AP103&gt;1400,AP103&lt;=1600),   AND(AK103&gt;1100000,AK103&lt;=1650000)),    90%,
 AND(AY103="ICE",  AND(AP103&gt;1400,AP103&lt;=1600),   AK103&gt;1650000),                      100%,
 AND(AY103="ICE",  AND(AP103&gt;1600,AP103&lt;=2000),   AK103&lt;=1650000),                     150%,
 AND(AY103="ICE",  AND(AP103&gt;1600,AP103&lt;=2000),   AK103&gt;1650000),                      170%,
 AND(AY103="ICE",  AP103&gt;2000),                                                    220%,
 AND(AY103="PHEV",  AP103&lt;=1600,                AK103&lt;=1350000),                     45%,
 AND(AY103="PHEV",  AP103&lt;=1600,                AK103&gt;1350000),                      75%,
 AND(AY103="PHEV",  AND(AP103&gt;1600,AP103&lt;=1800),  AK103&lt;=1350000),                     85%,
 AND(AY103="BEV",    AZ103&lt;=160,                 AK103&lt;=1650000),                     25%,
 AND(AY103="BEV",    AZ103&lt;=160,                 AK103&gt;1650000),                      55%,
 AND(AY103="BEV",    AZ103&gt; 160,                 AK103&lt;=1650000),                     65%,
 AND(AY103="BEV",    AZ103&gt; 160,                 AK103&gt;1650000),                      75%)</f>
        <v>0.9</v>
      </c>
      <c r="AW103" s="67" cm="1">
        <f t="array" ref="AW103">_xlfn.IFS(
 X103=0,AV103,
 AND(AY103="ICE",  AP103&lt;=1400,AND((AJ103-BA103)&gt;900000,  (AJ103-BA103)&lt;=1100000)),                    80%,
 AND(AY103="ICE",  AP103&lt;=1400,(AJ103-BA103)&gt;1100000),                                       90%,
 AND(AY103="ICE",  AND(AP103&gt;1400,AP103&lt;=1600),   (AJ103-BA103)&lt;=850000),                      75%,
 AND(AY103="ICE",  AND(AP103&gt;1400,AP103&lt;=1600),   AND((AJ103-BA103)&gt;850000,(AJ103-BA103)&lt;=1100000)),     80%,
 AND(AY103="ICE",  AND(AP103&gt;1400,AP103&lt;=1600),   AND((AJ103-BA103)&gt;1100000,(AJ103-BA103)&lt;=1650000)),    90%,
 AND(AY103="ICE",  AND(AP103&gt;1400,AP103&lt;=1600),   (AJ103-BA103)&gt;1650000),                      100%,
 AND(AY103="ICE",  AND(AP103&gt;1600,AP103&lt;=2000),   (AJ103-BA103)&lt;=1650000),                     150%,
 AND(AY103="ICE",  AND(AP103&gt;1600,AP103&lt;=2000),   (AJ103-BA103)&gt;1650000),                      170%,
 AND(AY103="ICE",  AP103&gt;2000),                                                    220%,
 AND(AY103="PHEV",  AP103&lt;=1600,                (AJ103-BA103)&lt;=1350000),                     45%,
 AND(AY103="PHEV",  AP103&lt;=1600,                (AJ103-BA103)&gt;1350000),                      75%,
 AND(AY103="PHEV",  AND(AP103&gt;1600,AP103&lt;=1800),  (AJ103-BA103)&lt;=1350000),                     85%,
 AND(AY103="BEV",    AZ103&lt;=160,                 (AJ103-BA103)&lt;=1650000),                     25%,
 AND(AY103="BEV",    AZ103&lt;=160,                 (AJ103-BA103)&gt;1650000),                      55%,
 AND(AY103="BEV",    AZ103&gt; 160,                 (AJ103-BA103)&lt;=1650000),                     65%,
 AND(AY103="BEV",    AZ103&gt; 160,                 (AJ103-BA103)&gt;1650000),                      75%)</f>
        <v>0.9</v>
      </c>
      <c r="AX103" s="67" cm="1">
        <f t="array" ref="AX103">_xlfn.IFS(
 AD103=0,AV103,
 AND(AY103="ICE",  AP103&lt;=1400,AND(AJ103&gt;900000,  AJ103&lt;=1100000)),                    80%,
 AND(AY103="ICE",  AP103&lt;=1400,AJ103&gt;1100000),                                       90%,
 AND(AY103="ICE",  AND(AP103&gt;1400,AP103&lt;=1600),   AJ103&lt;=850000),                      75%,
 AND(AY103="ICE",  AND(AP103&gt;1400,AP103&lt;=1600),   AND(AJ103&gt;850000,AJ103&lt;=1100000)),     80%,
 AND(AY103="ICE",  AND(AP103&gt;1400,AP103&lt;=1600),   AND(AJ103&gt;1100000,AJ103&lt;=1650000)),    90%,
 AND(AY103="ICE",  AND(AP103&gt;1400,AP103&lt;=1600),   AJ103&gt;1650000),                      100%,
 AND(AY103="ICE",  AND(AP103&gt;1600,AP103&lt;=2000),   AJ103&lt;=1650000),                     150%,
 AND(AY103="ICE",  AND(AP103&gt;1600,AP103&lt;=2000),   AJ103&gt;1650000),                      170%,
 AND(AY103="ICE",  AP103&gt;2000),                                                    220%,
 AND(AY103="PHEV",  AP103&lt;=1600,                AJ103&lt;=1350000),                     45%,
 AND(AY103="PHEV",  AP103&lt;=1600,                AJ103&gt;1350000),                      75%,
 AND(AY103="PHEV",  AND(AP103&gt;1600,AP103&lt;=1800),  AJ103&lt;=1350000),                     85%,
 AND(AY103="BEV",    AZ103&lt;=160,                 AJ103&lt;=1650000),                     25%,
 AND(AY103="BEV",    AZ103&lt;=160,                 AJ103&gt;1650000),                      55%,
 AND(AY103="BEV",    AZ103&gt; 160,                 AJ103&lt;=1650000),                     65%,
 AND(AY103="BEV",    AZ103&gt; 160,                 AJ103&gt;1650000),                      75%)</f>
        <v>0.9</v>
      </c>
      <c r="AY103" s="80" t="str">
        <f>_xlfn.XLOOKUP(A103,'[1]My Input'!$B:$B,'[1]My Input'!$V:$V)</f>
        <v>ICE</v>
      </c>
      <c r="AZ103" s="80" t="str">
        <f>_xlfn.IFNA(_xlfn.XLOOKUP(A103,'[1]kW Tescil'!$A:$A,'[1]kW Tescil'!$C:$C),"-")</f>
        <v>-</v>
      </c>
      <c r="BA103" s="81">
        <f>_xlfn.XLOOKUP(A103,'[1]My Input'!$B:$B,'[1]My Input'!$H:$H)</f>
        <v>0</v>
      </c>
      <c r="BC103" s="82">
        <v>4.2639531434805917</v>
      </c>
      <c r="BD103" s="82">
        <v>6.4688126913313795</v>
      </c>
      <c r="BF103" s="83">
        <v>4.9868915315454814</v>
      </c>
      <c r="BG103" s="83">
        <v>7.2141251340650996</v>
      </c>
      <c r="BI103" s="84">
        <v>457322.9859000002</v>
      </c>
      <c r="BL103" s="83">
        <v>5.8369802533853345</v>
      </c>
    </row>
    <row r="104" spans="1:64" s="74" customFormat="1" ht="15" hidden="1" customHeight="1" x14ac:dyDescent="0.25">
      <c r="A104" s="57" t="s">
        <v>158</v>
      </c>
      <c r="B104" s="57" t="str">
        <f t="shared" si="423"/>
        <v>AudiQ3 Sportback 35 TFSIS Line</v>
      </c>
      <c r="C104" s="58" t="s">
        <v>37</v>
      </c>
      <c r="D104" s="86" t="s">
        <v>38</v>
      </c>
      <c r="E104" s="87" t="s">
        <v>159</v>
      </c>
      <c r="F104" s="88" t="s">
        <v>51</v>
      </c>
      <c r="G104" s="110"/>
      <c r="H104" s="89">
        <v>4919491</v>
      </c>
      <c r="I104" s="90">
        <f>H104/$H$105*$I$105</f>
        <v>89.545973145078023</v>
      </c>
      <c r="J104" s="65"/>
      <c r="K104" s="89">
        <f>(((H104-AO104)/(1+AQ104)/1.2/$AS$1)+AS104)*(1+AQ104)*(1.2)*$AS$1+AO104</f>
        <v>5110173.1000000006</v>
      </c>
      <c r="L104" s="90">
        <f>K104/$K$105*$L$105</f>
        <v>93.016822915073988</v>
      </c>
      <c r="M104" s="65"/>
      <c r="N104" s="89">
        <f>AN104*1.2*(1+AV104)+AO104</f>
        <v>3510688.9197000004</v>
      </c>
      <c r="O104" s="89">
        <f>AK104*1.2*(1+AV104)+AO104</f>
        <v>3379690.3170000007</v>
      </c>
      <c r="P104" s="238">
        <f>IF(ISNUMBER(O104),O104/$O$105*$P$105,"")</f>
        <v>66.867482120291982</v>
      </c>
      <c r="Q104" s="238">
        <f>IF(ISNUMBER(N104),N104/$N$105*$Q$105,"")</f>
        <v>69.459301459408522</v>
      </c>
      <c r="R104" s="67">
        <f>_xlfn.XLOOKUP(A104,'[1]My Input'!$B:$B,'[1]My Input'!$F:$F)</f>
        <v>0</v>
      </c>
      <c r="S104" s="65"/>
      <c r="T104" s="89">
        <f>IF(X104&lt;&gt;0,AM104*1.2*(1+AW104)+AO104-X104,AN104*1.2*(1+AV104)+AO104)</f>
        <v>3510688.9197000004</v>
      </c>
      <c r="U104" s="89">
        <f>IF(X104&lt;&gt;0,AJ104*1.2*(1+AW104)+AO104-X104,AK104*1.2*(1+AV104)+AO104)</f>
        <v>3379690.3170000007</v>
      </c>
      <c r="V104" s="238">
        <f>IF(ISNUMBER(U104),U104/$U$105*$V$105,"")</f>
        <v>66.867482120291982</v>
      </c>
      <c r="W104" s="238">
        <f>IF(ISNUMBER(T104),T104/$T$105*$W$105,"")</f>
        <v>69.459301459408522</v>
      </c>
      <c r="X104" s="92">
        <f>_xlfn.XLOOKUP(A104,'[1]My Input'!$B:$B,'[1]My Input'!$I:$I)</f>
        <v>0</v>
      </c>
      <c r="Y104" s="65"/>
      <c r="Z104" s="89">
        <f t="shared" si="424"/>
        <v>3510688.9197000004</v>
      </c>
      <c r="AA104" s="89">
        <f>IF(AD104&lt;&gt;0,AJ104*1.2*(1+AX104)+AO104-AD104,AH104*(1-AG104)*1.2*(1+AV104)+AO104)</f>
        <v>3379690.3170000007</v>
      </c>
      <c r="AB104" s="238">
        <f>IF(ISNUMBER(AA104),AA104/$AA$105*$AB$105,"")</f>
        <v>65.340408787178603</v>
      </c>
      <c r="AC104" s="238">
        <f>IF(ISNUMBER(Z104),Z104/$Z$105*$AC$105,"")</f>
        <v>67.87303794787789</v>
      </c>
      <c r="AD104" s="93">
        <f>_xlfn.XLOOKUP(A104,'[1]My Input'!$B:$B,'[1]My Input'!$N:$N)</f>
        <v>0</v>
      </c>
      <c r="AE104" s="70"/>
      <c r="AF104" s="71">
        <f>_xlfn.XLOOKUP(A104,'[1]My Input'!$B:$B,'[1]My Input'!$E:$E)</f>
        <v>0.313</v>
      </c>
      <c r="AG104" s="72">
        <f>_xlfn.XLOOKUP(A104,'[1]My Input'!$B:$B,'[1]My Input'!$G:$G)</f>
        <v>0.313</v>
      </c>
      <c r="AH104" s="73">
        <f>(H104-AO104)/1.2/(1+AQ104)</f>
        <v>2157671.4912280706</v>
      </c>
      <c r="AJ104" s="73">
        <f>AH104*(1-AF104)</f>
        <v>1482320.3144736846</v>
      </c>
      <c r="AK104" s="75">
        <f>AH104*(1-AF104-R104)</f>
        <v>1482320.3144736846</v>
      </c>
      <c r="AL104" s="76">
        <f>(K104-AO104)/1.2/(1+AQ104)</f>
        <v>2241303.9912280706</v>
      </c>
      <c r="AM104" s="76">
        <f>AL104*(1-AF104)</f>
        <v>1539775.8419736845</v>
      </c>
      <c r="AN104" s="76">
        <f>AL104*(1-AF104-R104)</f>
        <v>1539775.8419736845</v>
      </c>
      <c r="AO104" s="77">
        <f>_xlfn.XLOOKUP(A104,'[1]My Input'!$B:$B,'[1]My Input'!$T:$T)</f>
        <v>0</v>
      </c>
      <c r="AP104" s="78">
        <f>_xlfn.XLOOKUP(A104,'[1]My Input'!$B:$B,'[1]My Input'!$S:$S)</f>
        <v>1600</v>
      </c>
      <c r="AQ104" s="67">
        <f>_xlfn.XLOOKUP(A104,'[1]My Input'!$B:$B,'[1]My Input'!$U:$U)</f>
        <v>0.9</v>
      </c>
      <c r="AS104" s="155">
        <v>1593</v>
      </c>
      <c r="AU104" s="74" t="s">
        <v>41</v>
      </c>
      <c r="AV104" s="67" cm="1">
        <f t="array" ref="AV104">_xlfn.IFS(
 AND(AY104="ICE",  AP104&lt;=1400,AND(AK104&gt;900000,  AK104&lt;=1100000)),                    80%,
 AND(AY104="ICE",  AP104&lt;=1400,AK104&gt;1100000),                                       90%,
 AND(AY104="ICE",  AND(AP104&gt;1400,AP104&lt;=1600),   AK104&lt;=850000),                      75%,
 AND(AY104="ICE",  AND(AP104&gt;1400,AP104&lt;=1600),   AND(AK104&gt;850000,AK104&lt;=1100000)),     80%,
 AND(AY104="ICE",  AND(AP104&gt;1400,AP104&lt;=1600),   AND(AK104&gt;1100000,AK104&lt;=1650000)),    90%,
 AND(AY104="ICE",  AND(AP104&gt;1400,AP104&lt;=1600),   AK104&gt;1650000),                      100%,
 AND(AY104="ICE",  AND(AP104&gt;1600,AP104&lt;=2000),   AK104&lt;=1650000),                     150%,
 AND(AY104="ICE",  AND(AP104&gt;1600,AP104&lt;=2000),   AK104&gt;1650000),                      170%,
 AND(AY104="ICE",  AP104&gt;2000),                                                    220%,
 AND(AY104="PHEV",  AP104&lt;=1600,                AK104&lt;=1350000),                     45%,
 AND(AY104="PHEV",  AP104&lt;=1600,                AK104&gt;1350000),                      75%,
 AND(AY104="PHEV",  AND(AP104&gt;1600,AP104&lt;=1800),  AK104&lt;=1350000),                     85%,
 AND(AY104="BEV",    AZ104&lt;=160,                 AK104&lt;=1650000),                     25%,
 AND(AY104="BEV",    AZ104&lt;=160,                 AK104&gt;1650000),                      55%,
 AND(AY104="BEV",    AZ104&gt; 160,                 AK104&lt;=1650000),                     65%,
 AND(AY104="BEV",    AZ104&gt; 160,                 AK104&gt;1650000),                      75%)</f>
        <v>0.9</v>
      </c>
      <c r="AW104" s="67" cm="1">
        <f t="array" ref="AW104">_xlfn.IFS(
 X104=0,AV104,
 AND(AY104="ICE",  AP104&lt;=1400,AND((AJ104-BA104)&gt;900000,  (AJ104-BA104)&lt;=1100000)),                    80%,
 AND(AY104="ICE",  AP104&lt;=1400,(AJ104-BA104)&gt;1100000),                                       90%,
 AND(AY104="ICE",  AND(AP104&gt;1400,AP104&lt;=1600),   (AJ104-BA104)&lt;=850000),                      75%,
 AND(AY104="ICE",  AND(AP104&gt;1400,AP104&lt;=1600),   AND((AJ104-BA104)&gt;850000,(AJ104-BA104)&lt;=1100000)),     80%,
 AND(AY104="ICE",  AND(AP104&gt;1400,AP104&lt;=1600),   AND((AJ104-BA104)&gt;1100000,(AJ104-BA104)&lt;=1650000)),    90%,
 AND(AY104="ICE",  AND(AP104&gt;1400,AP104&lt;=1600),   (AJ104-BA104)&gt;1650000),                      100%,
 AND(AY104="ICE",  AND(AP104&gt;1600,AP104&lt;=2000),   (AJ104-BA104)&lt;=1650000),                     150%,
 AND(AY104="ICE",  AND(AP104&gt;1600,AP104&lt;=2000),   (AJ104-BA104)&gt;1650000),                      170%,
 AND(AY104="ICE",  AP104&gt;2000),                                                    220%,
 AND(AY104="PHEV",  AP104&lt;=1600,                (AJ104-BA104)&lt;=1350000),                     45%,
 AND(AY104="PHEV",  AP104&lt;=1600,                (AJ104-BA104)&gt;1350000),                      75%,
 AND(AY104="PHEV",  AND(AP104&gt;1600,AP104&lt;=1800),  (AJ104-BA104)&lt;=1350000),                     85%,
 AND(AY104="BEV",    AZ104&lt;=160,                 (AJ104-BA104)&lt;=1650000),                     25%,
 AND(AY104="BEV",    AZ104&lt;=160,                 (AJ104-BA104)&gt;1650000),                      55%,
 AND(AY104="BEV",    AZ104&gt; 160,                 (AJ104-BA104)&lt;=1650000),                     65%,
 AND(AY104="BEV",    AZ104&gt; 160,                 (AJ104-BA104)&gt;1650000),                      75%)</f>
        <v>0.9</v>
      </c>
      <c r="AX104" s="67" cm="1">
        <f t="array" ref="AX104">_xlfn.IFS(
 AD104=0,AV104,
 AND(AY104="ICE",  AP104&lt;=1400,AND(AJ104&gt;900000,  AJ104&lt;=1100000)),                    80%,
 AND(AY104="ICE",  AP104&lt;=1400,AJ104&gt;1100000),                                       90%,
 AND(AY104="ICE",  AND(AP104&gt;1400,AP104&lt;=1600),   AJ104&lt;=850000),                      75%,
 AND(AY104="ICE",  AND(AP104&gt;1400,AP104&lt;=1600),   AND(AJ104&gt;850000,AJ104&lt;=1100000)),     80%,
 AND(AY104="ICE",  AND(AP104&gt;1400,AP104&lt;=1600),   AND(AJ104&gt;1100000,AJ104&lt;=1650000)),    90%,
 AND(AY104="ICE",  AND(AP104&gt;1400,AP104&lt;=1600),   AJ104&gt;1650000),                      100%,
 AND(AY104="ICE",  AND(AP104&gt;1600,AP104&lt;=2000),   AJ104&lt;=1650000),                     150%,
 AND(AY104="ICE",  AND(AP104&gt;1600,AP104&lt;=2000),   AJ104&gt;1650000),                      170%,
 AND(AY104="ICE",  AP104&gt;2000),                                                    220%,
 AND(AY104="PHEV",  AP104&lt;=1600,                AJ104&lt;=1350000),                     45%,
 AND(AY104="PHEV",  AP104&lt;=1600,                AJ104&gt;1350000),                      75%,
 AND(AY104="PHEV",  AND(AP104&gt;1600,AP104&lt;=1800),  AJ104&lt;=1350000),                     85%,
 AND(AY104="BEV",    AZ104&lt;=160,                 AJ104&lt;=1650000),                     25%,
 AND(AY104="BEV",    AZ104&lt;=160,                 AJ104&gt;1650000),                      55%,
 AND(AY104="BEV",    AZ104&gt; 160,                 AJ104&lt;=1650000),                     65%,
 AND(AY104="BEV",    AZ104&gt; 160,                 AJ104&gt;1650000),                      75%)</f>
        <v>0.9</v>
      </c>
      <c r="AY104" s="80" t="str">
        <f>_xlfn.XLOOKUP(A104,'[1]My Input'!$B:$B,'[1]My Input'!$V:$V)</f>
        <v>ICE</v>
      </c>
      <c r="AZ104" s="80" t="str">
        <f>_xlfn.IFNA(_xlfn.XLOOKUP(A104,'[1]kW Tescil'!$A:$A,'[1]kW Tescil'!$C:$C),"-")</f>
        <v>-</v>
      </c>
      <c r="BA104" s="81">
        <f>_xlfn.XLOOKUP(A104,'[1]My Input'!$B:$B,'[1]My Input'!$H:$H)</f>
        <v>0</v>
      </c>
      <c r="BC104" s="82">
        <v>-15.992613459377068</v>
      </c>
      <c r="BD104" s="82">
        <v>-17.066352320784389</v>
      </c>
      <c r="BF104" s="83">
        <v>-15.407559886889487</v>
      </c>
      <c r="BG104" s="83">
        <v>-16.45962112086724</v>
      </c>
      <c r="BI104" s="84">
        <v>-534444.00952000031</v>
      </c>
      <c r="BL104" s="242">
        <v>-11.711646569617074</v>
      </c>
    </row>
    <row r="105" spans="1:64" s="74" customFormat="1" ht="15" customHeight="1" thickBot="1" x14ac:dyDescent="0.3">
      <c r="A105" s="57" t="s">
        <v>160</v>
      </c>
      <c r="B105" s="57" t="str">
        <f t="shared" si="423"/>
        <v>BMWX2 sDrive20iM Sport</v>
      </c>
      <c r="C105" s="58" t="s">
        <v>37</v>
      </c>
      <c r="D105" s="94" t="s">
        <v>44</v>
      </c>
      <c r="E105" s="95" t="s">
        <v>161</v>
      </c>
      <c r="F105" s="152" t="s">
        <v>53</v>
      </c>
      <c r="G105" s="65"/>
      <c r="H105" s="98">
        <v>5493816</v>
      </c>
      <c r="I105" s="99">
        <v>100</v>
      </c>
      <c r="J105" s="65">
        <v>0.08</v>
      </c>
      <c r="K105" s="98">
        <f>(((H105-AO105)/(1+AQ105)/1.2/$AS$1)+AS105)*(1+AQ105)*(1.2)*$AS$1+AO105</f>
        <v>5493815.9999999991</v>
      </c>
      <c r="L105" s="99">
        <v>100</v>
      </c>
      <c r="M105" s="65"/>
      <c r="N105" s="98">
        <f>AN105*1.2*(1+AV105)+AO105</f>
        <v>5054310.7199999979</v>
      </c>
      <c r="O105" s="98">
        <f>AK105*1.2*(1+AV105)+AO105</f>
        <v>5054310.72</v>
      </c>
      <c r="P105" s="99">
        <v>100</v>
      </c>
      <c r="Q105" s="99">
        <v>100</v>
      </c>
      <c r="R105" s="67">
        <f>_xlfn.XLOOKUP(A105,'[1]My Input'!$B:$B,'[1]My Input'!$F:$F)</f>
        <v>0.05</v>
      </c>
      <c r="S105" s="65"/>
      <c r="T105" s="98">
        <f>IF(X105&lt;&gt;0,AM105*1.2*(1+AW105)+AO105-X105,AN105*1.2*(1+AV105)+AO105)</f>
        <v>5054310.7199999979</v>
      </c>
      <c r="U105" s="98">
        <f>IF(X105&lt;&gt;0,AJ105*1.2*(1+AW105)+AO105-X105,AK105*1.2*(1+AV105)+AO105)</f>
        <v>5054310.72</v>
      </c>
      <c r="V105" s="99">
        <v>100</v>
      </c>
      <c r="W105" s="99">
        <v>100</v>
      </c>
      <c r="X105" s="102">
        <f>_xlfn.XLOOKUP(A105,'[1]My Input'!$B:$B,'[1]My Input'!$I:$I)</f>
        <v>0</v>
      </c>
      <c r="Y105" s="65"/>
      <c r="Z105" s="98">
        <f t="shared" si="424"/>
        <v>5172435.2199999988</v>
      </c>
      <c r="AA105" s="98">
        <f>IF(AD105&lt;&gt;0,AJ105*1.2*(1+AX105)+AO105-AD105,AH105*(1-AG105)*1.2*(1+AV105)+AO105)</f>
        <v>5172435.22</v>
      </c>
      <c r="AB105" s="99">
        <v>100</v>
      </c>
      <c r="AC105" s="99">
        <v>100</v>
      </c>
      <c r="AD105" s="98">
        <f>_xlfn.XLOOKUP(A105,'[1]My Input'!$B:$B,'[1]My Input'!$N:$N)</f>
        <v>156566.29999999999</v>
      </c>
      <c r="AE105" s="70"/>
      <c r="AF105" s="71">
        <f>_xlfn.XLOOKUP(A105,'[1]My Input'!$B:$B,'[1]My Input'!$E:$E)</f>
        <v>0.03</v>
      </c>
      <c r="AG105" s="72">
        <f>_xlfn.XLOOKUP(A105,'[1]My Input'!$B:$B,'[1]My Input'!$G:$G)</f>
        <v>0.08</v>
      </c>
      <c r="AH105" s="73">
        <f>(H105-AO105)/1.2/(1+AQ105)</f>
        <v>2289090</v>
      </c>
      <c r="AJ105" s="73">
        <f>AH105*(1-AF105)</f>
        <v>2220417.2999999998</v>
      </c>
      <c r="AK105" s="75">
        <f>AH105*(1-AF105-R105)</f>
        <v>2105962.7999999998</v>
      </c>
      <c r="AL105" s="76">
        <f>(K105-AO105)/1.2/(1+AQ105)</f>
        <v>2289089.9999999995</v>
      </c>
      <c r="AM105" s="76">
        <f>AL105*(1-AF105)</f>
        <v>2220417.2999999993</v>
      </c>
      <c r="AN105" s="76">
        <f>AL105*(1-AF105-R105)</f>
        <v>2105962.7999999993</v>
      </c>
      <c r="AO105" s="77">
        <f>_xlfn.XLOOKUP(A105,'[1]My Input'!$B:$B,'[1]My Input'!$T:$T)</f>
        <v>0</v>
      </c>
      <c r="AP105" s="78">
        <f>_xlfn.XLOOKUP(A105,'[1]My Input'!$B:$B,'[1]My Input'!$S:$S)</f>
        <v>1600</v>
      </c>
      <c r="AQ105" s="67">
        <f>_xlfn.XLOOKUP(A105,'[1]My Input'!$B:$B,'[1]My Input'!$U:$U)</f>
        <v>1</v>
      </c>
      <c r="AS105" s="103">
        <f>_xlfn.XLOOKUP(A105,'[1]My Input'!$B:$B,'[1]My Input'!$Q:$Q)</f>
        <v>0</v>
      </c>
      <c r="AU105" s="74" t="s">
        <v>41</v>
      </c>
      <c r="AV105" s="67" cm="1">
        <f t="array" ref="AV105">_xlfn.IFS(
 AND(AY105="ICE",  AP105&lt;=1400,AND(AK105&gt;900000,  AK105&lt;=1100000)),                    80%,
 AND(AY105="ICE",  AP105&lt;=1400,AK105&gt;1100000),                                       90%,
 AND(AY105="ICE",  AND(AP105&gt;1400,AP105&lt;=1600),   AK105&lt;=850000),                      75%,
 AND(AY105="ICE",  AND(AP105&gt;1400,AP105&lt;=1600),   AND(AK105&gt;850000,AK105&lt;=1100000)),     80%,
 AND(AY105="ICE",  AND(AP105&gt;1400,AP105&lt;=1600),   AND(AK105&gt;1100000,AK105&lt;=1650000)),    90%,
 AND(AY105="ICE",  AND(AP105&gt;1400,AP105&lt;=1600),   AK105&gt;1650000),                      100%,
 AND(AY105="ICE",  AND(AP105&gt;1600,AP105&lt;=2000),   AK105&lt;=1650000),                     150%,
 AND(AY105="ICE",  AND(AP105&gt;1600,AP105&lt;=2000),   AK105&gt;1650000),                      170%,
 AND(AY105="ICE",  AP105&gt;2000),                                                    220%,
 AND(AY105="PHEV",  AP105&lt;=1600,                AK105&lt;=1350000),                     45%,
 AND(AY105="PHEV",  AP105&lt;=1600,                AK105&gt;1350000),                      75%,
 AND(AY105="PHEV",  AND(AP105&gt;1600,AP105&lt;=1800),  AK105&lt;=1350000),                     85%,
 AND(AY105="BEV",    AZ105&lt;=160,                 AK105&lt;=1650000),                     25%,
 AND(AY105="BEV",    AZ105&lt;=160,                 AK105&gt;1650000),                      55%,
 AND(AY105="BEV",    AZ105&gt; 160,                 AK105&lt;=1650000),                     65%,
 AND(AY105="BEV",    AZ105&gt; 160,                 AK105&gt;1650000),                      75%)</f>
        <v>1</v>
      </c>
      <c r="AW105" s="67" cm="1">
        <f t="array" ref="AW105">_xlfn.IFS(
 X105=0,AV105,
 AND(AY105="ICE",  AP105&lt;=1400,AND((AJ105-BA105)&gt;900000,  (AJ105-BA105)&lt;=1100000)),                    80%,
 AND(AY105="ICE",  AP105&lt;=1400,(AJ105-BA105)&gt;1100000),                                       90%,
 AND(AY105="ICE",  AND(AP105&gt;1400,AP105&lt;=1600),   (AJ105-BA105)&lt;=850000),                      75%,
 AND(AY105="ICE",  AND(AP105&gt;1400,AP105&lt;=1600),   AND((AJ105-BA105)&gt;850000,(AJ105-BA105)&lt;=1100000)),     80%,
 AND(AY105="ICE",  AND(AP105&gt;1400,AP105&lt;=1600),   AND((AJ105-BA105)&gt;1100000,(AJ105-BA105)&lt;=1650000)),    90%,
 AND(AY105="ICE",  AND(AP105&gt;1400,AP105&lt;=1600),   (AJ105-BA105)&gt;1650000),                      100%,
 AND(AY105="ICE",  AND(AP105&gt;1600,AP105&lt;=2000),   (AJ105-BA105)&lt;=1650000),                     150%,
 AND(AY105="ICE",  AND(AP105&gt;1600,AP105&lt;=2000),   (AJ105-BA105)&gt;1650000),                      170%,
 AND(AY105="ICE",  AP105&gt;2000),                                                    220%,
 AND(AY105="PHEV",  AP105&lt;=1600,                (AJ105-BA105)&lt;=1350000),                     45%,
 AND(AY105="PHEV",  AP105&lt;=1600,                (AJ105-BA105)&gt;1350000),                      75%,
 AND(AY105="PHEV",  AND(AP105&gt;1600,AP105&lt;=1800),  (AJ105-BA105)&lt;=1350000),                     85%,
 AND(AY105="BEV",    AZ105&lt;=160,                 (AJ105-BA105)&lt;=1650000),                     25%,
 AND(AY105="BEV",    AZ105&lt;=160,                 (AJ105-BA105)&gt;1650000),                      55%,
 AND(AY105="BEV",    AZ105&gt; 160,                 (AJ105-BA105)&lt;=1650000),                     65%,
 AND(AY105="BEV",    AZ105&gt; 160,                 (AJ105-BA105)&gt;1650000),                      75%)</f>
        <v>1</v>
      </c>
      <c r="AX105" s="67" cm="1">
        <f t="array" ref="AX105">_xlfn.IFS(
 AD105=0,AV105,
 AND(AY105="ICE",  AP105&lt;=1400,AND(AJ105&gt;900000,  AJ105&lt;=1100000)),                    80%,
 AND(AY105="ICE",  AP105&lt;=1400,AJ105&gt;1100000),                                       90%,
 AND(AY105="ICE",  AND(AP105&gt;1400,AP105&lt;=1600),   AJ105&lt;=850000),                      75%,
 AND(AY105="ICE",  AND(AP105&gt;1400,AP105&lt;=1600),   AND(AJ105&gt;850000,AJ105&lt;=1100000)),     80%,
 AND(AY105="ICE",  AND(AP105&gt;1400,AP105&lt;=1600),   AND(AJ105&gt;1100000,AJ105&lt;=1650000)),    90%,
 AND(AY105="ICE",  AND(AP105&gt;1400,AP105&lt;=1600),   AJ105&gt;1650000),                      100%,
 AND(AY105="ICE",  AND(AP105&gt;1600,AP105&lt;=2000),   AJ105&lt;=1650000),                     150%,
 AND(AY105="ICE",  AND(AP105&gt;1600,AP105&lt;=2000),   AJ105&gt;1650000),                      170%,
 AND(AY105="ICE",  AP105&gt;2000),                                                    220%,
 AND(AY105="PHEV",  AP105&lt;=1600,                AJ105&lt;=1350000),                     45%,
 AND(AY105="PHEV",  AP105&lt;=1600,                AJ105&gt;1350000),                      75%,
 AND(AY105="PHEV",  AND(AP105&gt;1600,AP105&lt;=1800),  AJ105&lt;=1350000),                     85%,
 AND(AY105="BEV",    AZ105&lt;=160,                 AJ105&lt;=1650000),                     25%,
 AND(AY105="BEV",    AZ105&lt;=160,                 AJ105&gt;1650000),                      55%,
 AND(AY105="BEV",    AZ105&gt; 160,                 AJ105&lt;=1650000),                     65%,
 AND(AY105="BEV",    AZ105&gt; 160,                 AJ105&gt;1650000),                      75%)</f>
        <v>1</v>
      </c>
      <c r="AY105" s="80" t="str">
        <f>_xlfn.XLOOKUP(A105,'[1]My Input'!$B:$B,'[1]My Input'!$V:$V)</f>
        <v>ICE</v>
      </c>
      <c r="AZ105" s="80" t="str">
        <f>_xlfn.IFNA(_xlfn.XLOOKUP(A105,'[1]kW Tescil'!$A:$A,'[1]kW Tescil'!$C:$C),"-")</f>
        <v>-</v>
      </c>
      <c r="BA105" s="81">
        <f>_xlfn.XLOOKUP(A105,'[1]My Input'!$B:$B,'[1]My Input'!$H:$H)</f>
        <v>0</v>
      </c>
      <c r="BC105" s="82">
        <v>0</v>
      </c>
      <c r="BD105" s="82">
        <v>0</v>
      </c>
      <c r="BF105" s="83">
        <v>0</v>
      </c>
      <c r="BG105" s="83">
        <v>0</v>
      </c>
      <c r="BI105" s="84">
        <v>385503.1674809996</v>
      </c>
      <c r="BL105" s="83">
        <v>0</v>
      </c>
    </row>
    <row r="106" spans="1:64" s="117" customFormat="1" ht="7.15" customHeight="1" thickBot="1" x14ac:dyDescent="0.3">
      <c r="A106" s="57"/>
      <c r="B106" s="57"/>
      <c r="C106" s="104"/>
      <c r="D106" s="245"/>
      <c r="E106" s="224"/>
      <c r="F106" s="224"/>
      <c r="G106" s="110"/>
      <c r="H106" s="108"/>
      <c r="I106" s="219"/>
      <c r="J106" s="65"/>
      <c r="K106" s="108"/>
      <c r="L106" s="219"/>
      <c r="M106" s="65"/>
      <c r="N106" s="108"/>
      <c r="O106" s="108"/>
      <c r="P106" s="219"/>
      <c r="Q106" s="219"/>
      <c r="R106" s="244"/>
      <c r="S106" s="65"/>
      <c r="T106" s="108"/>
      <c r="U106" s="108"/>
      <c r="V106" s="219"/>
      <c r="W106" s="219"/>
      <c r="X106" s="166"/>
      <c r="Y106" s="65"/>
      <c r="Z106" s="108"/>
      <c r="AA106" s="108"/>
      <c r="AB106" s="219"/>
      <c r="AC106" s="219"/>
      <c r="AD106" s="167"/>
      <c r="AE106" s="246"/>
      <c r="AF106" s="115"/>
      <c r="AG106" s="19"/>
      <c r="AH106" s="116"/>
      <c r="AJ106" s="116"/>
      <c r="AK106" s="21"/>
      <c r="AL106" s="20"/>
      <c r="AM106" s="76"/>
      <c r="AN106" s="20"/>
      <c r="AO106" s="116"/>
      <c r="AP106" s="78"/>
      <c r="AQ106" s="67"/>
      <c r="AS106" s="118"/>
      <c r="AU106" s="74" t="s">
        <v>41</v>
      </c>
      <c r="AV106" s="67"/>
      <c r="AW106" s="67"/>
      <c r="AX106" s="67"/>
      <c r="AY106" s="80"/>
      <c r="AZ106" s="80"/>
      <c r="BA106" s="81"/>
      <c r="BC106" s="82">
        <v>0</v>
      </c>
      <c r="BD106" s="82">
        <v>0</v>
      </c>
      <c r="BF106" s="83">
        <v>0</v>
      </c>
      <c r="BG106" s="83">
        <v>0</v>
      </c>
      <c r="BI106" s="84">
        <v>0</v>
      </c>
      <c r="BL106" s="83">
        <v>0</v>
      </c>
    </row>
    <row r="107" spans="1:64" s="74" customFormat="1" ht="15" hidden="1" customHeight="1" thickBot="1" x14ac:dyDescent="0.3">
      <c r="A107" s="57" t="s">
        <v>144</v>
      </c>
      <c r="B107" s="57" t="str">
        <f t="shared" ref="B107:B112" si="425">D107&amp;E107&amp;F107</f>
        <v>MBEQB 250+AMG</v>
      </c>
      <c r="C107" s="58" t="s">
        <v>37</v>
      </c>
      <c r="D107" s="59" t="s">
        <v>47</v>
      </c>
      <c r="E107" s="60" t="s">
        <v>145</v>
      </c>
      <c r="F107" s="61" t="s">
        <v>49</v>
      </c>
      <c r="G107" s="157"/>
      <c r="H107" s="63">
        <f>H93</f>
        <v>4032450</v>
      </c>
      <c r="I107" s="64">
        <f>H107/$H$112*$I$112</f>
        <v>93.358229169801803</v>
      </c>
      <c r="J107" s="157"/>
      <c r="K107" s="89">
        <f t="shared" ref="K107:K112" si="426">(((H107-AO107)/(1+AQ107)/1.2/$AS$1)+AS107)*(1+AQ107)*(1.2)*$AS$1+AO107</f>
        <v>4131760.0500000003</v>
      </c>
      <c r="L107" s="90">
        <f>K107/$K$112*$L$112</f>
        <v>95.657429508743263</v>
      </c>
      <c r="M107" s="157"/>
      <c r="N107" s="89">
        <f t="shared" ref="N107:N112" si="427">AN107*1.2*(1+AV107)+AO107</f>
        <v>3635948.844</v>
      </c>
      <c r="O107" s="63">
        <f t="shared" ref="O107:O112" si="428">AK107*1.2*(1+AV107)+AO107</f>
        <v>3548556</v>
      </c>
      <c r="P107" s="241">
        <f>IF(ISNUMBER(O107),O107/$O$112*$P$112,"")</f>
        <v>87.399193265346369</v>
      </c>
      <c r="Q107" s="241">
        <f>IF(ISNUMBER(N107),N107/$N$112*$Q$112,"")</f>
        <v>89.55163613584476</v>
      </c>
      <c r="R107" s="67">
        <f>_xlfn.XLOOKUP(A107,'[1]My Input'!$B:$B,'[1]My Input'!$F:$F)</f>
        <v>0</v>
      </c>
      <c r="S107" s="157"/>
      <c r="T107" s="89">
        <f t="shared" ref="T107:T112" si="429">IF(X107&lt;&gt;0,AM107*1.2*(1+AW107)+AO107-X107,AN107*1.2*(1+AV107)+AO107)</f>
        <v>3635948.844</v>
      </c>
      <c r="U107" s="63">
        <f t="shared" ref="U107:U112" si="430">IF(X107&lt;&gt;0,AJ107*1.2*(1+AW107)+AO107-X107,AK107*1.2*(1+AV107)+AO107)</f>
        <v>3548556</v>
      </c>
      <c r="V107" s="241">
        <f>IF(ISNUMBER(U107),U107/$U$112*$V$112,"")</f>
        <v>87.399193265346369</v>
      </c>
      <c r="W107" s="241">
        <f>IF(ISNUMBER(T107),T107/$T$112*$W$112,"")</f>
        <v>89.55163613584476</v>
      </c>
      <c r="X107" s="68">
        <f>_xlfn.XLOOKUP(A107,'[1]My Input'!$B:$B,'[1]My Input'!$I:$I)</f>
        <v>0</v>
      </c>
      <c r="Y107" s="157"/>
      <c r="Z107" s="89">
        <f t="shared" ref="Z107:Z112" si="431">IF(AD107&lt;&gt;0,AM107*1.2*(1+AQ107)+AO107-AD107,AL107*(1-AG107)*1.2*(1+AQ107)+AO107)</f>
        <v>3555132.014</v>
      </c>
      <c r="AA107" s="63">
        <f t="shared" ref="AA107:AA112" si="432">IF(AD107&lt;&gt;0,AJ107*1.2*(1+AX107)+AO107-AD107,AH107*(1-AG107)*1.2*(1+AV107)+AO107)</f>
        <v>3467739.17</v>
      </c>
      <c r="AB107" s="241">
        <f>IF(ISNUMBER(AA107),AA107/$AA$112*$AB$112,"")</f>
        <v>85.317792553649923</v>
      </c>
      <c r="AC107" s="241">
        <f>IF(ISNUMBER(Z107),Z107/$Z$112*$AC$112,"")</f>
        <v>87.467944041273341</v>
      </c>
      <c r="AD107" s="69">
        <f>_xlfn.XLOOKUP(A107,'[1]My Input'!$B:$B,'[1]My Input'!$N:$N)</f>
        <v>80816.83</v>
      </c>
      <c r="AE107" s="70"/>
      <c r="AF107" s="71">
        <f>_xlfn.XLOOKUP(A107,'[1]My Input'!$B:$B,'[1]My Input'!$E:$E)</f>
        <v>0.12</v>
      </c>
      <c r="AG107" s="72">
        <f>_xlfn.XLOOKUP(A107,'[1]My Input'!$B:$B,'[1]My Input'!$G:$G)</f>
        <v>0.12</v>
      </c>
      <c r="AH107" s="73">
        <f t="shared" ref="AH107:AH112" si="433">(H107-AO107)/1.2/(1+AQ107)</f>
        <v>2167983.8709677421</v>
      </c>
      <c r="AJ107" s="73">
        <f t="shared" ref="AJ107:AJ112" si="434">AH107*(1-AF107)</f>
        <v>1907825.8064516131</v>
      </c>
      <c r="AK107" s="75">
        <f t="shared" ref="AK107:AK112" si="435">AH107*(1-AF107-R107)</f>
        <v>1907825.8064516131</v>
      </c>
      <c r="AL107" s="76">
        <f t="shared" ref="AL107:AL112" si="436">(K107-AO107)/1.2/(1+AQ107)</f>
        <v>2221376.3709677421</v>
      </c>
      <c r="AM107" s="76">
        <f t="shared" ref="AM107:AM112" si="437">AL107*(1-AF107)</f>
        <v>1954811.206451613</v>
      </c>
      <c r="AN107" s="76">
        <f t="shared" ref="AN107:AN112" si="438">AL107*(1-AF107-R107)</f>
        <v>1954811.206451613</v>
      </c>
      <c r="AO107" s="77">
        <f>_xlfn.XLOOKUP(A107,'[1]My Input'!$B:$B,'[1]My Input'!$T:$T)</f>
        <v>0</v>
      </c>
      <c r="AP107" s="78">
        <f>_xlfn.XLOOKUP(A107,'[1]My Input'!$B:$B,'[1]My Input'!$S:$S)</f>
        <v>0</v>
      </c>
      <c r="AQ107" s="67">
        <f>_xlfn.XLOOKUP(A107,'[1]My Input'!$B:$B,'[1]My Input'!$U:$U)</f>
        <v>0.55000000000000004</v>
      </c>
      <c r="AS107" s="155">
        <v>1017</v>
      </c>
      <c r="AU107" s="74" t="s">
        <v>41</v>
      </c>
      <c r="AV107" s="67" cm="1">
        <f t="array" ref="AV107">_xlfn.IFS(
 AND(AY107="ICE",  AP107&lt;=1400,AND(AK107&gt;900000,  AK107&lt;=1100000)),                    80%,
 AND(AY107="ICE",  AP107&lt;=1400,AK107&gt;1100000),                                       90%,
 AND(AY107="ICE",  AND(AP107&gt;1400,AP107&lt;=1600),   AK107&lt;=850000),                      75%,
 AND(AY107="ICE",  AND(AP107&gt;1400,AP107&lt;=1600),   AND(AK107&gt;850000,AK107&lt;=1100000)),     80%,
 AND(AY107="ICE",  AND(AP107&gt;1400,AP107&lt;=1600),   AND(AK107&gt;1100000,AK107&lt;=1650000)),    90%,
 AND(AY107="ICE",  AND(AP107&gt;1400,AP107&lt;=1600),   AK107&gt;1650000),                      100%,
 AND(AY107="ICE",  AND(AP107&gt;1600,AP107&lt;=2000),   AK107&lt;=1650000),                     150%,
 AND(AY107="ICE",  AND(AP107&gt;1600,AP107&lt;=2000),   AK107&gt;1650000),                      170%,
 AND(AY107="ICE",  AP107&gt;2000),                                                    220%,
 AND(AY107="PHEV",  AP107&lt;=1600,                AK107&lt;=1350000),                     45%,
 AND(AY107="PHEV",  AP107&lt;=1600,                AK107&gt;1350000),                      75%,
 AND(AY107="PHEV",  AND(AP107&gt;1600,AP107&lt;=1800),  AK107&lt;=1350000),                     85%,
 AND(AY107="BEV",    AZ107&lt;=160,                 AK107&lt;=1650000),                     25%,
 AND(AY107="BEV",    AZ107&lt;=160,                 AK107&gt;1650000),                      55%,
 AND(AY107="BEV",    AZ107&gt; 160,                 AK107&lt;=1650000),                     65%,
 AND(AY107="BEV",    AZ107&gt; 160,                 AK107&gt;1650000),                      75%)</f>
        <v>0.55000000000000004</v>
      </c>
      <c r="AW107" s="67" cm="1">
        <f t="array" ref="AW107">_xlfn.IFS(
 X107=0,AV107,
 AND(AY107="ICE",  AP107&lt;=1400,AND((AJ107-BA107)&gt;900000,  (AJ107-BA107)&lt;=1100000)),                    80%,
 AND(AY107="ICE",  AP107&lt;=1400,(AJ107-BA107)&gt;1100000),                                       90%,
 AND(AY107="ICE",  AND(AP107&gt;1400,AP107&lt;=1600),   (AJ107-BA107)&lt;=850000),                      75%,
 AND(AY107="ICE",  AND(AP107&gt;1400,AP107&lt;=1600),   AND((AJ107-BA107)&gt;850000,(AJ107-BA107)&lt;=1100000)),     80%,
 AND(AY107="ICE",  AND(AP107&gt;1400,AP107&lt;=1600),   AND((AJ107-BA107)&gt;1100000,(AJ107-BA107)&lt;=1650000)),    90%,
 AND(AY107="ICE",  AND(AP107&gt;1400,AP107&lt;=1600),   (AJ107-BA107)&gt;1650000),                      100%,
 AND(AY107="ICE",  AND(AP107&gt;1600,AP107&lt;=2000),   (AJ107-BA107)&lt;=1650000),                     150%,
 AND(AY107="ICE",  AND(AP107&gt;1600,AP107&lt;=2000),   (AJ107-BA107)&gt;1650000),                      170%,
 AND(AY107="ICE",  AP107&gt;2000),                                                    220%,
 AND(AY107="PHEV",  AP107&lt;=1600,                (AJ107-BA107)&lt;=1350000),                     45%,
 AND(AY107="PHEV",  AP107&lt;=1600,                (AJ107-BA107)&gt;1350000),                      75%,
 AND(AY107="PHEV",  AND(AP107&gt;1600,AP107&lt;=1800),  (AJ107-BA107)&lt;=1350000),                     85%,
 AND(AY107="BEV",    AZ107&lt;=160,                 (AJ107-BA107)&lt;=1650000),                     25%,
 AND(AY107="BEV",    AZ107&lt;=160,                 (AJ107-BA107)&gt;1650000),                      55%,
 AND(AY107="BEV",    AZ107&gt; 160,                 (AJ107-BA107)&lt;=1650000),                     65%,
 AND(AY107="BEV",    AZ107&gt; 160,                 (AJ107-BA107)&gt;1650000),                      75%)</f>
        <v>0.55000000000000004</v>
      </c>
      <c r="AX107" s="67" cm="1">
        <f t="array" ref="AX107">_xlfn.IFS(
 AD107=0,AV107,
 AND(AY107="ICE",  AP107&lt;=1400,AND(AJ107&gt;900000,  AJ107&lt;=1100000)),                    80%,
 AND(AY107="ICE",  AP107&lt;=1400,AJ107&gt;1100000),                                       90%,
 AND(AY107="ICE",  AND(AP107&gt;1400,AP107&lt;=1600),   AJ107&lt;=850000),                      75%,
 AND(AY107="ICE",  AND(AP107&gt;1400,AP107&lt;=1600),   AND(AJ107&gt;850000,AJ107&lt;=1100000)),     80%,
 AND(AY107="ICE",  AND(AP107&gt;1400,AP107&lt;=1600),   AND(AJ107&gt;1100000,AJ107&lt;=1650000)),    90%,
 AND(AY107="ICE",  AND(AP107&gt;1400,AP107&lt;=1600),   AJ107&gt;1650000),                      100%,
 AND(AY107="ICE",  AND(AP107&gt;1600,AP107&lt;=2000),   AJ107&lt;=1650000),                     150%,
 AND(AY107="ICE",  AND(AP107&gt;1600,AP107&lt;=2000),   AJ107&gt;1650000),                      170%,
 AND(AY107="ICE",  AP107&gt;2000),                                                    220%,
 AND(AY107="PHEV",  AP107&lt;=1600,                AJ107&lt;=1350000),                     45%,
 AND(AY107="PHEV",  AP107&lt;=1600,                AJ107&gt;1350000),                      75%,
 AND(AY107="PHEV",  AND(AP107&gt;1600,AP107&lt;=1800),  AJ107&lt;=1350000),                     85%,
 AND(AY107="BEV",    AZ107&lt;=160,                 AJ107&lt;=1650000),                     25%,
 AND(AY107="BEV",    AZ107&lt;=160,                 AJ107&gt;1650000),                      55%,
 AND(AY107="BEV",    AZ107&gt; 160,                 AJ107&lt;=1650000),                     65%,
 AND(AY107="BEV",    AZ107&gt; 160,                 AJ107&gt;1650000),                      75%)</f>
        <v>0.55000000000000004</v>
      </c>
      <c r="AY107" s="80" t="str">
        <f>_xlfn.XLOOKUP(A107,'[1]My Input'!$B:$B,'[1]My Input'!$V:$V)</f>
        <v>BEV</v>
      </c>
      <c r="AZ107" s="80">
        <f>_xlfn.IFNA(_xlfn.XLOOKUP(A107,'[1]kW Tescil'!$A:$A,'[1]kW Tescil'!$C:$C),"-")</f>
        <v>140</v>
      </c>
      <c r="BA107" s="81">
        <f>_xlfn.XLOOKUP(A107,'[1]My Input'!$B:$B,'[1]My Input'!$H:$H)</f>
        <v>0</v>
      </c>
      <c r="BC107" s="82">
        <v>6.4305479868585707</v>
      </c>
      <c r="BD107" s="82">
        <v>4.9679293629442469</v>
      </c>
      <c r="BF107" s="83">
        <v>10.583661613697657</v>
      </c>
      <c r="BG107" s="83">
        <v>9.2864838289024902</v>
      </c>
      <c r="BI107" s="84">
        <v>68039.470799999777</v>
      </c>
      <c r="BL107" s="83">
        <v>0.86996816760040474</v>
      </c>
    </row>
    <row r="108" spans="1:64" s="74" customFormat="1" ht="15" customHeight="1" x14ac:dyDescent="0.25">
      <c r="A108" s="57" t="s">
        <v>149</v>
      </c>
      <c r="B108" s="57" t="str">
        <f t="shared" si="425"/>
        <v>MBEQA 250+AMG</v>
      </c>
      <c r="C108" s="58" t="s">
        <v>37</v>
      </c>
      <c r="D108" s="59" t="s">
        <v>47</v>
      </c>
      <c r="E108" s="222" t="s">
        <v>147</v>
      </c>
      <c r="F108" s="223" t="s">
        <v>49</v>
      </c>
      <c r="G108" s="157"/>
      <c r="H108" s="63">
        <f>H94</f>
        <v>4014800</v>
      </c>
      <c r="I108" s="64">
        <f>H108/$H$112*$I$112</f>
        <v>92.949600979781593</v>
      </c>
      <c r="J108" s="65">
        <v>7.0000000000000007E-2</v>
      </c>
      <c r="K108" s="63">
        <f t="shared" si="426"/>
        <v>4114110.0499999993</v>
      </c>
      <c r="L108" s="64">
        <f>K108/$K$112*$L$112</f>
        <v>95.248801318723025</v>
      </c>
      <c r="M108" s="157"/>
      <c r="N108" s="63">
        <f t="shared" si="427"/>
        <v>3826122.3464999981</v>
      </c>
      <c r="O108" s="63">
        <f t="shared" si="428"/>
        <v>3733764</v>
      </c>
      <c r="P108" s="64">
        <f>IF(ISNUMBER(O108),O108/$O$112*$P$112,"")</f>
        <v>91.960775437443488</v>
      </c>
      <c r="Q108" s="206">
        <f>IF(ISNUMBER(N108),N108/$N$112*$Q$112,"")</f>
        <v>94.235516198311046</v>
      </c>
      <c r="R108" s="67">
        <f>_xlfn.XLOOKUP(A108,'[1]My Input'!$B:$B,'[1]My Input'!$F:$F)</f>
        <v>0</v>
      </c>
      <c r="S108" s="157"/>
      <c r="T108" s="63">
        <f t="shared" si="429"/>
        <v>3826122.3464999981</v>
      </c>
      <c r="U108" s="63">
        <f t="shared" si="430"/>
        <v>3733764</v>
      </c>
      <c r="V108" s="64">
        <f>IF(ISNUMBER(U108),U108/$U$112*$V$112,"")</f>
        <v>91.960775437443488</v>
      </c>
      <c r="W108" s="206">
        <f>IF(ISNUMBER(T108),T108/$T$112*$W$112,"")</f>
        <v>94.235516198311046</v>
      </c>
      <c r="X108" s="68">
        <f>_xlfn.XLOOKUP(A108,'[1]My Input'!$B:$B,'[1]My Input'!$I:$I)</f>
        <v>0</v>
      </c>
      <c r="Y108" s="157"/>
      <c r="Z108" s="63">
        <f t="shared" si="431"/>
        <v>3745305.516499998</v>
      </c>
      <c r="AA108" s="63">
        <f t="shared" si="432"/>
        <v>3652947.17</v>
      </c>
      <c r="AB108" s="64">
        <f>IF(ISNUMBER(AA108),AA108/$AA$112*$AB$112,"")</f>
        <v>89.874518693833167</v>
      </c>
      <c r="AC108" s="206">
        <f>IF(ISNUMBER(Z108),Z108/$Z$112*$AC$112,"")</f>
        <v>92.146837879616967</v>
      </c>
      <c r="AD108" s="154">
        <f>_xlfn.XLOOKUP(A108,'[1]My Input'!$B:$B,'[1]My Input'!$N:$N)</f>
        <v>80816.83</v>
      </c>
      <c r="AE108" s="70"/>
      <c r="AF108" s="71">
        <f>_xlfn.XLOOKUP(A108,'[1]My Input'!$B:$B,'[1]My Input'!$E:$E)</f>
        <v>7.0000000000000007E-2</v>
      </c>
      <c r="AG108" s="72">
        <f>_xlfn.XLOOKUP(A108,'[1]My Input'!$B:$B,'[1]My Input'!$G:$G)</f>
        <v>7.0000000000000007E-2</v>
      </c>
      <c r="AH108" s="73">
        <f t="shared" si="433"/>
        <v>2158494.6236559143</v>
      </c>
      <c r="AJ108" s="73">
        <f t="shared" si="434"/>
        <v>2007400.0000000002</v>
      </c>
      <c r="AK108" s="75">
        <f t="shared" si="435"/>
        <v>2007400.0000000002</v>
      </c>
      <c r="AL108" s="76">
        <f t="shared" si="436"/>
        <v>2211887.1236559134</v>
      </c>
      <c r="AM108" s="76">
        <f t="shared" si="437"/>
        <v>2057055.0249999992</v>
      </c>
      <c r="AN108" s="76">
        <f t="shared" si="438"/>
        <v>2057055.0249999992</v>
      </c>
      <c r="AO108" s="77">
        <f>_xlfn.XLOOKUP(A108,'[1]My Input'!$B:$B,'[1]My Input'!$T:$T)</f>
        <v>0</v>
      </c>
      <c r="AP108" s="78">
        <f>_xlfn.XLOOKUP(A108,'[1]My Input'!$B:$B,'[1]My Input'!$S:$S)</f>
        <v>0</v>
      </c>
      <c r="AQ108" s="67">
        <f>_xlfn.XLOOKUP(A108,'[1]My Input'!$B:$B,'[1]My Input'!$U:$U)</f>
        <v>0.55000000000000004</v>
      </c>
      <c r="AS108" s="155">
        <v>1017</v>
      </c>
      <c r="AU108" s="74" t="s">
        <v>41</v>
      </c>
      <c r="AV108" s="67" cm="1">
        <f t="array" ref="AV108">_xlfn.IFS(
 AND(AY108="ICE",  AP108&lt;=1400,AND(AK108&gt;900000,  AK108&lt;=1100000)),                    80%,
 AND(AY108="ICE",  AP108&lt;=1400,AK108&gt;1100000),                                       90%,
 AND(AY108="ICE",  AND(AP108&gt;1400,AP108&lt;=1600),   AK108&lt;=850000),                      75%,
 AND(AY108="ICE",  AND(AP108&gt;1400,AP108&lt;=1600),   AND(AK108&gt;850000,AK108&lt;=1100000)),     80%,
 AND(AY108="ICE",  AND(AP108&gt;1400,AP108&lt;=1600),   AND(AK108&gt;1100000,AK108&lt;=1650000)),    90%,
 AND(AY108="ICE",  AND(AP108&gt;1400,AP108&lt;=1600),   AK108&gt;1650000),                      100%,
 AND(AY108="ICE",  AND(AP108&gt;1600,AP108&lt;=2000),   AK108&lt;=1650000),                     150%,
 AND(AY108="ICE",  AND(AP108&gt;1600,AP108&lt;=2000),   AK108&gt;1650000),                      170%,
 AND(AY108="ICE",  AP108&gt;2000),                                                    220%,
 AND(AY108="PHEV",  AP108&lt;=1600,                AK108&lt;=1350000),                     45%,
 AND(AY108="PHEV",  AP108&lt;=1600,                AK108&gt;1350000),                      75%,
 AND(AY108="PHEV",  AND(AP108&gt;1600,AP108&lt;=1800),  AK108&lt;=1350000),                     85%,
 AND(AY108="BEV",    AZ108&lt;=160,                 AK108&lt;=1650000),                     25%,
 AND(AY108="BEV",    AZ108&lt;=160,                 AK108&gt;1650000),                      55%,
 AND(AY108="BEV",    AZ108&gt; 160,                 AK108&lt;=1650000),                     65%,
 AND(AY108="BEV",    AZ108&gt; 160,                 AK108&gt;1650000),                      75%)</f>
        <v>0.55000000000000004</v>
      </c>
      <c r="AW108" s="67" cm="1">
        <f t="array" ref="AW108">_xlfn.IFS(
 X108=0,AV108,
 AND(AY108="ICE",  AP108&lt;=1400,AND((AJ108-BA108)&gt;900000,  (AJ108-BA108)&lt;=1100000)),                    80%,
 AND(AY108="ICE",  AP108&lt;=1400,(AJ108-BA108)&gt;1100000),                                       90%,
 AND(AY108="ICE",  AND(AP108&gt;1400,AP108&lt;=1600),   (AJ108-BA108)&lt;=850000),                      75%,
 AND(AY108="ICE",  AND(AP108&gt;1400,AP108&lt;=1600),   AND((AJ108-BA108)&gt;850000,(AJ108-BA108)&lt;=1100000)),     80%,
 AND(AY108="ICE",  AND(AP108&gt;1400,AP108&lt;=1600),   AND((AJ108-BA108)&gt;1100000,(AJ108-BA108)&lt;=1650000)),    90%,
 AND(AY108="ICE",  AND(AP108&gt;1400,AP108&lt;=1600),   (AJ108-BA108)&gt;1650000),                      100%,
 AND(AY108="ICE",  AND(AP108&gt;1600,AP108&lt;=2000),   (AJ108-BA108)&lt;=1650000),                     150%,
 AND(AY108="ICE",  AND(AP108&gt;1600,AP108&lt;=2000),   (AJ108-BA108)&gt;1650000),                      170%,
 AND(AY108="ICE",  AP108&gt;2000),                                                    220%,
 AND(AY108="PHEV",  AP108&lt;=1600,                (AJ108-BA108)&lt;=1350000),                     45%,
 AND(AY108="PHEV",  AP108&lt;=1600,                (AJ108-BA108)&gt;1350000),                      75%,
 AND(AY108="PHEV",  AND(AP108&gt;1600,AP108&lt;=1800),  (AJ108-BA108)&lt;=1350000),                     85%,
 AND(AY108="BEV",    AZ108&lt;=160,                 (AJ108-BA108)&lt;=1650000),                     25%,
 AND(AY108="BEV",    AZ108&lt;=160,                 (AJ108-BA108)&gt;1650000),                      55%,
 AND(AY108="BEV",    AZ108&gt; 160,                 (AJ108-BA108)&lt;=1650000),                     65%,
 AND(AY108="BEV",    AZ108&gt; 160,                 (AJ108-BA108)&gt;1650000),                      75%)</f>
        <v>0.55000000000000004</v>
      </c>
      <c r="AX108" s="67" cm="1">
        <f t="array" ref="AX108">_xlfn.IFS(
 AD108=0,AV108,
 AND(AY108="ICE",  AP108&lt;=1400,AND(AJ108&gt;900000,  AJ108&lt;=1100000)),                    80%,
 AND(AY108="ICE",  AP108&lt;=1400,AJ108&gt;1100000),                                       90%,
 AND(AY108="ICE",  AND(AP108&gt;1400,AP108&lt;=1600),   AJ108&lt;=850000),                      75%,
 AND(AY108="ICE",  AND(AP108&gt;1400,AP108&lt;=1600),   AND(AJ108&gt;850000,AJ108&lt;=1100000)),     80%,
 AND(AY108="ICE",  AND(AP108&gt;1400,AP108&lt;=1600),   AND(AJ108&gt;1100000,AJ108&lt;=1650000)),    90%,
 AND(AY108="ICE",  AND(AP108&gt;1400,AP108&lt;=1600),   AJ108&gt;1650000),                      100%,
 AND(AY108="ICE",  AND(AP108&gt;1600,AP108&lt;=2000),   AJ108&lt;=1650000),                     150%,
 AND(AY108="ICE",  AND(AP108&gt;1600,AP108&lt;=2000),   AJ108&gt;1650000),                      170%,
 AND(AY108="ICE",  AP108&gt;2000),                                                    220%,
 AND(AY108="PHEV",  AP108&lt;=1600,                AJ108&lt;=1350000),                     45%,
 AND(AY108="PHEV",  AP108&lt;=1600,                AJ108&gt;1350000),                      75%,
 AND(AY108="PHEV",  AND(AP108&gt;1600,AP108&lt;=1800),  AJ108&lt;=1350000),                     85%,
 AND(AY108="BEV",    AZ108&lt;=160,                 AJ108&lt;=1650000),                     25%,
 AND(AY108="BEV",    AZ108&lt;=160,                 AJ108&gt;1650000),                      55%,
 AND(AY108="BEV",    AZ108&gt; 160,                 AJ108&lt;=1650000),                     65%,
 AND(AY108="BEV",    AZ108&gt; 160,                 AJ108&gt;1650000),                      75%)</f>
        <v>0.55000000000000004</v>
      </c>
      <c r="AY108" s="80" t="str">
        <f>_xlfn.XLOOKUP(A108,'[1]My Input'!$B:$B,'[1]My Input'!$V:$V)</f>
        <v>BEV</v>
      </c>
      <c r="AZ108" s="80">
        <f>_xlfn.IFNA(_xlfn.XLOOKUP(A108,'[1]kW Tescil'!$A:$A,'[1]kW Tescil'!$C:$C),"-")</f>
        <v>140</v>
      </c>
      <c r="BA108" s="81">
        <f>_xlfn.XLOOKUP(A108,'[1]My Input'!$B:$B,'[1]My Input'!$H:$H)</f>
        <v>0</v>
      </c>
      <c r="BC108" s="82">
        <v>7.3972043058190309</v>
      </c>
      <c r="BD108" s="82">
        <v>5.9833341426767817</v>
      </c>
      <c r="BF108" s="83">
        <v>11.487257640105454</v>
      </c>
      <c r="BG108" s="83">
        <v>10.239155205560778</v>
      </c>
      <c r="BI108" s="84">
        <v>443228.8620000002</v>
      </c>
      <c r="BL108" s="83">
        <v>1.9311497219039353</v>
      </c>
    </row>
    <row r="109" spans="1:64" s="74" customFormat="1" ht="15" customHeight="1" x14ac:dyDescent="0.25">
      <c r="A109" s="57" t="s">
        <v>149</v>
      </c>
      <c r="B109" s="57" t="str">
        <f t="shared" si="425"/>
        <v>MBEQA 250+AMG</v>
      </c>
      <c r="C109" s="85" t="s">
        <v>42</v>
      </c>
      <c r="D109" s="86" t="s">
        <v>47</v>
      </c>
      <c r="E109" s="87" t="s">
        <v>147</v>
      </c>
      <c r="F109" s="88" t="s">
        <v>49</v>
      </c>
      <c r="G109" s="65"/>
      <c r="H109" s="89">
        <v>4109000</v>
      </c>
      <c r="I109" s="90">
        <f>H109/$H$112*$I$112</f>
        <v>95.130494775810135</v>
      </c>
      <c r="J109" s="65">
        <v>7.0000000000000007E-2</v>
      </c>
      <c r="K109" s="89">
        <f t="shared" si="426"/>
        <v>4208310.0499999989</v>
      </c>
      <c r="L109" s="90">
        <f>K109/$K$112*$L$112</f>
        <v>97.429695114751567</v>
      </c>
      <c r="M109" s="65"/>
      <c r="N109" s="89">
        <f t="shared" si="427"/>
        <v>3913728.3464999991</v>
      </c>
      <c r="O109" s="89">
        <f t="shared" si="428"/>
        <v>3821370</v>
      </c>
      <c r="P109" s="238">
        <f>IF(ISNUMBER(O109),O109/$O$112*$P$112,"")</f>
        <v>94.118468235641956</v>
      </c>
      <c r="Q109" s="238">
        <f>IF(ISNUMBER(N109),N109/$N$112*$Q$112,"")</f>
        <v>96.393208996509543</v>
      </c>
      <c r="R109" s="67">
        <f>_xlfn.XLOOKUP(A109,'[1]My Input'!$B:$B,'[1]My Input'!$F:$F)</f>
        <v>0</v>
      </c>
      <c r="S109" s="65"/>
      <c r="T109" s="89">
        <f t="shared" si="429"/>
        <v>3913728.3464999991</v>
      </c>
      <c r="U109" s="89">
        <f t="shared" si="430"/>
        <v>3821370</v>
      </c>
      <c r="V109" s="238">
        <f>IF(ISNUMBER(U109),U109/$U$112*$V$112,"")</f>
        <v>94.118468235641956</v>
      </c>
      <c r="W109" s="238">
        <f>IF(ISNUMBER(T109),T109/$T$112*$W$112,"")</f>
        <v>96.393208996509543</v>
      </c>
      <c r="X109" s="92">
        <f>_xlfn.XLOOKUP(A109,'[1]My Input'!$B:$B,'[1]My Input'!$I:$I)</f>
        <v>0</v>
      </c>
      <c r="Y109" s="65"/>
      <c r="Z109" s="89">
        <f t="shared" si="431"/>
        <v>3832911.516499999</v>
      </c>
      <c r="AA109" s="89">
        <f t="shared" si="432"/>
        <v>3740553.17</v>
      </c>
      <c r="AB109" s="238">
        <f>IF(ISNUMBER(AA109),AA109/$AA$112*$AB$112,"")</f>
        <v>92.02991452034658</v>
      </c>
      <c r="AC109" s="238">
        <f>IF(ISNUMBER(Z109),Z109/$Z$112*$AC$112,"")</f>
        <v>94.302233706130394</v>
      </c>
      <c r="AD109" s="93">
        <f>_xlfn.XLOOKUP(A109,'[1]My Input'!$B:$B,'[1]My Input'!$N:$N)</f>
        <v>80816.83</v>
      </c>
      <c r="AE109" s="70"/>
      <c r="AF109" s="71">
        <v>7.0000000000000007E-2</v>
      </c>
      <c r="AG109" s="208">
        <v>7.0000000000000007E-2</v>
      </c>
      <c r="AH109" s="73">
        <f t="shared" si="433"/>
        <v>2209139.7849462368</v>
      </c>
      <c r="AJ109" s="73">
        <f t="shared" si="434"/>
        <v>2054500</v>
      </c>
      <c r="AK109" s="75">
        <f t="shared" si="435"/>
        <v>2054500</v>
      </c>
      <c r="AL109" s="76">
        <f t="shared" si="436"/>
        <v>2262532.2849462363</v>
      </c>
      <c r="AM109" s="76">
        <f t="shared" si="437"/>
        <v>2104155.0249999994</v>
      </c>
      <c r="AN109" s="76">
        <f t="shared" si="438"/>
        <v>2104155.0249999994</v>
      </c>
      <c r="AO109" s="77">
        <f>_xlfn.XLOOKUP(A109,'[1]My Input'!$B:$B,'[1]My Input'!$T:$T)</f>
        <v>0</v>
      </c>
      <c r="AP109" s="78">
        <f>_xlfn.XLOOKUP(A109,'[1]My Input'!$B:$B,'[1]My Input'!$S:$S)</f>
        <v>0</v>
      </c>
      <c r="AQ109" s="67">
        <f>_xlfn.XLOOKUP(A109,'[1]My Input'!$B:$B,'[1]My Input'!$U:$U)</f>
        <v>0.55000000000000004</v>
      </c>
      <c r="AS109" s="155">
        <v>1017</v>
      </c>
      <c r="AU109" s="74" t="s">
        <v>41</v>
      </c>
      <c r="AV109" s="67" cm="1">
        <f t="array" ref="AV109">_xlfn.IFS(
 AND(AY109="ICE",  AP109&lt;=1400,AND(AK109&gt;900000,  AK109&lt;=1100000)),                    80%,
 AND(AY109="ICE",  AP109&lt;=1400,AK109&gt;1100000),                                       90%,
 AND(AY109="ICE",  AND(AP109&gt;1400,AP109&lt;=1600),   AK109&lt;=850000),                      75%,
 AND(AY109="ICE",  AND(AP109&gt;1400,AP109&lt;=1600),   AND(AK109&gt;850000,AK109&lt;=1100000)),     80%,
 AND(AY109="ICE",  AND(AP109&gt;1400,AP109&lt;=1600),   AND(AK109&gt;1100000,AK109&lt;=1650000)),    90%,
 AND(AY109="ICE",  AND(AP109&gt;1400,AP109&lt;=1600),   AK109&gt;1650000),                      100%,
 AND(AY109="ICE",  AND(AP109&gt;1600,AP109&lt;=2000),   AK109&lt;=1650000),                     150%,
 AND(AY109="ICE",  AND(AP109&gt;1600,AP109&lt;=2000),   AK109&gt;1650000),                      170%,
 AND(AY109="ICE",  AP109&gt;2000),                                                    220%,
 AND(AY109="PHEV",  AP109&lt;=1600,                AK109&lt;=1350000),                     45%,
 AND(AY109="PHEV",  AP109&lt;=1600,                AK109&gt;1350000),                      75%,
 AND(AY109="PHEV",  AND(AP109&gt;1600,AP109&lt;=1800),  AK109&lt;=1350000),                     85%,
 AND(AY109="BEV",    AZ109&lt;=160,                 AK109&lt;=1650000),                     25%,
 AND(AY109="BEV",    AZ109&lt;=160,                 AK109&gt;1650000),                      55%,
 AND(AY109="BEV",    AZ109&gt; 160,                 AK109&lt;=1650000),                     65%,
 AND(AY109="BEV",    AZ109&gt; 160,                 AK109&gt;1650000),                      75%)</f>
        <v>0.55000000000000004</v>
      </c>
      <c r="AW109" s="67" cm="1">
        <f t="array" ref="AW109">_xlfn.IFS(
 X109=0,AV109,
 AND(AY109="ICE",  AP109&lt;=1400,AND((AJ109-BA109)&gt;900000,  (AJ109-BA109)&lt;=1100000)),                    80%,
 AND(AY109="ICE",  AP109&lt;=1400,(AJ109-BA109)&gt;1100000),                                       90%,
 AND(AY109="ICE",  AND(AP109&gt;1400,AP109&lt;=1600),   (AJ109-BA109)&lt;=850000),                      75%,
 AND(AY109="ICE",  AND(AP109&gt;1400,AP109&lt;=1600),   AND((AJ109-BA109)&gt;850000,(AJ109-BA109)&lt;=1100000)),     80%,
 AND(AY109="ICE",  AND(AP109&gt;1400,AP109&lt;=1600),   AND((AJ109-BA109)&gt;1100000,(AJ109-BA109)&lt;=1650000)),    90%,
 AND(AY109="ICE",  AND(AP109&gt;1400,AP109&lt;=1600),   (AJ109-BA109)&gt;1650000),                      100%,
 AND(AY109="ICE",  AND(AP109&gt;1600,AP109&lt;=2000),   (AJ109-BA109)&lt;=1650000),                     150%,
 AND(AY109="ICE",  AND(AP109&gt;1600,AP109&lt;=2000),   (AJ109-BA109)&gt;1650000),                      170%,
 AND(AY109="ICE",  AP109&gt;2000),                                                    220%,
 AND(AY109="PHEV",  AP109&lt;=1600,                (AJ109-BA109)&lt;=1350000),                     45%,
 AND(AY109="PHEV",  AP109&lt;=1600,                (AJ109-BA109)&gt;1350000),                      75%,
 AND(AY109="PHEV",  AND(AP109&gt;1600,AP109&lt;=1800),  (AJ109-BA109)&lt;=1350000),                     85%,
 AND(AY109="BEV",    AZ109&lt;=160,                 (AJ109-BA109)&lt;=1650000),                     25%,
 AND(AY109="BEV",    AZ109&lt;=160,                 (AJ109-BA109)&gt;1650000),                      55%,
 AND(AY109="BEV",    AZ109&gt; 160,                 (AJ109-BA109)&lt;=1650000),                     65%,
 AND(AY109="BEV",    AZ109&gt; 160,                 (AJ109-BA109)&gt;1650000),                      75%)</f>
        <v>0.55000000000000004</v>
      </c>
      <c r="AX109" s="67" cm="1">
        <f t="array" ref="AX109">_xlfn.IFS(
 AD109=0,AV109,
 AND(AY109="ICE",  AP109&lt;=1400,AND(AJ109&gt;900000,  AJ109&lt;=1100000)),                    80%,
 AND(AY109="ICE",  AP109&lt;=1400,AJ109&gt;1100000),                                       90%,
 AND(AY109="ICE",  AND(AP109&gt;1400,AP109&lt;=1600),   AJ109&lt;=850000),                      75%,
 AND(AY109="ICE",  AND(AP109&gt;1400,AP109&lt;=1600),   AND(AJ109&gt;850000,AJ109&lt;=1100000)),     80%,
 AND(AY109="ICE",  AND(AP109&gt;1400,AP109&lt;=1600),   AND(AJ109&gt;1100000,AJ109&lt;=1650000)),    90%,
 AND(AY109="ICE",  AND(AP109&gt;1400,AP109&lt;=1600),   AJ109&gt;1650000),                      100%,
 AND(AY109="ICE",  AND(AP109&gt;1600,AP109&lt;=2000),   AJ109&lt;=1650000),                     150%,
 AND(AY109="ICE",  AND(AP109&gt;1600,AP109&lt;=2000),   AJ109&gt;1650000),                      170%,
 AND(AY109="ICE",  AP109&gt;2000),                                                    220%,
 AND(AY109="PHEV",  AP109&lt;=1600,                AJ109&lt;=1350000),                     45%,
 AND(AY109="PHEV",  AP109&lt;=1600,                AJ109&gt;1350000),                      75%,
 AND(AY109="PHEV",  AND(AP109&gt;1600,AP109&lt;=1800),  AJ109&lt;=1350000),                     85%,
 AND(AY109="BEV",    AZ109&lt;=160,                 AJ109&lt;=1650000),                     25%,
 AND(AY109="BEV",    AZ109&lt;=160,                 AJ109&gt;1650000),                      55%,
 AND(AY109="BEV",    AZ109&gt; 160,                 AJ109&lt;=1650000),                     65%,
 AND(AY109="BEV",    AZ109&gt; 160,                 AJ109&gt;1650000),                      75%)</f>
        <v>0.55000000000000004</v>
      </c>
      <c r="AY109" s="80" t="str">
        <f>_xlfn.XLOOKUP(A109,'[1]My Input'!$B:$B,'[1]My Input'!$V:$V)</f>
        <v>BEV</v>
      </c>
      <c r="AZ109" s="80">
        <f>_xlfn.IFNA(_xlfn.XLOOKUP(A109,'[1]kW Tescil'!$A:$A,'[1]kW Tescil'!$C:$C),"-")</f>
        <v>140</v>
      </c>
      <c r="BA109" s="81">
        <f>_xlfn.XLOOKUP(A109,'[1]My Input'!$B:$B,'[1]My Input'!$H:$H)</f>
        <v>0</v>
      </c>
      <c r="BC109" s="82">
        <v>7.3972043058190309</v>
      </c>
      <c r="BD109" s="82">
        <v>5.9833341426767817</v>
      </c>
      <c r="BF109" s="83">
        <v>11.487257640105454</v>
      </c>
      <c r="BG109" s="83">
        <v>10.239155205560778</v>
      </c>
      <c r="BI109" s="84">
        <v>443228.8620000002</v>
      </c>
      <c r="BL109" s="83">
        <v>1.9311497219039353</v>
      </c>
    </row>
    <row r="110" spans="1:64" s="74" customFormat="1" ht="15" hidden="1" customHeight="1" x14ac:dyDescent="0.25">
      <c r="A110" s="57" t="s">
        <v>162</v>
      </c>
      <c r="B110" s="57" t="str">
        <f t="shared" si="425"/>
        <v>AudiQ4 Sportback 45 e-tronBase Line</v>
      </c>
      <c r="C110" s="58" t="s">
        <v>37</v>
      </c>
      <c r="D110" s="86" t="s">
        <v>38</v>
      </c>
      <c r="E110" s="87" t="s">
        <v>163</v>
      </c>
      <c r="F110" s="88" t="s">
        <v>164</v>
      </c>
      <c r="G110" s="157"/>
      <c r="H110" s="89">
        <v>4101541</v>
      </c>
      <c r="I110" s="90">
        <f>H110/$H$112*$I$112</f>
        <v>94.95780595601633</v>
      </c>
      <c r="J110" s="157"/>
      <c r="K110" s="89">
        <f t="shared" si="426"/>
        <v>3682480.75</v>
      </c>
      <c r="L110" s="90">
        <f>K110/$K$112*$L$112</f>
        <v>85.255832501800043</v>
      </c>
      <c r="M110" s="157"/>
      <c r="N110" s="89">
        <f t="shared" si="427"/>
        <v>3682480.7499999995</v>
      </c>
      <c r="O110" s="89">
        <f t="shared" si="428"/>
        <v>4101540.9999999995</v>
      </c>
      <c r="P110" s="238">
        <f>IF(ISNUMBER(O110),O110/$O$112*$P$112,"")</f>
        <v>101.01894250640034</v>
      </c>
      <c r="Q110" s="238">
        <f>IF(ISNUMBER(N110),N110/$N$112*$Q$112,"")</f>
        <v>90.697694150851106</v>
      </c>
      <c r="R110" s="67">
        <f>_xlfn.XLOOKUP(A110,'[1]My Input'!$B:$B,'[1]My Input'!$F:$F)</f>
        <v>0</v>
      </c>
      <c r="S110" s="157"/>
      <c r="T110" s="89">
        <f t="shared" si="429"/>
        <v>3682480.7499999995</v>
      </c>
      <c r="U110" s="89">
        <f t="shared" si="430"/>
        <v>4101540.9999999995</v>
      </c>
      <c r="V110" s="238">
        <f>IF(ISNUMBER(U110),U110/$U$112*$V$112,"")</f>
        <v>101.01894250640034</v>
      </c>
      <c r="W110" s="238">
        <f>IF(ISNUMBER(T110),T110/$T$112*$W$112,"")</f>
        <v>90.697694150851106</v>
      </c>
      <c r="X110" s="92">
        <f>_xlfn.XLOOKUP(A110,'[1]My Input'!$B:$B,'[1]My Input'!$I:$I)</f>
        <v>0</v>
      </c>
      <c r="Y110" s="157"/>
      <c r="Z110" s="89">
        <f t="shared" si="431"/>
        <v>3682480.7499999995</v>
      </c>
      <c r="AA110" s="89">
        <f t="shared" si="432"/>
        <v>4101540.9999999995</v>
      </c>
      <c r="AB110" s="238">
        <f>IF(ISNUMBER(AA110),AA110/$AA$112*$AB$112,"")</f>
        <v>100.91140279973531</v>
      </c>
      <c r="AC110" s="238">
        <f>IF(ISNUMBER(Z110),Z110/$Z$112*$AC$112,"")</f>
        <v>90.601141928246335</v>
      </c>
      <c r="AD110" s="93">
        <f>_xlfn.XLOOKUP(A110,'[1]My Input'!$B:$B,'[1]My Input'!$N:$N)</f>
        <v>0</v>
      </c>
      <c r="AE110" s="70"/>
      <c r="AF110" s="71">
        <f>_xlfn.XLOOKUP(A110,'[1]My Input'!$B:$B,'[1]My Input'!$E:$E)</f>
        <v>0</v>
      </c>
      <c r="AG110" s="72">
        <f>_xlfn.XLOOKUP(A110,'[1]My Input'!$B:$B,'[1]My Input'!$G:$G)</f>
        <v>0</v>
      </c>
      <c r="AH110" s="73">
        <f t="shared" si="433"/>
        <v>1953114.7619047619</v>
      </c>
      <c r="AJ110" s="73">
        <f t="shared" si="434"/>
        <v>1953114.7619047619</v>
      </c>
      <c r="AK110" s="75">
        <f t="shared" si="435"/>
        <v>1953114.7619047619</v>
      </c>
      <c r="AL110" s="76">
        <f t="shared" si="436"/>
        <v>1753562.2619047619</v>
      </c>
      <c r="AM110" s="76">
        <f t="shared" si="437"/>
        <v>1753562.2619047619</v>
      </c>
      <c r="AN110" s="76">
        <f t="shared" si="438"/>
        <v>1753562.2619047619</v>
      </c>
      <c r="AO110" s="77">
        <f>_xlfn.XLOOKUP(A110,'[1]My Input'!$B:$B,'[1]My Input'!$T:$T)</f>
        <v>0</v>
      </c>
      <c r="AP110" s="78">
        <f>_xlfn.XLOOKUP(A110,'[1]My Input'!$B:$B,'[1]My Input'!$S:$S)</f>
        <v>0</v>
      </c>
      <c r="AQ110" s="67">
        <f>_xlfn.XLOOKUP(A110,'[1]My Input'!$B:$B,'[1]My Input'!$U:$U)</f>
        <v>0.75</v>
      </c>
      <c r="AS110" s="103">
        <v>-3801</v>
      </c>
      <c r="AV110" s="67" cm="1">
        <f t="array" ref="AV110">_xlfn.IFS(
 AND(AY110="ICE",  AP110&lt;=1400,AND(AK110&gt;900000,  AK110&lt;=1100000)),                    80%,
 AND(AY110="ICE",  AP110&lt;=1400,AK110&gt;1100000),                                       90%,
 AND(AY110="ICE",  AND(AP110&gt;1400,AP110&lt;=1600),   AK110&lt;=850000),                      75%,
 AND(AY110="ICE",  AND(AP110&gt;1400,AP110&lt;=1600),   AND(AK110&gt;850000,AK110&lt;=1100000)),     80%,
 AND(AY110="ICE",  AND(AP110&gt;1400,AP110&lt;=1600),   AND(AK110&gt;1100000,AK110&lt;=1650000)),    90%,
 AND(AY110="ICE",  AND(AP110&gt;1400,AP110&lt;=1600),   AK110&gt;1650000),                      100%,
 AND(AY110="ICE",  AND(AP110&gt;1600,AP110&lt;=2000),   AK110&lt;=1650000),                     150%,
 AND(AY110="ICE",  AND(AP110&gt;1600,AP110&lt;=2000),   AK110&gt;1650000),                      170%,
 AND(AY110="ICE",  AP110&gt;2000),                                                    220%,
 AND(AY110="PHEV",  AP110&lt;=1600,                AK110&lt;=1350000),                     45%,
 AND(AY110="PHEV",  AP110&lt;=1600,                AK110&gt;1350000),                      75%,
 AND(AY110="PHEV",  AND(AP110&gt;1600,AP110&lt;=1800),  AK110&lt;=1350000),                     85%,
 AND(AY110="BEV",    AZ110&lt;=160,                 AK110&lt;=1650000),                     25%,
 AND(AY110="BEV",    AZ110&lt;=160,                 AK110&gt;1650000),                      55%,
 AND(AY110="BEV",    AZ110&gt; 160,                 AK110&lt;=1650000),                     65%,
 AND(AY110="BEV",    AZ110&gt; 160,                 AK110&gt;1650000),                      75%)</f>
        <v>0.75</v>
      </c>
      <c r="AW110" s="67" cm="1">
        <f t="array" ref="AW110">_xlfn.IFS(
 X110=0,AV110,
 AND(AY110="ICE",  AP110&lt;=1400,AND((AJ110-BA110)&gt;900000,  (AJ110-BA110)&lt;=1100000)),                    80%,
 AND(AY110="ICE",  AP110&lt;=1400,(AJ110-BA110)&gt;1100000),                                       90%,
 AND(AY110="ICE",  AND(AP110&gt;1400,AP110&lt;=1600),   (AJ110-BA110)&lt;=850000),                      75%,
 AND(AY110="ICE",  AND(AP110&gt;1400,AP110&lt;=1600),   AND((AJ110-BA110)&gt;850000,(AJ110-BA110)&lt;=1100000)),     80%,
 AND(AY110="ICE",  AND(AP110&gt;1400,AP110&lt;=1600),   AND((AJ110-BA110)&gt;1100000,(AJ110-BA110)&lt;=1650000)),    90%,
 AND(AY110="ICE",  AND(AP110&gt;1400,AP110&lt;=1600),   (AJ110-BA110)&gt;1650000),                      100%,
 AND(AY110="ICE",  AND(AP110&gt;1600,AP110&lt;=2000),   (AJ110-BA110)&lt;=1650000),                     150%,
 AND(AY110="ICE",  AND(AP110&gt;1600,AP110&lt;=2000),   (AJ110-BA110)&gt;1650000),                      170%,
 AND(AY110="ICE",  AP110&gt;2000),                                                    220%,
 AND(AY110="PHEV",  AP110&lt;=1600,                (AJ110-BA110)&lt;=1350000),                     45%,
 AND(AY110="PHEV",  AP110&lt;=1600,                (AJ110-BA110)&gt;1350000),                      75%,
 AND(AY110="PHEV",  AND(AP110&gt;1600,AP110&lt;=1800),  (AJ110-BA110)&lt;=1350000),                     85%,
 AND(AY110="BEV",    AZ110&lt;=160,                 (AJ110-BA110)&lt;=1650000),                     25%,
 AND(AY110="BEV",    AZ110&lt;=160,                 (AJ110-BA110)&gt;1650000),                      55%,
 AND(AY110="BEV",    AZ110&gt; 160,                 (AJ110-BA110)&lt;=1650000),                     65%,
 AND(AY110="BEV",    AZ110&gt; 160,                 (AJ110-BA110)&gt;1650000),                      75%)</f>
        <v>0.75</v>
      </c>
      <c r="AX110" s="67" cm="1">
        <f t="array" ref="AX110">_xlfn.IFS(
 AD110=0,AV110,
 AND(AY110="ICE",  AP110&lt;=1400,AND(AJ110&gt;900000,  AJ110&lt;=1100000)),                    80%,
 AND(AY110="ICE",  AP110&lt;=1400,AJ110&gt;1100000),                                       90%,
 AND(AY110="ICE",  AND(AP110&gt;1400,AP110&lt;=1600),   AJ110&lt;=850000),                      75%,
 AND(AY110="ICE",  AND(AP110&gt;1400,AP110&lt;=1600),   AND(AJ110&gt;850000,AJ110&lt;=1100000)),     80%,
 AND(AY110="ICE",  AND(AP110&gt;1400,AP110&lt;=1600),   AND(AJ110&gt;1100000,AJ110&lt;=1650000)),    90%,
 AND(AY110="ICE",  AND(AP110&gt;1400,AP110&lt;=1600),   AJ110&gt;1650000),                      100%,
 AND(AY110="ICE",  AND(AP110&gt;1600,AP110&lt;=2000),   AJ110&lt;=1650000),                     150%,
 AND(AY110="ICE",  AND(AP110&gt;1600,AP110&lt;=2000),   AJ110&gt;1650000),                      170%,
 AND(AY110="ICE",  AP110&gt;2000),                                                    220%,
 AND(AY110="PHEV",  AP110&lt;=1600,                AJ110&lt;=1350000),                     45%,
 AND(AY110="PHEV",  AP110&lt;=1600,                AJ110&gt;1350000),                      75%,
 AND(AY110="PHEV",  AND(AP110&gt;1600,AP110&lt;=1800),  AJ110&lt;=1350000),                     85%,
 AND(AY110="BEV",    AZ110&lt;=160,                 AJ110&lt;=1650000),                     25%,
 AND(AY110="BEV",    AZ110&lt;=160,                 AJ110&gt;1650000),                      55%,
 AND(AY110="BEV",    AZ110&gt; 160,                 AJ110&lt;=1650000),                     65%,
 AND(AY110="BEV",    AZ110&gt; 160,                 AJ110&gt;1650000),                      75%)</f>
        <v>0.75</v>
      </c>
      <c r="AY110" s="80" t="str">
        <f>_xlfn.XLOOKUP(A110,'[1]My Input'!$B:$B,'[1]My Input'!$V:$V)</f>
        <v>BEV</v>
      </c>
      <c r="AZ110" s="80">
        <f>_xlfn.IFNA(_xlfn.XLOOKUP(A110,'[1]kW Tescil'!$A:$A,'[1]kW Tescil'!$C:$C),"-")</f>
        <v>210</v>
      </c>
      <c r="BA110" s="81">
        <f>_xlfn.XLOOKUP(A110,'[1]My Input'!$B:$B,'[1]My Input'!$H:$H)</f>
        <v>0</v>
      </c>
      <c r="BC110" s="82">
        <v>-5.2693476344673513</v>
      </c>
      <c r="BD110" s="82">
        <v>-5.3451184049045679</v>
      </c>
      <c r="BF110" s="83">
        <v>6.046169690158365E-2</v>
      </c>
      <c r="BG110" s="83">
        <v>-0.5117753616692795</v>
      </c>
      <c r="BI110" s="84">
        <v>0</v>
      </c>
      <c r="BL110" s="83">
        <v>-4.7991038585517316</v>
      </c>
    </row>
    <row r="111" spans="1:64" s="74" customFormat="1" ht="15" customHeight="1" x14ac:dyDescent="0.25">
      <c r="A111" s="57" t="s">
        <v>165</v>
      </c>
      <c r="B111" s="57" t="str">
        <f t="shared" si="425"/>
        <v>AudiQ4 Sportback 40 e-tron</v>
      </c>
      <c r="C111" s="58" t="s">
        <v>37</v>
      </c>
      <c r="D111" s="86" t="s">
        <v>38</v>
      </c>
      <c r="E111" s="87" t="s">
        <v>166</v>
      </c>
      <c r="F111" s="88"/>
      <c r="G111" s="157"/>
      <c r="H111" s="89">
        <v>4591763</v>
      </c>
      <c r="I111" s="90">
        <f>H111/$H$112*$I$112</f>
        <v>106.30729765959073</v>
      </c>
      <c r="J111" s="65">
        <v>0.21</v>
      </c>
      <c r="K111" s="89">
        <f t="shared" si="426"/>
        <v>4768704.8</v>
      </c>
      <c r="L111" s="90">
        <f>K111/$K$112*$L$112</f>
        <v>110.40380799799969</v>
      </c>
      <c r="M111" s="157"/>
      <c r="N111" s="89">
        <f t="shared" si="427"/>
        <v>3767276.7919999994</v>
      </c>
      <c r="O111" s="89">
        <f t="shared" si="428"/>
        <v>3627492.7700000005</v>
      </c>
      <c r="P111" s="238">
        <f>IF(ISNUMBER(O111),O111/$O$112*$P$112,"")</f>
        <v>89.343367181996484</v>
      </c>
      <c r="Q111" s="207">
        <f>IF(ISNUMBER(N111),N111/$N$112*$Q$112,"")</f>
        <v>92.786179062148662</v>
      </c>
      <c r="R111" s="67">
        <f>_xlfn.XLOOKUP(A111,'[1]My Input'!$B:$B,'[1]My Input'!$F:$F)</f>
        <v>0.03</v>
      </c>
      <c r="S111" s="157"/>
      <c r="T111" s="89">
        <f t="shared" si="429"/>
        <v>3767276.7919999994</v>
      </c>
      <c r="U111" s="89">
        <f t="shared" si="430"/>
        <v>3627492.7700000005</v>
      </c>
      <c r="V111" s="238">
        <f>IF(ISNUMBER(U111),U111/$U$112*$V$112,"")</f>
        <v>89.343367181996484</v>
      </c>
      <c r="W111" s="207">
        <f>IF(ISNUMBER(T111),T111/$T$112*$W$112,"")</f>
        <v>92.786179062148662</v>
      </c>
      <c r="X111" s="92">
        <f>_xlfn.XLOOKUP(A111,'[1]My Input'!$B:$B,'[1]My Input'!$I:$I)</f>
        <v>0</v>
      </c>
      <c r="Y111" s="157"/>
      <c r="Z111" s="89">
        <f t="shared" si="431"/>
        <v>3790084.2660000003</v>
      </c>
      <c r="AA111" s="89">
        <f t="shared" si="432"/>
        <v>3644991.99</v>
      </c>
      <c r="AB111" s="238">
        <f>IF(ISNUMBER(AA111),AA111/$U$112*$V$112,"")</f>
        <v>89.774364385020121</v>
      </c>
      <c r="AC111" s="207">
        <f>IF(ISNUMBER(Z111),Z111/$Z$112*$AC$112,"")</f>
        <v>93.248542440820472</v>
      </c>
      <c r="AD111" s="93">
        <f>_xlfn.XLOOKUP(A111,'[1]My Input'!$B:$B,'[1]My Input'!$N:$N)</f>
        <v>120253.67</v>
      </c>
      <c r="AE111" s="70"/>
      <c r="AF111" s="71">
        <f>_xlfn.XLOOKUP(A111,'[1]My Input'!$B:$B,'[1]My Input'!$E:$E)</f>
        <v>0.18</v>
      </c>
      <c r="AG111" s="72">
        <f>_xlfn.XLOOKUP(A111,'[1]My Input'!$B:$B,'[1]My Input'!$G:$G)</f>
        <v>0.21</v>
      </c>
      <c r="AH111" s="73">
        <f t="shared" si="433"/>
        <v>2468689.7849462368</v>
      </c>
      <c r="AJ111" s="73">
        <f t="shared" si="434"/>
        <v>2024325.6236559143</v>
      </c>
      <c r="AK111" s="75">
        <f t="shared" si="435"/>
        <v>1950264.9301075272</v>
      </c>
      <c r="AL111" s="76">
        <f t="shared" si="436"/>
        <v>2563819.7849462363</v>
      </c>
      <c r="AM111" s="76">
        <f t="shared" si="437"/>
        <v>2102332.223655914</v>
      </c>
      <c r="AN111" s="76">
        <f t="shared" si="438"/>
        <v>2025417.6301075267</v>
      </c>
      <c r="AO111" s="77">
        <f>_xlfn.XLOOKUP(A111,'[1]My Input'!$B:$B,'[1]My Input'!$T:$T)</f>
        <v>0</v>
      </c>
      <c r="AP111" s="78">
        <f>_xlfn.XLOOKUP(A111,'[1]My Input'!$B:$B,'[1]My Input'!$S:$S)</f>
        <v>0</v>
      </c>
      <c r="AQ111" s="67">
        <f>_xlfn.XLOOKUP(A111,'[1]My Input'!$B:$B,'[1]My Input'!$U:$U)</f>
        <v>0.55000000000000004</v>
      </c>
      <c r="AS111" s="103">
        <v>1812</v>
      </c>
      <c r="AU111" s="74" t="s">
        <v>41</v>
      </c>
      <c r="AV111" s="67" cm="1">
        <f t="array" ref="AV111">_xlfn.IFS(
 AND(AY111="ICE",  AP111&lt;=1400,AND(AK111&gt;900000,  AK111&lt;=1100000)),                    80%,
 AND(AY111="ICE",  AP111&lt;=1400,AK111&gt;1100000),                                       90%,
 AND(AY111="ICE",  AND(AP111&gt;1400,AP111&lt;=1600),   AK111&lt;=850000),                      75%,
 AND(AY111="ICE",  AND(AP111&gt;1400,AP111&lt;=1600),   AND(AK111&gt;850000,AK111&lt;=1100000)),     80%,
 AND(AY111="ICE",  AND(AP111&gt;1400,AP111&lt;=1600),   AND(AK111&gt;1100000,AK111&lt;=1650000)),    90%,
 AND(AY111="ICE",  AND(AP111&gt;1400,AP111&lt;=1600),   AK111&gt;1650000),                      100%,
 AND(AY111="ICE",  AND(AP111&gt;1600,AP111&lt;=2000),   AK111&lt;=1650000),                     150%,
 AND(AY111="ICE",  AND(AP111&gt;1600,AP111&lt;=2000),   AK111&gt;1650000),                      170%,
 AND(AY111="ICE",  AP111&gt;2000),                                                    220%,
 AND(AY111="PHEV",  AP111&lt;=1600,                AK111&lt;=1350000),                     45%,
 AND(AY111="PHEV",  AP111&lt;=1600,                AK111&gt;1350000),                      75%,
 AND(AY111="PHEV",  AND(AP111&gt;1600,AP111&lt;=1800),  AK111&lt;=1350000),                     85%,
 AND(AY111="BEV",    AZ111&lt;=160,                 AK111&lt;=1650000),                     25%,
 AND(AY111="BEV",    AZ111&lt;=160,                 AK111&gt;1650000),                      55%,
 AND(AY111="BEV",    AZ111&gt; 160,                 AK111&lt;=1650000),                     65%,
 AND(AY111="BEV",    AZ111&gt; 160,                 AK111&gt;1650000),                      75%)</f>
        <v>0.55000000000000004</v>
      </c>
      <c r="AW111" s="67" cm="1">
        <f t="array" ref="AW111">_xlfn.IFS(
 X111=0,AV111,
 AND(AY111="ICE",  AP111&lt;=1400,AND((AJ111-BA111)&gt;900000,  (AJ111-BA111)&lt;=1100000)),                    80%,
 AND(AY111="ICE",  AP111&lt;=1400,(AJ111-BA111)&gt;1100000),                                       90%,
 AND(AY111="ICE",  AND(AP111&gt;1400,AP111&lt;=1600),   (AJ111-BA111)&lt;=850000),                      75%,
 AND(AY111="ICE",  AND(AP111&gt;1400,AP111&lt;=1600),   AND((AJ111-BA111)&gt;850000,(AJ111-BA111)&lt;=1100000)),     80%,
 AND(AY111="ICE",  AND(AP111&gt;1400,AP111&lt;=1600),   AND((AJ111-BA111)&gt;1100000,(AJ111-BA111)&lt;=1650000)),    90%,
 AND(AY111="ICE",  AND(AP111&gt;1400,AP111&lt;=1600),   (AJ111-BA111)&gt;1650000),                      100%,
 AND(AY111="ICE",  AND(AP111&gt;1600,AP111&lt;=2000),   (AJ111-BA111)&lt;=1650000),                     150%,
 AND(AY111="ICE",  AND(AP111&gt;1600,AP111&lt;=2000),   (AJ111-BA111)&gt;1650000),                      170%,
 AND(AY111="ICE",  AP111&gt;2000),                                                    220%,
 AND(AY111="PHEV",  AP111&lt;=1600,                (AJ111-BA111)&lt;=1350000),                     45%,
 AND(AY111="PHEV",  AP111&lt;=1600,                (AJ111-BA111)&gt;1350000),                      75%,
 AND(AY111="PHEV",  AND(AP111&gt;1600,AP111&lt;=1800),  (AJ111-BA111)&lt;=1350000),                     85%,
 AND(AY111="BEV",    AZ111&lt;=160,                 (AJ111-BA111)&lt;=1650000),                     25%,
 AND(AY111="BEV",    AZ111&lt;=160,                 (AJ111-BA111)&gt;1650000),                      55%,
 AND(AY111="BEV",    AZ111&gt; 160,                 (AJ111-BA111)&lt;=1650000),                     65%,
 AND(AY111="BEV",    AZ111&gt; 160,                 (AJ111-BA111)&gt;1650000),                      75%)</f>
        <v>0.55000000000000004</v>
      </c>
      <c r="AX111" s="67" cm="1">
        <f t="array" ref="AX111">_xlfn.IFS(
 AD111=0,AV111,
 AND(AY111="ICE",  AP111&lt;=1400,AND(AJ111&gt;900000,  AJ111&lt;=1100000)),                    80%,
 AND(AY111="ICE",  AP111&lt;=1400,AJ111&gt;1100000),                                       90%,
 AND(AY111="ICE",  AND(AP111&gt;1400,AP111&lt;=1600),   AJ111&lt;=850000),                      75%,
 AND(AY111="ICE",  AND(AP111&gt;1400,AP111&lt;=1600),   AND(AJ111&gt;850000,AJ111&lt;=1100000)),     80%,
 AND(AY111="ICE",  AND(AP111&gt;1400,AP111&lt;=1600),   AND(AJ111&gt;1100000,AJ111&lt;=1650000)),    90%,
 AND(AY111="ICE",  AND(AP111&gt;1400,AP111&lt;=1600),   AJ111&gt;1650000),                      100%,
 AND(AY111="ICE",  AND(AP111&gt;1600,AP111&lt;=2000),   AJ111&lt;=1650000),                     150%,
 AND(AY111="ICE",  AND(AP111&gt;1600,AP111&lt;=2000),   AJ111&gt;1650000),                      170%,
 AND(AY111="ICE",  AP111&gt;2000),                                                    220%,
 AND(AY111="PHEV",  AP111&lt;=1600,                AJ111&lt;=1350000),                     45%,
 AND(AY111="PHEV",  AP111&lt;=1600,                AJ111&gt;1350000),                      75%,
 AND(AY111="PHEV",  AND(AP111&gt;1600,AP111&lt;=1800),  AJ111&lt;=1350000),                     85%,
 AND(AY111="BEV",    AZ111&lt;=160,                 AJ111&lt;=1650000),                     25%,
 AND(AY111="BEV",    AZ111&lt;=160,                 AJ111&gt;1650000),                      55%,
 AND(AY111="BEV",    AZ111&gt; 160,                 AJ111&lt;=1650000),                     65%,
 AND(AY111="BEV",    AZ111&gt; 160,                 AJ111&gt;1650000),                      75%)</f>
        <v>0.55000000000000004</v>
      </c>
      <c r="AY111" s="80" t="str">
        <f>_xlfn.XLOOKUP(A111,'[1]My Input'!$B:$B,'[1]My Input'!$V:$V)</f>
        <v>BEV</v>
      </c>
      <c r="AZ111" s="80">
        <f>_xlfn.IFNA(_xlfn.XLOOKUP(A111,'[1]kW Tescil'!$A:$A,'[1]kW Tescil'!$C:$C),"-")</f>
        <v>160</v>
      </c>
      <c r="BA111" s="81">
        <f>_xlfn.XLOOKUP(A111,'[1]My Input'!$B:$B,'[1]My Input'!$H:$H)</f>
        <v>0</v>
      </c>
      <c r="BC111" s="82">
        <v>5.8957396975926883</v>
      </c>
      <c r="BD111" s="82">
        <v>3.8229338814704477</v>
      </c>
      <c r="BF111" s="83">
        <v>10.256652990892633</v>
      </c>
      <c r="BG111" s="83">
        <v>8.440467826277569</v>
      </c>
      <c r="BI111" s="84">
        <v>395435.13010798441</v>
      </c>
      <c r="BL111" s="83">
        <v>6.2744996188842777</v>
      </c>
    </row>
    <row r="112" spans="1:64" s="74" customFormat="1" ht="15" customHeight="1" thickBot="1" x14ac:dyDescent="0.3">
      <c r="A112" s="57" t="s">
        <v>167</v>
      </c>
      <c r="B112" s="57" t="str">
        <f t="shared" si="425"/>
        <v>BMWiX2 eDrive20M Sport</v>
      </c>
      <c r="C112" s="58" t="s">
        <v>37</v>
      </c>
      <c r="D112" s="94" t="s">
        <v>44</v>
      </c>
      <c r="E112" s="95" t="s">
        <v>168</v>
      </c>
      <c r="F112" s="152" t="s">
        <v>53</v>
      </c>
      <c r="G112" s="65"/>
      <c r="H112" s="98">
        <v>4319330</v>
      </c>
      <c r="I112" s="99">
        <v>100</v>
      </c>
      <c r="J112" s="65">
        <v>0.06</v>
      </c>
      <c r="K112" s="98">
        <f t="shared" si="426"/>
        <v>4319330</v>
      </c>
      <c r="L112" s="99">
        <v>100</v>
      </c>
      <c r="M112" s="65"/>
      <c r="N112" s="98">
        <f t="shared" si="427"/>
        <v>4060170.1999999997</v>
      </c>
      <c r="O112" s="98">
        <f t="shared" si="428"/>
        <v>4060170.1999999997</v>
      </c>
      <c r="P112" s="99">
        <v>100</v>
      </c>
      <c r="Q112" s="99">
        <v>100</v>
      </c>
      <c r="R112" s="67">
        <f>_xlfn.XLOOKUP(A112,'[1]My Input'!$B:$B,'[1]My Input'!$F:$F)</f>
        <v>0.03</v>
      </c>
      <c r="S112" s="65"/>
      <c r="T112" s="98">
        <f t="shared" si="429"/>
        <v>4060170.1999999997</v>
      </c>
      <c r="U112" s="98">
        <f t="shared" si="430"/>
        <v>4060170.1999999997</v>
      </c>
      <c r="V112" s="99">
        <v>100</v>
      </c>
      <c r="W112" s="99">
        <v>100</v>
      </c>
      <c r="X112" s="102">
        <f>_xlfn.XLOOKUP(A112,'[1]My Input'!$B:$B,'[1]My Input'!$I:$I)</f>
        <v>0</v>
      </c>
      <c r="Y112" s="65"/>
      <c r="Z112" s="98">
        <f t="shared" si="431"/>
        <v>4064497.06</v>
      </c>
      <c r="AA112" s="98">
        <f t="shared" si="432"/>
        <v>4064497.06</v>
      </c>
      <c r="AB112" s="99">
        <v>100</v>
      </c>
      <c r="AC112" s="99">
        <v>100</v>
      </c>
      <c r="AD112" s="98">
        <f>_xlfn.XLOOKUP(A112,'[1]My Input'!$B:$B,'[1]My Input'!$N:$N)</f>
        <v>125253.04</v>
      </c>
      <c r="AE112" s="70"/>
      <c r="AF112" s="71">
        <f>_xlfn.XLOOKUP(A112,'[1]My Input'!$B:$B,'[1]My Input'!$E:$E)</f>
        <v>0.03</v>
      </c>
      <c r="AG112" s="72">
        <f>_xlfn.XLOOKUP(A112,'[1]My Input'!$B:$B,'[1]My Input'!$G:$G)</f>
        <v>0.06</v>
      </c>
      <c r="AH112" s="73">
        <f t="shared" si="433"/>
        <v>2322220.4301075269</v>
      </c>
      <c r="AJ112" s="73">
        <f t="shared" si="434"/>
        <v>2252553.8172043012</v>
      </c>
      <c r="AK112" s="75">
        <f t="shared" si="435"/>
        <v>2182887.2043010751</v>
      </c>
      <c r="AL112" s="76">
        <f t="shared" si="436"/>
        <v>2322220.4301075269</v>
      </c>
      <c r="AM112" s="76">
        <f t="shared" si="437"/>
        <v>2252553.8172043012</v>
      </c>
      <c r="AN112" s="76">
        <f t="shared" si="438"/>
        <v>2182887.2043010751</v>
      </c>
      <c r="AO112" s="77">
        <f>_xlfn.XLOOKUP(A112,'[1]My Input'!$B:$B,'[1]My Input'!$T:$T)</f>
        <v>0</v>
      </c>
      <c r="AP112" s="78">
        <f>_xlfn.XLOOKUP(A112,'[1]My Input'!$B:$B,'[1]My Input'!$S:$S)</f>
        <v>0</v>
      </c>
      <c r="AQ112" s="67">
        <f>_xlfn.XLOOKUP(A112,'[1]My Input'!$B:$B,'[1]My Input'!$U:$U)</f>
        <v>0.55000000000000004</v>
      </c>
      <c r="AS112" s="103">
        <f>_xlfn.XLOOKUP(A112,'[1]My Input'!$B:$B,'[1]My Input'!$Q:$Q)</f>
        <v>0</v>
      </c>
      <c r="AU112" s="74" t="s">
        <v>41</v>
      </c>
      <c r="AV112" s="67" cm="1">
        <f t="array" ref="AV112">_xlfn.IFS(
 AND(AY112="ICE",  AP112&lt;=1400,AND(AK112&gt;900000,  AK112&lt;=1100000)),                    80%,
 AND(AY112="ICE",  AP112&lt;=1400,AK112&gt;1100000),                                       90%,
 AND(AY112="ICE",  AND(AP112&gt;1400,AP112&lt;=1600),   AK112&lt;=850000),                      75%,
 AND(AY112="ICE",  AND(AP112&gt;1400,AP112&lt;=1600),   AND(AK112&gt;850000,AK112&lt;=1100000)),     80%,
 AND(AY112="ICE",  AND(AP112&gt;1400,AP112&lt;=1600),   AND(AK112&gt;1100000,AK112&lt;=1650000)),    90%,
 AND(AY112="ICE",  AND(AP112&gt;1400,AP112&lt;=1600),   AK112&gt;1650000),                      100%,
 AND(AY112="ICE",  AND(AP112&gt;1600,AP112&lt;=2000),   AK112&lt;=1650000),                     150%,
 AND(AY112="ICE",  AND(AP112&gt;1600,AP112&lt;=2000),   AK112&gt;1650000),                      170%,
 AND(AY112="ICE",  AP112&gt;2000),                                                    220%,
 AND(AY112="PHEV",  AP112&lt;=1600,                AK112&lt;=1350000),                     45%,
 AND(AY112="PHEV",  AP112&lt;=1600,                AK112&gt;1350000),                      75%,
 AND(AY112="PHEV",  AND(AP112&gt;1600,AP112&lt;=1800),  AK112&lt;=1350000),                     85%,
 AND(AY112="BEV",    AZ112&lt;=160,                 AK112&lt;=1650000),                     25%,
 AND(AY112="BEV",    AZ112&lt;=160,                 AK112&gt;1650000),                      55%,
 AND(AY112="BEV",    AZ112&gt; 160,                 AK112&lt;=1650000),                     65%,
 AND(AY112="BEV",    AZ112&gt; 160,                 AK112&gt;1650000),                      75%)</f>
        <v>0.55000000000000004</v>
      </c>
      <c r="AW112" s="67" cm="1">
        <f t="array" ref="AW112">_xlfn.IFS(
 X112=0,AV112,
 AND(AY112="ICE",  AP112&lt;=1400,AND((AJ112-BA112)&gt;900000,  (AJ112-BA112)&lt;=1100000)),                    80%,
 AND(AY112="ICE",  AP112&lt;=1400,(AJ112-BA112)&gt;1100000),                                       90%,
 AND(AY112="ICE",  AND(AP112&gt;1400,AP112&lt;=1600),   (AJ112-BA112)&lt;=850000),                      75%,
 AND(AY112="ICE",  AND(AP112&gt;1400,AP112&lt;=1600),   AND((AJ112-BA112)&gt;850000,(AJ112-BA112)&lt;=1100000)),     80%,
 AND(AY112="ICE",  AND(AP112&gt;1400,AP112&lt;=1600),   AND((AJ112-BA112)&gt;1100000,(AJ112-BA112)&lt;=1650000)),    90%,
 AND(AY112="ICE",  AND(AP112&gt;1400,AP112&lt;=1600),   (AJ112-BA112)&gt;1650000),                      100%,
 AND(AY112="ICE",  AND(AP112&gt;1600,AP112&lt;=2000),   (AJ112-BA112)&lt;=1650000),                     150%,
 AND(AY112="ICE",  AND(AP112&gt;1600,AP112&lt;=2000),   (AJ112-BA112)&gt;1650000),                      170%,
 AND(AY112="ICE",  AP112&gt;2000),                                                    220%,
 AND(AY112="PHEV",  AP112&lt;=1600,                (AJ112-BA112)&lt;=1350000),                     45%,
 AND(AY112="PHEV",  AP112&lt;=1600,                (AJ112-BA112)&gt;1350000),                      75%,
 AND(AY112="PHEV",  AND(AP112&gt;1600,AP112&lt;=1800),  (AJ112-BA112)&lt;=1350000),                     85%,
 AND(AY112="BEV",    AZ112&lt;=160,                 (AJ112-BA112)&lt;=1650000),                     25%,
 AND(AY112="BEV",    AZ112&lt;=160,                 (AJ112-BA112)&gt;1650000),                      55%,
 AND(AY112="BEV",    AZ112&gt; 160,                 (AJ112-BA112)&lt;=1650000),                     65%,
 AND(AY112="BEV",    AZ112&gt; 160,                 (AJ112-BA112)&gt;1650000),                      75%)</f>
        <v>0.55000000000000004</v>
      </c>
      <c r="AX112" s="67" cm="1">
        <f t="array" ref="AX112">_xlfn.IFS(
 AD112=0,AV112,
 AND(AY112="ICE",  AP112&lt;=1400,AND(AJ112&gt;900000,  AJ112&lt;=1100000)),                    80%,
 AND(AY112="ICE",  AP112&lt;=1400,AJ112&gt;1100000),                                       90%,
 AND(AY112="ICE",  AND(AP112&gt;1400,AP112&lt;=1600),   AJ112&lt;=850000),                      75%,
 AND(AY112="ICE",  AND(AP112&gt;1400,AP112&lt;=1600),   AND(AJ112&gt;850000,AJ112&lt;=1100000)),     80%,
 AND(AY112="ICE",  AND(AP112&gt;1400,AP112&lt;=1600),   AND(AJ112&gt;1100000,AJ112&lt;=1650000)),    90%,
 AND(AY112="ICE",  AND(AP112&gt;1400,AP112&lt;=1600),   AJ112&gt;1650000),                      100%,
 AND(AY112="ICE",  AND(AP112&gt;1600,AP112&lt;=2000),   AJ112&lt;=1650000),                     150%,
 AND(AY112="ICE",  AND(AP112&gt;1600,AP112&lt;=2000),   AJ112&gt;1650000),                      170%,
 AND(AY112="ICE",  AP112&gt;2000),                                                    220%,
 AND(AY112="PHEV",  AP112&lt;=1600,                AJ112&lt;=1350000),                     45%,
 AND(AY112="PHEV",  AP112&lt;=1600,                AJ112&gt;1350000),                      75%,
 AND(AY112="PHEV",  AND(AP112&gt;1600,AP112&lt;=1800),  AJ112&lt;=1350000),                     85%,
 AND(AY112="BEV",    AZ112&lt;=160,                 AJ112&lt;=1650000),                     25%,
 AND(AY112="BEV",    AZ112&lt;=160,                 AJ112&gt;1650000),                      55%,
 AND(AY112="BEV",    AZ112&gt; 160,                 AJ112&lt;=1650000),                     65%,
 AND(AY112="BEV",    AZ112&gt; 160,                 AJ112&gt;1650000),                      75%)</f>
        <v>0.55000000000000004</v>
      </c>
      <c r="AY112" s="80" t="str">
        <f>_xlfn.XLOOKUP(A112,'[1]My Input'!$B:$B,'[1]My Input'!$V:$V)</f>
        <v>BEV</v>
      </c>
      <c r="AZ112" s="80">
        <f>_xlfn.IFNA(_xlfn.XLOOKUP(A112,'[1]kW Tescil'!$A:$A,'[1]kW Tescil'!$C:$C),"-")</f>
        <v>150</v>
      </c>
      <c r="BA112" s="81">
        <f>_xlfn.XLOOKUP(A112,'[1]My Input'!$B:$B,'[1]My Input'!$H:$H)</f>
        <v>0</v>
      </c>
      <c r="BC112" s="82">
        <v>0</v>
      </c>
      <c r="BD112" s="82">
        <v>0</v>
      </c>
      <c r="BF112" s="83">
        <v>0</v>
      </c>
      <c r="BG112" s="83">
        <v>0</v>
      </c>
      <c r="BI112" s="84">
        <v>-17035.822189999279</v>
      </c>
      <c r="BL112" s="83">
        <v>0</v>
      </c>
    </row>
    <row r="113" spans="1:68" s="117" customFormat="1" ht="7.15" customHeight="1" thickBot="1" x14ac:dyDescent="0.3">
      <c r="A113" s="57"/>
      <c r="B113" s="57"/>
      <c r="C113" s="104"/>
      <c r="D113" s="245"/>
      <c r="E113" s="224"/>
      <c r="F113" s="224"/>
      <c r="G113" s="110"/>
      <c r="H113" s="108"/>
      <c r="I113" s="219"/>
      <c r="J113" s="65"/>
      <c r="K113" s="108"/>
      <c r="L113" s="219"/>
      <c r="M113" s="65"/>
      <c r="N113" s="108"/>
      <c r="O113" s="108"/>
      <c r="P113" s="219"/>
      <c r="Q113" s="219"/>
      <c r="R113" s="244"/>
      <c r="S113" s="65"/>
      <c r="T113" s="108"/>
      <c r="U113" s="108"/>
      <c r="V113" s="219"/>
      <c r="W113" s="219"/>
      <c r="X113" s="166"/>
      <c r="Y113" s="65"/>
      <c r="Z113" s="108"/>
      <c r="AA113" s="108"/>
      <c r="AB113" s="219"/>
      <c r="AC113" s="219"/>
      <c r="AD113" s="167"/>
      <c r="AE113" s="246"/>
      <c r="AF113" s="115"/>
      <c r="AG113" s="19"/>
      <c r="AH113" s="116"/>
      <c r="AJ113" s="116"/>
      <c r="AK113" s="21"/>
      <c r="AL113" s="20"/>
      <c r="AM113" s="76"/>
      <c r="AN113" s="20"/>
      <c r="AO113" s="116"/>
      <c r="AP113" s="78"/>
      <c r="AQ113" s="67"/>
      <c r="AS113" s="118"/>
      <c r="AU113" s="74" t="s">
        <v>41</v>
      </c>
      <c r="AV113" s="67"/>
      <c r="AW113" s="67"/>
      <c r="AX113" s="67"/>
      <c r="AY113" s="80"/>
      <c r="AZ113" s="80"/>
      <c r="BA113" s="81"/>
      <c r="BC113" s="82">
        <v>0</v>
      </c>
      <c r="BD113" s="82">
        <v>0</v>
      </c>
      <c r="BF113" s="83">
        <v>0</v>
      </c>
      <c r="BG113" s="83">
        <v>0</v>
      </c>
      <c r="BI113" s="84">
        <v>0</v>
      </c>
      <c r="BL113" s="83">
        <v>0</v>
      </c>
    </row>
    <row r="114" spans="1:68" s="74" customFormat="1" ht="15" customHeight="1" thickBot="1" x14ac:dyDescent="0.3">
      <c r="A114" s="156" t="s">
        <v>169</v>
      </c>
      <c r="B114" s="57" t="str">
        <f>D114&amp;E114&amp;F114</f>
        <v>MBGLC 180AMG</v>
      </c>
      <c r="C114" s="168" t="s">
        <v>37</v>
      </c>
      <c r="D114" s="59" t="s">
        <v>47</v>
      </c>
      <c r="E114" s="60" t="s">
        <v>170</v>
      </c>
      <c r="F114" s="61" t="s">
        <v>49</v>
      </c>
      <c r="G114" s="65"/>
      <c r="H114" s="63">
        <v>6422760</v>
      </c>
      <c r="I114" s="64">
        <f>H114/$H$116*$I$116</f>
        <v>93.239147097763222</v>
      </c>
      <c r="J114" s="65">
        <v>7.0000000000000007E-2</v>
      </c>
      <c r="K114" s="172">
        <f>(((H114-AO114)/(1+AQ114)/1.2/$AS$1)+AS114)*(1+AQ114)*(1.2)*$AS$1+AO114</f>
        <v>6328134</v>
      </c>
      <c r="L114" s="173">
        <v>100</v>
      </c>
      <c r="M114" s="101"/>
      <c r="N114" s="176">
        <f>AN114*1.2*(1+AV114)+AO114</f>
        <v>5885164.6199999992</v>
      </c>
      <c r="O114" s="63">
        <f>AK114*1.2*(1+AV114)+AO114</f>
        <v>5973166.7999999998</v>
      </c>
      <c r="P114" s="247">
        <f>IF(ISNUMBER(O114),O114/$O$116*$P$116,"")</f>
        <v>94.252616087956298</v>
      </c>
      <c r="Q114" s="247">
        <f>IF(ISNUMBER(N114),N114/$N$116*$Q$116,"")</f>
        <v>92.86399997121849</v>
      </c>
      <c r="R114" s="67">
        <f>_xlfn.XLOOKUP(A114,'[1]My Input'!$B:$B,'[1]My Input'!$F:$F)</f>
        <v>0</v>
      </c>
      <c r="S114" s="101"/>
      <c r="T114" s="248">
        <f>IF(X114&lt;&gt;0,AM114*1.2*(1+AW114)+AO114-X114,AN114*1.2*(1+AV114)+AO114)</f>
        <v>5885164.6199999992</v>
      </c>
      <c r="U114" s="63">
        <f>IF(X114&lt;&gt;0,AJ114*1.2*(1+AW114)+AO114-X114,AK114*1.2*(1+AV114)+AO114)</f>
        <v>5973166.7999999998</v>
      </c>
      <c r="V114" s="241">
        <f>IF(ISNUMBER(U114),U114/$U$116*$V$116,"")</f>
        <v>96.624641109254199</v>
      </c>
      <c r="W114" s="241">
        <f>IF(ISNUMBER(T114),T114/$T$116*$W$116,"")</f>
        <v>95.201078141059185</v>
      </c>
      <c r="X114" s="248">
        <f>_xlfn.XLOOKUP(A114,'[1]My Input'!$B:$B,'[1]My Input'!$I:$I)</f>
        <v>0</v>
      </c>
      <c r="Y114" s="101"/>
      <c r="Z114" s="176">
        <f>IF(AD114&lt;&gt;0,AM114*1.2*(1+AQ114)+AO114-AD114,AL114*(1-AG114)*1.2*(1+AQ114)+AO114)</f>
        <v>5804347.7899999991</v>
      </c>
      <c r="AA114" s="63">
        <f>IF(AD114&lt;&gt;0,AJ114*1.2*(1+AX114)+AO114-AD114,AH114*(1-AG114)*1.2*(1+AV114)+AO114)</f>
        <v>5892349.9699999997</v>
      </c>
      <c r="AB114" s="241">
        <f>IF(ISNUMBER(AA114),AA114/$AA$116*$AB$116,"")</f>
        <v>91.17568922301615</v>
      </c>
      <c r="AC114" s="241">
        <f>IF(ISNUMBER(Z114),Z114/$Z$116*$AC$116,"")</f>
        <v>89.813981338135051</v>
      </c>
      <c r="AD114" s="249">
        <f>_xlfn.XLOOKUP(A114,'[1]My Input'!$B:$B,'[1]My Input'!$N:$N)</f>
        <v>80816.83</v>
      </c>
      <c r="AE114" s="70"/>
      <c r="AF114" s="71">
        <f>_xlfn.XLOOKUP(A114,'[1]My Input'!$B:$B,'[1]My Input'!$E:$E)</f>
        <v>7.0000000000000007E-2</v>
      </c>
      <c r="AG114" s="72">
        <f>_xlfn.XLOOKUP(A114,'[1]My Input'!$B:$B,'[1]My Input'!$G:$G)</f>
        <v>7.0000000000000007E-2</v>
      </c>
      <c r="AH114" s="73">
        <f>(H114-AO114)/1.2/(1+AQ114)</f>
        <v>2676150</v>
      </c>
      <c r="AJ114" s="73">
        <f>AH114*(1-AF114)</f>
        <v>2488819.5</v>
      </c>
      <c r="AK114" s="75">
        <f>AH114*(1-AF114-R114)</f>
        <v>2488819.5</v>
      </c>
      <c r="AL114" s="76">
        <f>(K114-AO114)/1.2/(1+AQ114)</f>
        <v>2636722.5</v>
      </c>
      <c r="AM114" s="76">
        <f>AL114*(1-AF114)</f>
        <v>2452151.9249999998</v>
      </c>
      <c r="AN114" s="76">
        <f>AL114*(1-AF114-R114)</f>
        <v>2452151.9249999998</v>
      </c>
      <c r="AO114" s="77">
        <f>_xlfn.XLOOKUP(A114,'[1]My Input'!$B:$B,'[1]My Input'!$T:$T)</f>
        <v>0</v>
      </c>
      <c r="AP114" s="78">
        <f>_xlfn.XLOOKUP(A114,'[1]My Input'!$B:$B,'[1]My Input'!$S:$S)</f>
        <v>1600</v>
      </c>
      <c r="AQ114" s="67">
        <f>_xlfn.XLOOKUP(A114,'[1]My Input'!$B:$B,'[1]My Input'!$U:$U)</f>
        <v>1</v>
      </c>
      <c r="AS114" s="103">
        <v>-751</v>
      </c>
      <c r="AU114" s="74" t="s">
        <v>41</v>
      </c>
      <c r="AV114" s="67" cm="1">
        <f t="array" ref="AV114">_xlfn.IFS(
 AND(AY114="ICE",  AP114&lt;=1400,AND(AK114&gt;900000,  AK114&lt;=1100000)),                    80%,
 AND(AY114="ICE",  AP114&lt;=1400,AK114&gt;1100000),                                       90%,
 AND(AY114="ICE",  AND(AP114&gt;1400,AP114&lt;=1600),   AK114&lt;=850000),                      75%,
 AND(AY114="ICE",  AND(AP114&gt;1400,AP114&lt;=1600),   AND(AK114&gt;850000,AK114&lt;=1100000)),     80%,
 AND(AY114="ICE",  AND(AP114&gt;1400,AP114&lt;=1600),   AND(AK114&gt;1100000,AK114&lt;=1650000)),    90%,
 AND(AY114="ICE",  AND(AP114&gt;1400,AP114&lt;=1600),   AK114&gt;1650000),                      100%,
 AND(AY114="ICE",  AND(AP114&gt;1600,AP114&lt;=2000),   AK114&lt;=1650000),                     150%,
 AND(AY114="ICE",  AND(AP114&gt;1600,AP114&lt;=2000),   AK114&gt;1650000),                      170%,
 AND(AY114="ICE",  AP114&gt;2000),                                                    220%,
 AND(AY114="PHEV",  AP114&lt;=1600,                AK114&lt;=1350000),                     45%,
 AND(AY114="PHEV",  AP114&lt;=1600,                AK114&gt;1350000),                      75%,
 AND(AY114="PHEV",  AND(AP114&gt;1600,AP114&lt;=1800),  AK114&lt;=1350000),                     85%,
 AND(AY114="BEV",    AZ114&lt;=160,                 AK114&lt;=1650000),                     25%,
 AND(AY114="BEV",    AZ114&lt;=160,                 AK114&gt;1650000),                      55%,
 AND(AY114="BEV",    AZ114&gt; 160,                 AK114&lt;=1650000),                     65%,
 AND(AY114="BEV",    AZ114&gt; 160,                 AK114&gt;1650000),                      75%)</f>
        <v>1</v>
      </c>
      <c r="AW114" s="67" cm="1">
        <f t="array" ref="AW114">_xlfn.IFS(
 X114=0,AV114,
 AND(AY114="ICE",  AP114&lt;=1400,AND((AJ114-BA114)&gt;900000,  (AJ114-BA114)&lt;=1100000)),                    80%,
 AND(AY114="ICE",  AP114&lt;=1400,(AJ114-BA114)&gt;1100000),                                       90%,
 AND(AY114="ICE",  AND(AP114&gt;1400,AP114&lt;=1600),   (AJ114-BA114)&lt;=850000),                      75%,
 AND(AY114="ICE",  AND(AP114&gt;1400,AP114&lt;=1600),   AND((AJ114-BA114)&gt;850000,(AJ114-BA114)&lt;=1100000)),     80%,
 AND(AY114="ICE",  AND(AP114&gt;1400,AP114&lt;=1600),   AND((AJ114-BA114)&gt;1100000,(AJ114-BA114)&lt;=1650000)),    90%,
 AND(AY114="ICE",  AND(AP114&gt;1400,AP114&lt;=1600),   (AJ114-BA114)&gt;1650000),                      100%,
 AND(AY114="ICE",  AND(AP114&gt;1600,AP114&lt;=2000),   (AJ114-BA114)&lt;=1650000),                     150%,
 AND(AY114="ICE",  AND(AP114&gt;1600,AP114&lt;=2000),   (AJ114-BA114)&gt;1650000),                      170%,
 AND(AY114="ICE",  AP114&gt;2000),                                                    220%,
 AND(AY114="PHEV",  AP114&lt;=1600,                (AJ114-BA114)&lt;=1350000),                     45%,
 AND(AY114="PHEV",  AP114&lt;=1600,                (AJ114-BA114)&gt;1350000),                      75%,
 AND(AY114="PHEV",  AND(AP114&gt;1600,AP114&lt;=1800),  (AJ114-BA114)&lt;=1350000),                     85%,
 AND(AY114="BEV",    AZ114&lt;=160,                 (AJ114-BA114)&lt;=1650000),                     25%,
 AND(AY114="BEV",    AZ114&lt;=160,                 (AJ114-BA114)&gt;1650000),                      55%,
 AND(AY114="BEV",    AZ114&gt; 160,                 (AJ114-BA114)&lt;=1650000),                     65%,
 AND(AY114="BEV",    AZ114&gt; 160,                 (AJ114-BA114)&gt;1650000),                      75%)</f>
        <v>1</v>
      </c>
      <c r="AX114" s="67" cm="1">
        <f t="array" ref="AX114">_xlfn.IFS(
 AD114=0,AV114,
 AND(AY114="ICE",  AP114&lt;=1400,AND(AJ114&gt;900000,  AJ114&lt;=1100000)),                    80%,
 AND(AY114="ICE",  AP114&lt;=1400,AJ114&gt;1100000),                                       90%,
 AND(AY114="ICE",  AND(AP114&gt;1400,AP114&lt;=1600),   AJ114&lt;=850000),                      75%,
 AND(AY114="ICE",  AND(AP114&gt;1400,AP114&lt;=1600),   AND(AJ114&gt;850000,AJ114&lt;=1100000)),     80%,
 AND(AY114="ICE",  AND(AP114&gt;1400,AP114&lt;=1600),   AND(AJ114&gt;1100000,AJ114&lt;=1650000)),    90%,
 AND(AY114="ICE",  AND(AP114&gt;1400,AP114&lt;=1600),   AJ114&gt;1650000),                      100%,
 AND(AY114="ICE",  AND(AP114&gt;1600,AP114&lt;=2000),   AJ114&lt;=1650000),                     150%,
 AND(AY114="ICE",  AND(AP114&gt;1600,AP114&lt;=2000),   AJ114&gt;1650000),                      170%,
 AND(AY114="ICE",  AP114&gt;2000),                                                    220%,
 AND(AY114="PHEV",  AP114&lt;=1600,                AJ114&lt;=1350000),                     45%,
 AND(AY114="PHEV",  AP114&lt;=1600,                AJ114&gt;1350000),                      75%,
 AND(AY114="PHEV",  AND(AP114&gt;1600,AP114&lt;=1800),  AJ114&lt;=1350000),                     85%,
 AND(AY114="BEV",    AZ114&lt;=160,                 AJ114&lt;=1650000),                     25%,
 AND(AY114="BEV",    AZ114&lt;=160,                 AJ114&gt;1650000),                      55%,
 AND(AY114="BEV",    AZ114&gt; 160,                 AJ114&lt;=1650000),                     65%,
 AND(AY114="BEV",    AZ114&gt; 160,                 AJ114&gt;1650000),                      75%)</f>
        <v>1</v>
      </c>
      <c r="AY114" s="80" t="str">
        <f>_xlfn.XLOOKUP(A114,'[1]My Input'!$B:$B,'[1]My Input'!$V:$V)</f>
        <v>ICE</v>
      </c>
      <c r="AZ114" s="80" t="str">
        <f>_xlfn.IFNA(_xlfn.XLOOKUP(A114,'[1]kW Tescil'!$A:$A,'[1]kW Tescil'!$C:$C),"-")</f>
        <v>-</v>
      </c>
      <c r="BA114" s="81">
        <f>_xlfn.XLOOKUP(A114,'[1]My Input'!$B:$B,'[1]My Input'!$H:$H)</f>
        <v>0</v>
      </c>
      <c r="BC114" s="82">
        <v>0.80055698235499051</v>
      </c>
      <c r="BD114" s="82">
        <v>0.80210610423799267</v>
      </c>
      <c r="BF114" s="83">
        <v>1.370472584383009</v>
      </c>
      <c r="BG114" s="83">
        <v>1.363986326436148</v>
      </c>
      <c r="BI114" s="84">
        <v>1181636.3758400008</v>
      </c>
      <c r="BL114" s="83">
        <v>-1.5368465574539982</v>
      </c>
    </row>
    <row r="115" spans="1:68" s="74" customFormat="1" ht="15" customHeight="1" thickBot="1" x14ac:dyDescent="0.3">
      <c r="A115" s="57" t="s">
        <v>169</v>
      </c>
      <c r="B115" s="57" t="str">
        <f>D115&amp;E115&amp;F115</f>
        <v>MBGLC 180AMG</v>
      </c>
      <c r="C115" s="85" t="s">
        <v>42</v>
      </c>
      <c r="D115" s="86" t="s">
        <v>47</v>
      </c>
      <c r="E115" s="87" t="s">
        <v>170</v>
      </c>
      <c r="F115" s="88" t="s">
        <v>49</v>
      </c>
      <c r="G115" s="65"/>
      <c r="H115" s="89">
        <v>7008260</v>
      </c>
      <c r="I115" s="90">
        <f>H115/$H$116*$I$116</f>
        <v>101.73884514435696</v>
      </c>
      <c r="J115" s="65">
        <v>7.0000000000000007E-2</v>
      </c>
      <c r="K115" s="89">
        <f>(((H115-AO115)/(1+AQ115)/1.2/$AS$1)+AS115)*(1+AQ115)*(1.2)*$AS$1+AO115</f>
        <v>6913634</v>
      </c>
      <c r="L115" s="90">
        <v>100</v>
      </c>
      <c r="M115" s="65"/>
      <c r="N115" s="89">
        <f>AN115*1.2*(1+AV115)+AO115</f>
        <v>6429679.6199999992</v>
      </c>
      <c r="O115" s="89">
        <f>AK115*1.2*(1+AV115)+AO115</f>
        <v>6517681.7999999998</v>
      </c>
      <c r="P115" s="238">
        <f>IF(ISNUMBER(O115),O115/$O$116*$P$116,"")</f>
        <v>102.84470215679562</v>
      </c>
      <c r="Q115" s="238">
        <f>IF(ISNUMBER(N115),N115/$N$116*$Q$116,"")</f>
        <v>101.4560860400578</v>
      </c>
      <c r="R115" s="67">
        <f>_xlfn.XLOOKUP(A115,'[1]My Input'!$B:$B,'[1]My Input'!$F:$F)</f>
        <v>0</v>
      </c>
      <c r="S115" s="65"/>
      <c r="T115" s="89">
        <f>IF(X115&lt;&gt;0,AM115*1.2*(1+AW115)+AO115-X115,AN115*1.2*(1+AV115)+AO115)</f>
        <v>6429679.6199999992</v>
      </c>
      <c r="U115" s="89">
        <f>IF(X115&lt;&gt;0,AJ115*1.2*(1+AW115)+AO115-X115,AK115*1.2*(1+AV115)+AO115)</f>
        <v>6517681.7999999998</v>
      </c>
      <c r="V115" s="238">
        <f>IF(ISNUMBER(U115),U115/$U$116*$V$116,"")</f>
        <v>105.43296142162278</v>
      </c>
      <c r="W115" s="238">
        <f>IF(ISNUMBER(T115),T115/$T$116*$W$116,"")</f>
        <v>104.00939845342774</v>
      </c>
      <c r="X115" s="92">
        <f>_xlfn.XLOOKUP(A115,'[1]My Input'!$B:$B,'[1]My Input'!$I:$I)</f>
        <v>0</v>
      </c>
      <c r="Y115" s="65"/>
      <c r="Z115" s="89">
        <f>IF(AD115&lt;&gt;0,AM115*1.2*(1+AQ115)+AO115-AD115,AL115*(1-AG115)*1.2*(1+AQ115)+AO115)</f>
        <v>6348862.7899999991</v>
      </c>
      <c r="AA115" s="89">
        <f>IF(AD115&lt;&gt;0,AJ115*1.2*(1+AX115)+AO115-AD115,AH115*(1-AG115)*1.2*(1+AV115)+AO115)</f>
        <v>6436864.9699999997</v>
      </c>
      <c r="AB115" s="238">
        <f>IF(ISNUMBER(AA115),AA115/$AA$116*$AB$116,"")</f>
        <v>99.601280145150511</v>
      </c>
      <c r="AC115" s="238">
        <f>IF(ISNUMBER(Z115),Z115/$Z$116*$AC$116,"")</f>
        <v>98.239572260269398</v>
      </c>
      <c r="AD115" s="93">
        <f>_xlfn.XLOOKUP(A115,'[1]My Input'!$B:$B,'[1]My Input'!$N:$N)</f>
        <v>80816.83</v>
      </c>
      <c r="AE115" s="70"/>
      <c r="AF115" s="71">
        <v>7.0000000000000007E-2</v>
      </c>
      <c r="AG115" s="208">
        <v>7.0000000000000007E-2</v>
      </c>
      <c r="AH115" s="73">
        <f>(H115-AO115)/1.2/(1+AQ115)</f>
        <v>2920108.3333333335</v>
      </c>
      <c r="AJ115" s="73">
        <f>AH115*(1-AF115)</f>
        <v>2715700.75</v>
      </c>
      <c r="AK115" s="75">
        <f>AH115*(1-AF115-R115)</f>
        <v>2715700.75</v>
      </c>
      <c r="AL115" s="76">
        <f>(K115-AO115)/1.2/(1+AQ115)</f>
        <v>2880680.8333333335</v>
      </c>
      <c r="AM115" s="76">
        <f>AL115*(1-AF115)</f>
        <v>2679033.1749999998</v>
      </c>
      <c r="AN115" s="76">
        <f>AL115*(1-AF115-R115)</f>
        <v>2679033.1749999998</v>
      </c>
      <c r="AO115" s="77">
        <f>_xlfn.XLOOKUP(A115,'[1]My Input'!$B:$B,'[1]My Input'!$T:$T)</f>
        <v>0</v>
      </c>
      <c r="AP115" s="78">
        <f>_xlfn.XLOOKUP(A115,'[1]My Input'!$B:$B,'[1]My Input'!$S:$S)</f>
        <v>1600</v>
      </c>
      <c r="AQ115" s="67">
        <f>_xlfn.XLOOKUP(A115,'[1]My Input'!$B:$B,'[1]My Input'!$U:$U)</f>
        <v>1</v>
      </c>
      <c r="AS115" s="155">
        <v>-751</v>
      </c>
      <c r="AU115" s="74" t="s">
        <v>41</v>
      </c>
      <c r="AV115" s="67" cm="1">
        <f t="array" ref="AV115">_xlfn.IFS(
 AND(AY115="ICE",  AP115&lt;=1400,AND(AK115&gt;900000,  AK115&lt;=1100000)),                    80%,
 AND(AY115="ICE",  AP115&lt;=1400,AK115&gt;1100000),                                       90%,
 AND(AY115="ICE",  AND(AP115&gt;1400,AP115&lt;=1600),   AK115&lt;=850000),                      75%,
 AND(AY115="ICE",  AND(AP115&gt;1400,AP115&lt;=1600),   AND(AK115&gt;850000,AK115&lt;=1100000)),     80%,
 AND(AY115="ICE",  AND(AP115&gt;1400,AP115&lt;=1600),   AND(AK115&gt;1100000,AK115&lt;=1650000)),    90%,
 AND(AY115="ICE",  AND(AP115&gt;1400,AP115&lt;=1600),   AK115&gt;1650000),                      100%,
 AND(AY115="ICE",  AND(AP115&gt;1600,AP115&lt;=2000),   AK115&lt;=1650000),                     150%,
 AND(AY115="ICE",  AND(AP115&gt;1600,AP115&lt;=2000),   AK115&gt;1650000),                      170%,
 AND(AY115="ICE",  AP115&gt;2000),                                                    220%,
 AND(AY115="PHEV",  AP115&lt;=1600,                AK115&lt;=1350000),                     45%,
 AND(AY115="PHEV",  AP115&lt;=1600,                AK115&gt;1350000),                      75%,
 AND(AY115="PHEV",  AND(AP115&gt;1600,AP115&lt;=1800),  AK115&lt;=1350000),                     85%,
 AND(AY115="BEV",    AZ115&lt;=160,                 AK115&lt;=1650000),                     25%,
 AND(AY115="BEV",    AZ115&lt;=160,                 AK115&gt;1650000),                      55%,
 AND(AY115="BEV",    AZ115&gt; 160,                 AK115&lt;=1650000),                     65%,
 AND(AY115="BEV",    AZ115&gt; 160,                 AK115&gt;1650000),                      75%)</f>
        <v>1</v>
      </c>
      <c r="AW115" s="67" cm="1">
        <f t="array" ref="AW115">_xlfn.IFS(
 X115=0,AV115,
 AND(AY115="ICE",  AP115&lt;=1400,AND((AJ115-BA115)&gt;900000,  (AJ115-BA115)&lt;=1100000)),                    80%,
 AND(AY115="ICE",  AP115&lt;=1400,(AJ115-BA115)&gt;1100000),                                       90%,
 AND(AY115="ICE",  AND(AP115&gt;1400,AP115&lt;=1600),   (AJ115-BA115)&lt;=850000),                      75%,
 AND(AY115="ICE",  AND(AP115&gt;1400,AP115&lt;=1600),   AND((AJ115-BA115)&gt;850000,(AJ115-BA115)&lt;=1100000)),     80%,
 AND(AY115="ICE",  AND(AP115&gt;1400,AP115&lt;=1600),   AND((AJ115-BA115)&gt;1100000,(AJ115-BA115)&lt;=1650000)),    90%,
 AND(AY115="ICE",  AND(AP115&gt;1400,AP115&lt;=1600),   (AJ115-BA115)&gt;1650000),                      100%,
 AND(AY115="ICE",  AND(AP115&gt;1600,AP115&lt;=2000),   (AJ115-BA115)&lt;=1650000),                     150%,
 AND(AY115="ICE",  AND(AP115&gt;1600,AP115&lt;=2000),   (AJ115-BA115)&gt;1650000),                      170%,
 AND(AY115="ICE",  AP115&gt;2000),                                                    220%,
 AND(AY115="PHEV",  AP115&lt;=1600,                (AJ115-BA115)&lt;=1350000),                     45%,
 AND(AY115="PHEV",  AP115&lt;=1600,                (AJ115-BA115)&gt;1350000),                      75%,
 AND(AY115="PHEV",  AND(AP115&gt;1600,AP115&lt;=1800),  (AJ115-BA115)&lt;=1350000),                     85%,
 AND(AY115="BEV",    AZ115&lt;=160,                 (AJ115-BA115)&lt;=1650000),                     25%,
 AND(AY115="BEV",    AZ115&lt;=160,                 (AJ115-BA115)&gt;1650000),                      55%,
 AND(AY115="BEV",    AZ115&gt; 160,                 (AJ115-BA115)&lt;=1650000),                     65%,
 AND(AY115="BEV",    AZ115&gt; 160,                 (AJ115-BA115)&gt;1650000),                      75%)</f>
        <v>1</v>
      </c>
      <c r="AX115" s="67" cm="1">
        <f t="array" ref="AX115">_xlfn.IFS(
 AD115=0,AV115,
 AND(AY115="ICE",  AP115&lt;=1400,AND(AJ115&gt;900000,  AJ115&lt;=1100000)),                    80%,
 AND(AY115="ICE",  AP115&lt;=1400,AJ115&gt;1100000),                                       90%,
 AND(AY115="ICE",  AND(AP115&gt;1400,AP115&lt;=1600),   AJ115&lt;=850000),                      75%,
 AND(AY115="ICE",  AND(AP115&gt;1400,AP115&lt;=1600),   AND(AJ115&gt;850000,AJ115&lt;=1100000)),     80%,
 AND(AY115="ICE",  AND(AP115&gt;1400,AP115&lt;=1600),   AND(AJ115&gt;1100000,AJ115&lt;=1650000)),    90%,
 AND(AY115="ICE",  AND(AP115&gt;1400,AP115&lt;=1600),   AJ115&gt;1650000),                      100%,
 AND(AY115="ICE",  AND(AP115&gt;1600,AP115&lt;=2000),   AJ115&lt;=1650000),                     150%,
 AND(AY115="ICE",  AND(AP115&gt;1600,AP115&lt;=2000),   AJ115&gt;1650000),                      170%,
 AND(AY115="ICE",  AP115&gt;2000),                                                    220%,
 AND(AY115="PHEV",  AP115&lt;=1600,                AJ115&lt;=1350000),                     45%,
 AND(AY115="PHEV",  AP115&lt;=1600,                AJ115&gt;1350000),                      75%,
 AND(AY115="PHEV",  AND(AP115&gt;1600,AP115&lt;=1800),  AJ115&lt;=1350000),                     85%,
 AND(AY115="BEV",    AZ115&lt;=160,                 AJ115&lt;=1650000),                     25%,
 AND(AY115="BEV",    AZ115&lt;=160,                 AJ115&gt;1650000),                      55%,
 AND(AY115="BEV",    AZ115&gt; 160,                 AJ115&lt;=1650000),                     65%,
 AND(AY115="BEV",    AZ115&gt; 160,                 AJ115&gt;1650000),                      75%)</f>
        <v>1</v>
      </c>
      <c r="AY115" s="80" t="str">
        <f>_xlfn.XLOOKUP(A115,'[1]My Input'!$B:$B,'[1]My Input'!$V:$V)</f>
        <v>ICE</v>
      </c>
      <c r="AZ115" s="80" t="str">
        <f>_xlfn.IFNA(_xlfn.XLOOKUP(A115,'[1]kW Tescil'!$A:$A,'[1]kW Tescil'!$C:$C),"-")</f>
        <v>-</v>
      </c>
      <c r="BA115" s="81">
        <f>_xlfn.XLOOKUP(A115,'[1]My Input'!$B:$B,'[1]My Input'!$H:$H)</f>
        <v>0</v>
      </c>
      <c r="BC115" s="82">
        <v>0.80055698235499051</v>
      </c>
      <c r="BD115" s="82">
        <v>0.80210610423799267</v>
      </c>
      <c r="BF115" s="83">
        <v>1.370472584383009</v>
      </c>
      <c r="BG115" s="83">
        <v>1.363986326436148</v>
      </c>
      <c r="BI115" s="84">
        <v>1181636.3758400008</v>
      </c>
      <c r="BL115" s="83">
        <v>-1.5368465574539982</v>
      </c>
    </row>
    <row r="116" spans="1:68" s="74" customFormat="1" ht="15" customHeight="1" thickBot="1" x14ac:dyDescent="0.3">
      <c r="A116" s="156" t="s">
        <v>171</v>
      </c>
      <c r="B116" s="57" t="str">
        <f t="shared" ref="B116:B146" si="439">D116&amp;E116&amp;F116</f>
        <v>BMWX3 20M Sport</v>
      </c>
      <c r="C116" s="168" t="s">
        <v>37</v>
      </c>
      <c r="D116" s="94" t="s">
        <v>44</v>
      </c>
      <c r="E116" s="95" t="s">
        <v>172</v>
      </c>
      <c r="F116" s="152" t="s">
        <v>53</v>
      </c>
      <c r="G116" s="65"/>
      <c r="H116" s="98">
        <v>6888480</v>
      </c>
      <c r="I116" s="99">
        <v>100</v>
      </c>
      <c r="J116" s="65">
        <v>0.08</v>
      </c>
      <c r="K116" s="172">
        <f>(((H116-AO116)/(1+AQ116)/1.2/$AS$1)+AS116)*(1+AQ116)*(1.2)*$AS$1+AO116</f>
        <v>6888479.9999999991</v>
      </c>
      <c r="L116" s="173">
        <v>100</v>
      </c>
      <c r="M116" s="101"/>
      <c r="N116" s="176">
        <f>AN116*1.2*(1+AV116)+AO116</f>
        <v>6337401.5999999987</v>
      </c>
      <c r="O116" s="98">
        <f>AK116*1.2*(1+AV116)+AO116</f>
        <v>6337401.5999999996</v>
      </c>
      <c r="P116" s="99">
        <v>100</v>
      </c>
      <c r="Q116" s="99">
        <v>100</v>
      </c>
      <c r="R116" s="67">
        <f>_xlfn.XLOOKUP(A116,'[1]My Input'!$B:$B,'[1]My Input'!$F:$F)</f>
        <v>0.05</v>
      </c>
      <c r="S116" s="101"/>
      <c r="T116" s="102">
        <f>IF(X116&lt;&gt;0,AM116*1.2*(1+AW116)+AO116-X116,AN116*1.2*(1+AV116)+AO116)</f>
        <v>6181825.5999999987</v>
      </c>
      <c r="U116" s="98">
        <f>IF(X116&lt;&gt;0,AJ116*1.2*(1+AW116)+AO116-X116,AK116*1.2*(1+AV116)+AO116)</f>
        <v>6181825.5999999996</v>
      </c>
      <c r="V116" s="99">
        <v>100</v>
      </c>
      <c r="W116" s="250">
        <v>100</v>
      </c>
      <c r="X116" s="102">
        <f>_xlfn.XLOOKUP(A116,'[1]My Input'!$B:$B,'[1]My Input'!$I:$I)</f>
        <v>500000</v>
      </c>
      <c r="Y116" s="101"/>
      <c r="Z116" s="176">
        <f>IF(AD116&lt;&gt;0,AM116*1.2*(1+AQ116)+AO116-AD116,AL116*(1-AG116)*1.2*(1+AQ116)+AO116)</f>
        <v>6462632.7699999986</v>
      </c>
      <c r="AA116" s="98">
        <f>IF(AD116&lt;&gt;0,AJ116*1.2*(1+AX116)+AO116-AD116,AH116*(1-AG116)*1.2*(1+AV116)+AO116)</f>
        <v>6462632.7699999996</v>
      </c>
      <c r="AB116" s="99">
        <v>100</v>
      </c>
      <c r="AC116" s="99">
        <v>100</v>
      </c>
      <c r="AD116" s="98">
        <f>_xlfn.XLOOKUP(A116,'[1]My Input'!$B:$B,'[1]My Input'!$N:$N)</f>
        <v>219192.83</v>
      </c>
      <c r="AE116" s="70"/>
      <c r="AF116" s="71">
        <f>_xlfn.XLOOKUP(A116,'[1]My Input'!$B:$B,'[1]My Input'!$E:$E)</f>
        <v>0.03</v>
      </c>
      <c r="AG116" s="72">
        <f>_xlfn.XLOOKUP(A116,'[1]My Input'!$B:$B,'[1]My Input'!$G:$G)</f>
        <v>0.08</v>
      </c>
      <c r="AH116" s="73">
        <f>(H116-AO116)/1.2/(1+AQ116)</f>
        <v>2870200</v>
      </c>
      <c r="AJ116" s="73">
        <f>AH116*(1-AF116)</f>
        <v>2784094</v>
      </c>
      <c r="AK116" s="75">
        <f>AH116*(1-AF116-R116)</f>
        <v>2640584</v>
      </c>
      <c r="AL116" s="76">
        <f>(K116-AO116)/1.2/(1+AQ116)</f>
        <v>2870199.9999999995</v>
      </c>
      <c r="AM116" s="76">
        <f>AL116*(1-AF116)</f>
        <v>2784093.9999999995</v>
      </c>
      <c r="AN116" s="76">
        <f>AL116*(1-AF116-R116)</f>
        <v>2640583.9999999995</v>
      </c>
      <c r="AO116" s="77">
        <f>_xlfn.XLOOKUP(A116,'[1]My Input'!$B:$B,'[1]My Input'!$T:$T)</f>
        <v>0</v>
      </c>
      <c r="AP116" s="78">
        <f>_xlfn.XLOOKUP(A116,'[1]My Input'!$B:$B,'[1]My Input'!$S:$S)</f>
        <v>1600</v>
      </c>
      <c r="AQ116" s="67">
        <f>_xlfn.XLOOKUP(A116,'[1]My Input'!$B:$B,'[1]My Input'!$U:$U)</f>
        <v>1</v>
      </c>
      <c r="AS116" s="103">
        <f>_xlfn.XLOOKUP(A116,'[1]My Input'!$B:$B,'[1]My Input'!$Q:$Q)</f>
        <v>0</v>
      </c>
      <c r="AU116" s="74" t="s">
        <v>41</v>
      </c>
      <c r="AV116" s="67" cm="1">
        <f t="array" ref="AV116">_xlfn.IFS(
 AND(AY116="ICE",  AP116&lt;=1400,AND(AK116&gt;900000,  AK116&lt;=1100000)),                    80%,
 AND(AY116="ICE",  AP116&lt;=1400,AK116&gt;1100000),                                       90%,
 AND(AY116="ICE",  AND(AP116&gt;1400,AP116&lt;=1600),   AK116&lt;=850000),                      75%,
 AND(AY116="ICE",  AND(AP116&gt;1400,AP116&lt;=1600),   AND(AK116&gt;850000,AK116&lt;=1100000)),     80%,
 AND(AY116="ICE",  AND(AP116&gt;1400,AP116&lt;=1600),   AND(AK116&gt;1100000,AK116&lt;=1650000)),    90%,
 AND(AY116="ICE",  AND(AP116&gt;1400,AP116&lt;=1600),   AK116&gt;1650000),                      100%,
 AND(AY116="ICE",  AND(AP116&gt;1600,AP116&lt;=2000),   AK116&lt;=1650000),                     150%,
 AND(AY116="ICE",  AND(AP116&gt;1600,AP116&lt;=2000),   AK116&gt;1650000),                      170%,
 AND(AY116="ICE",  AP116&gt;2000),                                                    220%,
 AND(AY116="PHEV",  AP116&lt;=1600,                AK116&lt;=1350000),                     45%,
 AND(AY116="PHEV",  AP116&lt;=1600,                AK116&gt;1350000),                      75%,
 AND(AY116="PHEV",  AND(AP116&gt;1600,AP116&lt;=1800),  AK116&lt;=1350000),                     85%,
 AND(AY116="BEV",    AZ116&lt;=160,                 AK116&lt;=1650000),                     25%,
 AND(AY116="BEV",    AZ116&lt;=160,                 AK116&gt;1650000),                      55%,
 AND(AY116="BEV",    AZ116&gt; 160,                 AK116&lt;=1650000),                     65%,
 AND(AY116="BEV",    AZ116&gt; 160,                 AK116&gt;1650000),                      75%)</f>
        <v>1</v>
      </c>
      <c r="AW116" s="67" cm="1">
        <f t="array" ref="AW116">_xlfn.IFS(
 X116=0,AV116,
 AND(AY116="ICE",  AP116&lt;=1400,AND((AJ116-BA116)&gt;900000,  (AJ116-BA116)&lt;=1100000)),                    80%,
 AND(AY116="ICE",  AP116&lt;=1400,(AJ116-BA116)&gt;1100000),                                       90%,
 AND(AY116="ICE",  AND(AP116&gt;1400,AP116&lt;=1600),   (AJ116-BA116)&lt;=850000),                      75%,
 AND(AY116="ICE",  AND(AP116&gt;1400,AP116&lt;=1600),   AND((AJ116-BA116)&gt;850000,(AJ116-BA116)&lt;=1100000)),     80%,
 AND(AY116="ICE",  AND(AP116&gt;1400,AP116&lt;=1600),   AND((AJ116-BA116)&gt;1100000,(AJ116-BA116)&lt;=1650000)),    90%,
 AND(AY116="ICE",  AND(AP116&gt;1400,AP116&lt;=1600),   (AJ116-BA116)&gt;1650000),                      100%,
 AND(AY116="ICE",  AND(AP116&gt;1600,AP116&lt;=2000),   (AJ116-BA116)&lt;=1650000),                     150%,
 AND(AY116="ICE",  AND(AP116&gt;1600,AP116&lt;=2000),   (AJ116-BA116)&gt;1650000),                      170%,
 AND(AY116="ICE",  AP116&gt;2000),                                                    220%,
 AND(AY116="PHEV",  AP116&lt;=1600,                (AJ116-BA116)&lt;=1350000),                     45%,
 AND(AY116="PHEV",  AP116&lt;=1600,                (AJ116-BA116)&gt;1350000),                      75%,
 AND(AY116="PHEV",  AND(AP116&gt;1600,AP116&lt;=1800),  (AJ116-BA116)&lt;=1350000),                     85%,
 AND(AY116="BEV",    AZ116&lt;=160,                 (AJ116-BA116)&lt;=1650000),                     25%,
 AND(AY116="BEV",    AZ116&lt;=160,                 (AJ116-BA116)&gt;1650000),                      55%,
 AND(AY116="BEV",    AZ116&gt; 160,                 (AJ116-BA116)&lt;=1650000),                     65%,
 AND(AY116="BEV",    AZ116&gt; 160,                 (AJ116-BA116)&gt;1650000),                      75%)</f>
        <v>1</v>
      </c>
      <c r="AX116" s="67" cm="1">
        <f t="array" ref="AX116">_xlfn.IFS(
 AD116=0,AV116,
 AND(AY116="ICE",  AP116&lt;=1400,AND(AJ116&gt;900000,  AJ116&lt;=1100000)),                    80%,
 AND(AY116="ICE",  AP116&lt;=1400,AJ116&gt;1100000),                                       90%,
 AND(AY116="ICE",  AND(AP116&gt;1400,AP116&lt;=1600),   AJ116&lt;=850000),                      75%,
 AND(AY116="ICE",  AND(AP116&gt;1400,AP116&lt;=1600),   AND(AJ116&gt;850000,AJ116&lt;=1100000)),     80%,
 AND(AY116="ICE",  AND(AP116&gt;1400,AP116&lt;=1600),   AND(AJ116&gt;1100000,AJ116&lt;=1650000)),    90%,
 AND(AY116="ICE",  AND(AP116&gt;1400,AP116&lt;=1600),   AJ116&gt;1650000),                      100%,
 AND(AY116="ICE",  AND(AP116&gt;1600,AP116&lt;=2000),   AJ116&lt;=1650000),                     150%,
 AND(AY116="ICE",  AND(AP116&gt;1600,AP116&lt;=2000),   AJ116&gt;1650000),                      170%,
 AND(AY116="ICE",  AP116&gt;2000),                                                    220%,
 AND(AY116="PHEV",  AP116&lt;=1600,                AJ116&lt;=1350000),                     45%,
 AND(AY116="PHEV",  AP116&lt;=1600,                AJ116&gt;1350000),                      75%,
 AND(AY116="PHEV",  AND(AP116&gt;1600,AP116&lt;=1800),  AJ116&lt;=1350000),                     85%,
 AND(AY116="BEV",    AZ116&lt;=160,                 AJ116&lt;=1650000),                     25%,
 AND(AY116="BEV",    AZ116&lt;=160,                 AJ116&gt;1650000),                      55%,
 AND(AY116="BEV",    AZ116&gt; 160,                 AJ116&lt;=1650000),                     65%,
 AND(AY116="BEV",    AZ116&gt; 160,                 AJ116&gt;1650000),                      75%)</f>
        <v>1</v>
      </c>
      <c r="AY116" s="80" t="str">
        <f>_xlfn.XLOOKUP(A116,'[1]My Input'!$B:$B,'[1]My Input'!$V:$V)</f>
        <v>ICE</v>
      </c>
      <c r="AZ116" s="80" t="str">
        <f>_xlfn.IFNA(_xlfn.XLOOKUP(A116,'[1]kW Tescil'!$A:$A,'[1]kW Tescil'!$C:$C),"-")</f>
        <v>-</v>
      </c>
      <c r="BA116" s="81">
        <f>_xlfn.XLOOKUP(A116,'[1]My Input'!$B:$B,'[1]My Input'!$H:$H)</f>
        <v>208333.33333333334</v>
      </c>
      <c r="BC116" s="82">
        <v>0</v>
      </c>
      <c r="BD116" s="82">
        <v>0</v>
      </c>
      <c r="BF116" s="83">
        <v>0</v>
      </c>
      <c r="BG116" s="83">
        <v>0</v>
      </c>
      <c r="BI116" s="84">
        <v>787380.23188999947</v>
      </c>
      <c r="BL116" s="83">
        <v>0</v>
      </c>
    </row>
    <row r="117" spans="1:68" s="117" customFormat="1" ht="7.15" customHeight="1" thickBot="1" x14ac:dyDescent="0.3">
      <c r="A117" s="57"/>
      <c r="B117" s="57"/>
      <c r="C117" s="104"/>
      <c r="D117" s="245"/>
      <c r="E117" s="224"/>
      <c r="F117" s="224"/>
      <c r="G117" s="110"/>
      <c r="H117" s="108"/>
      <c r="I117" s="219"/>
      <c r="J117" s="65"/>
      <c r="K117" s="108"/>
      <c r="L117" s="219"/>
      <c r="M117" s="65"/>
      <c r="N117" s="108"/>
      <c r="O117" s="108"/>
      <c r="P117" s="219"/>
      <c r="Q117" s="219"/>
      <c r="R117" s="244"/>
      <c r="S117" s="65"/>
      <c r="T117" s="108"/>
      <c r="U117" s="108"/>
      <c r="V117" s="219"/>
      <c r="W117" s="219"/>
      <c r="X117" s="166"/>
      <c r="Y117" s="65"/>
      <c r="Z117" s="108"/>
      <c r="AA117" s="108"/>
      <c r="AB117" s="219"/>
      <c r="AC117" s="219"/>
      <c r="AD117" s="167"/>
      <c r="AE117" s="246"/>
      <c r="AF117" s="115"/>
      <c r="AG117" s="19"/>
      <c r="AH117" s="116"/>
      <c r="AJ117" s="116"/>
      <c r="AK117" s="21"/>
      <c r="AL117" s="20"/>
      <c r="AM117" s="76"/>
      <c r="AN117" s="20"/>
      <c r="AO117" s="116"/>
      <c r="AP117" s="78"/>
      <c r="AQ117" s="67"/>
      <c r="AS117" s="118"/>
      <c r="AU117" s="74" t="s">
        <v>41</v>
      </c>
      <c r="AV117" s="67"/>
      <c r="AW117" s="67"/>
      <c r="AX117" s="67"/>
      <c r="AY117" s="80"/>
      <c r="AZ117" s="80"/>
      <c r="BA117" s="81"/>
      <c r="BC117" s="82">
        <v>0</v>
      </c>
      <c r="BD117" s="82">
        <v>0</v>
      </c>
      <c r="BF117" s="83">
        <v>0</v>
      </c>
      <c r="BG117" s="83">
        <v>0</v>
      </c>
      <c r="BI117" s="84">
        <v>0</v>
      </c>
      <c r="BL117" s="83">
        <v>0</v>
      </c>
    </row>
    <row r="118" spans="1:68" s="74" customFormat="1" ht="15" hidden="1" customHeight="1" x14ac:dyDescent="0.25">
      <c r="A118" s="156" t="s">
        <v>173</v>
      </c>
      <c r="B118" s="57" t="str">
        <f t="shared" ref="B118:B148" si="440">D118&amp;E118&amp;F118</f>
        <v>MBGLC 300d 4MATICAMG</v>
      </c>
      <c r="C118" s="58" t="s">
        <v>37</v>
      </c>
      <c r="D118" s="59" t="s">
        <v>47</v>
      </c>
      <c r="E118" s="60" t="s">
        <v>174</v>
      </c>
      <c r="F118" s="61" t="s">
        <v>49</v>
      </c>
      <c r="G118" s="65"/>
      <c r="H118" s="63">
        <v>8938308</v>
      </c>
      <c r="I118" s="241">
        <f>H118/$H$122*$I$122</f>
        <v>108.31361345417636</v>
      </c>
      <c r="J118" s="65"/>
      <c r="K118" s="63">
        <f>(((H118-AO118)/(1+AQ118)/1.2/$AS$1)+AS118)*(1+AQ118)*(1.2)*$AS$1+AO118</f>
        <v>8378849.1000000015</v>
      </c>
      <c r="L118" s="241">
        <f>K118/$K$122*$L$122</f>
        <v>101.53414075776688</v>
      </c>
      <c r="M118" s="65"/>
      <c r="N118" s="63">
        <f>AN118*1.2*(1+AV118)+AO118</f>
        <v>7959906.6450000014</v>
      </c>
      <c r="O118" s="63">
        <f>AK118*1.2*(1+AV118)+AO118</f>
        <v>8491392.5999999996</v>
      </c>
      <c r="P118" s="241">
        <f>IF(ISNUMBER(O118),O118/$O$122*$P$122,"")</f>
        <v>109.46588593773143</v>
      </c>
      <c r="Q118" s="251">
        <f>IF(ISNUMBER(N118),N118/$N$122*$Q$122,"")</f>
        <v>102.61429119136014</v>
      </c>
      <c r="R118" s="67">
        <f>_xlfn.XLOOKUP(A118,'[1]My Input'!$B:$B,'[1]My Input'!$F:$F)</f>
        <v>0</v>
      </c>
      <c r="S118" s="65"/>
      <c r="T118" s="63">
        <f>IF(X118&lt;&gt;0,AM118*1.2*(1+AW118)+AO118-X118,AN118*1.2*(1+AV118)+AO118)</f>
        <v>7959906.6450000014</v>
      </c>
      <c r="U118" s="63">
        <f>IF(X118&lt;&gt;0,AJ118*1.2*(1+AW118)+AO118-X118,AK118*1.2*(1+AV118)+AO118)</f>
        <v>8491392.5999999996</v>
      </c>
      <c r="V118" s="241">
        <f>IF(ISNUMBER(U118),U118/U122*V122,"")</f>
        <v>109.46588593773143</v>
      </c>
      <c r="W118" s="241">
        <f>IF(ISNUMBER(T118),T118/T122*W122,"")</f>
        <v>102.61429119136014</v>
      </c>
      <c r="X118" s="248">
        <f>_xlfn.XLOOKUP(A118,'[1]My Input'!$B:$B,'[1]My Input'!$I:$I)</f>
        <v>0</v>
      </c>
      <c r="Y118" s="65"/>
      <c r="Z118" s="248">
        <f t="shared" ref="Z118:Z148" si="441">IF(AD118&lt;&gt;0,AM118*1.2*(1+AQ118)+AO118-AD118,AL118*(1-AG118)*1.2*(1+AQ118)+AO118)</f>
        <v>7879089.8150000013</v>
      </c>
      <c r="AA118" s="63">
        <f>IF(AD118&lt;&gt;0,AJ118*1.2*(1+AX118)+AO118-AD118,AH118*(1-AG118)*1.2*(1+AV118)+AO118)</f>
        <v>8410575.7699999996</v>
      </c>
      <c r="AB118" s="241">
        <f>IF(ISNUMBER(AA118),AA118/AA122*AB122,"")</f>
        <v>106.74094975366941</v>
      </c>
      <c r="AC118" s="251">
        <f>IF(ISNUMBER(Z118),Z118/Z122*AC122,"")</f>
        <v>99.995714092183192</v>
      </c>
      <c r="AD118" s="63">
        <f>_xlfn.XLOOKUP(A118,'[1]My Input'!$B:$B,'[1]My Input'!$N:$N)</f>
        <v>80816.83</v>
      </c>
      <c r="AE118" s="70"/>
      <c r="AF118" s="71">
        <f>_xlfn.XLOOKUP(A118,'[1]My Input'!$B:$B,'[1]My Input'!$E:$E)</f>
        <v>0.05</v>
      </c>
      <c r="AG118" s="72">
        <f>_xlfn.XLOOKUP(A118,'[1]My Input'!$B:$B,'[1]My Input'!$G:$G)</f>
        <v>0.05</v>
      </c>
      <c r="AH118" s="73">
        <f>(H118-AO118)/1.2/(1+AQ118)</f>
        <v>2758737.0370370368</v>
      </c>
      <c r="AJ118" s="73">
        <f>AH118*(1-AF118)</f>
        <v>2620800.1851851847</v>
      </c>
      <c r="AK118" s="75">
        <f>AH118*(1-AF118-R118)</f>
        <v>2620800.1851851847</v>
      </c>
      <c r="AL118" s="199">
        <f>(K118-AO118)/1.2/(1+AQ118)</f>
        <v>2586064.5370370378</v>
      </c>
      <c r="AM118" s="76">
        <f>AL118*(1-AF118)</f>
        <v>2456761.3101851856</v>
      </c>
      <c r="AN118" s="76">
        <f>AL118*(1-AF118-R118)</f>
        <v>2456761.3101851856</v>
      </c>
      <c r="AO118" s="77">
        <f>_xlfn.XLOOKUP(A118,'[1]My Input'!$B:$B,'[1]My Input'!$T:$T)</f>
        <v>0</v>
      </c>
      <c r="AP118" s="78">
        <f>_xlfn.XLOOKUP(A118,'[1]My Input'!$B:$B,'[1]My Input'!$S:$S)</f>
        <v>2000</v>
      </c>
      <c r="AQ118" s="67">
        <f>_xlfn.XLOOKUP(A118,'[1]My Input'!$B:$B,'[1]My Input'!$U:$U)</f>
        <v>1.7</v>
      </c>
      <c r="AS118" s="155">
        <v>-3289</v>
      </c>
      <c r="AU118" s="74" t="s">
        <v>41</v>
      </c>
      <c r="AV118" s="67" cm="1">
        <f t="array" ref="AV118">_xlfn.IFS(
 AND(AY118="ICE",  AP118&lt;=1400,AND(AK118&gt;900000,  AK118&lt;=1100000)),                    80%,
 AND(AY118="ICE",  AP118&lt;=1400,AK118&gt;1100000),                                       90%,
 AND(AY118="ICE",  AND(AP118&gt;1400,AP118&lt;=1600),   AK118&lt;=850000),                      75%,
 AND(AY118="ICE",  AND(AP118&gt;1400,AP118&lt;=1600),   AND(AK118&gt;850000,AK118&lt;=1100000)),     80%,
 AND(AY118="ICE",  AND(AP118&gt;1400,AP118&lt;=1600),   AND(AK118&gt;1100000,AK118&lt;=1650000)),    90%,
 AND(AY118="ICE",  AND(AP118&gt;1400,AP118&lt;=1600),   AK118&gt;1650000),                      100%,
 AND(AY118="ICE",  AND(AP118&gt;1600,AP118&lt;=2000),   AK118&lt;=1650000),                     150%,
 AND(AY118="ICE",  AND(AP118&gt;1600,AP118&lt;=2000),   AK118&gt;1650000),                      170%,
 AND(AY118="ICE",  AP118&gt;2000),                                                    220%,
 AND(AY118="PHEV",  AP118&lt;=1600,                AK118&lt;=1350000),                     45%,
 AND(AY118="PHEV",  AP118&lt;=1600,                AK118&gt;1350000),                      75%,
 AND(AY118="PHEV",  AND(AP118&gt;1600,AP118&lt;=1800),  AK118&lt;=1350000),                     85%,
 AND(AY118="BEV",    AZ118&lt;=160,                 AK118&lt;=1650000),                     25%,
 AND(AY118="BEV",    AZ118&lt;=160,                 AK118&gt;1650000),                      55%,
 AND(AY118="BEV",    AZ118&gt; 160,                 AK118&lt;=1650000),                     65%,
 AND(AY118="BEV",    AZ118&gt; 160,                 AK118&gt;1650000),                      75%)</f>
        <v>1.7</v>
      </c>
      <c r="AW118" s="67" cm="1">
        <f t="array" ref="AW118">_xlfn.IFS(
 X118=0,AV118,
 AND(AY118="ICE",  AP118&lt;=1400,AND((AJ118-BA118)&gt;900000,  (AJ118-BA118)&lt;=1100000)),                    80%,
 AND(AY118="ICE",  AP118&lt;=1400,(AJ118-BA118)&gt;1100000),                                       90%,
 AND(AY118="ICE",  AND(AP118&gt;1400,AP118&lt;=1600),   (AJ118-BA118)&lt;=850000),                      75%,
 AND(AY118="ICE",  AND(AP118&gt;1400,AP118&lt;=1600),   AND((AJ118-BA118)&gt;850000,(AJ118-BA118)&lt;=1100000)),     80%,
 AND(AY118="ICE",  AND(AP118&gt;1400,AP118&lt;=1600),   AND((AJ118-BA118)&gt;1100000,(AJ118-BA118)&lt;=1650000)),    90%,
 AND(AY118="ICE",  AND(AP118&gt;1400,AP118&lt;=1600),   (AJ118-BA118)&gt;1650000),                      100%,
 AND(AY118="ICE",  AND(AP118&gt;1600,AP118&lt;=2000),   (AJ118-BA118)&lt;=1650000),                     150%,
 AND(AY118="ICE",  AND(AP118&gt;1600,AP118&lt;=2000),   (AJ118-BA118)&gt;1650000),                      170%,
 AND(AY118="ICE",  AP118&gt;2000),                                                    220%,
 AND(AY118="PHEV",  AP118&lt;=1600,                (AJ118-BA118)&lt;=1350000),                     45%,
 AND(AY118="PHEV",  AP118&lt;=1600,                (AJ118-BA118)&gt;1350000),                      75%,
 AND(AY118="PHEV",  AND(AP118&gt;1600,AP118&lt;=1800),  (AJ118-BA118)&lt;=1350000),                     85%,
 AND(AY118="BEV",    AZ118&lt;=160,                 (AJ118-BA118)&lt;=1650000),                     25%,
 AND(AY118="BEV",    AZ118&lt;=160,                 (AJ118-BA118)&gt;1650000),                      55%,
 AND(AY118="BEV",    AZ118&gt; 160,                 (AJ118-BA118)&lt;=1650000),                     65%,
 AND(AY118="BEV",    AZ118&gt; 160,                 (AJ118-BA118)&gt;1650000),                      75%)</f>
        <v>1.7</v>
      </c>
      <c r="AX118" s="67" cm="1">
        <f t="array" ref="AX118">_xlfn.IFS(
 AD118=0,AV118,
 AND(AY118="ICE",  AP118&lt;=1400,AND(AJ118&gt;900000,  AJ118&lt;=1100000)),                    80%,
 AND(AY118="ICE",  AP118&lt;=1400,AJ118&gt;1100000),                                       90%,
 AND(AY118="ICE",  AND(AP118&gt;1400,AP118&lt;=1600),   AJ118&lt;=850000),                      75%,
 AND(AY118="ICE",  AND(AP118&gt;1400,AP118&lt;=1600),   AND(AJ118&gt;850000,AJ118&lt;=1100000)),     80%,
 AND(AY118="ICE",  AND(AP118&gt;1400,AP118&lt;=1600),   AND(AJ118&gt;1100000,AJ118&lt;=1650000)),    90%,
 AND(AY118="ICE",  AND(AP118&gt;1400,AP118&lt;=1600),   AJ118&gt;1650000),                      100%,
 AND(AY118="ICE",  AND(AP118&gt;1600,AP118&lt;=2000),   AJ118&lt;=1650000),                     150%,
 AND(AY118="ICE",  AND(AP118&gt;1600,AP118&lt;=2000),   AJ118&gt;1650000),                      170%,
 AND(AY118="ICE",  AP118&gt;2000),                                                    220%,
 AND(AY118="PHEV",  AP118&lt;=1600,                AJ118&lt;=1350000),                     45%,
 AND(AY118="PHEV",  AP118&lt;=1600,                AJ118&gt;1350000),                      75%,
 AND(AY118="PHEV",  AND(AP118&gt;1600,AP118&lt;=1800),  AJ118&lt;=1350000),                     85%,
 AND(AY118="BEV",    AZ118&lt;=160,                 AJ118&lt;=1650000),                     25%,
 AND(AY118="BEV",    AZ118&lt;=160,                 AJ118&gt;1650000),                      55%,
 AND(AY118="BEV",    AZ118&gt; 160,                 AJ118&lt;=1650000),                     65%,
 AND(AY118="BEV",    AZ118&gt; 160,                 AJ118&gt;1650000),                      75%)</f>
        <v>1.7</v>
      </c>
      <c r="AY118" s="80" t="str">
        <f>_xlfn.XLOOKUP(A118,'[1]My Input'!$B:$B,'[1]My Input'!$V:$V)</f>
        <v>ICE</v>
      </c>
      <c r="AZ118" s="80" t="str">
        <f>_xlfn.IFNA(_xlfn.XLOOKUP(A118,'[1]kW Tescil'!$A:$A,'[1]kW Tescil'!$C:$C),"-")</f>
        <v>-</v>
      </c>
      <c r="BA118" s="81">
        <f>_xlfn.XLOOKUP(A118,'[1]My Input'!$B:$B,'[1]My Input'!$H:$H)</f>
        <v>0</v>
      </c>
      <c r="BC118" s="82">
        <v>4.3148085584369937</v>
      </c>
      <c r="BD118" s="82">
        <v>9.1244762290108525</v>
      </c>
      <c r="BF118" s="83">
        <v>7.4967640776715001</v>
      </c>
      <c r="BG118" s="83">
        <v>12.011494479235552</v>
      </c>
      <c r="BI118" s="84">
        <v>1111345.5618000021</v>
      </c>
      <c r="BL118" s="83">
        <v>-1.4583201621130115</v>
      </c>
    </row>
    <row r="119" spans="1:68" ht="15" customHeight="1" x14ac:dyDescent="0.25">
      <c r="A119" s="1" t="s">
        <v>173</v>
      </c>
      <c r="B119" s="1" t="str">
        <f t="shared" si="440"/>
        <v>MBGLC 300d 4MATICAMG</v>
      </c>
      <c r="C119" s="85" t="s">
        <v>42</v>
      </c>
      <c r="D119" s="59" t="s">
        <v>47</v>
      </c>
      <c r="E119" s="222" t="s">
        <v>174</v>
      </c>
      <c r="F119" s="61" t="s">
        <v>49</v>
      </c>
      <c r="G119" s="234"/>
      <c r="H119" s="63">
        <v>9716308</v>
      </c>
      <c r="I119" s="64">
        <f>H119/$H$122*$I$122</f>
        <v>117.74134756977735</v>
      </c>
      <c r="J119" s="65">
        <v>0.05</v>
      </c>
      <c r="K119" s="63">
        <f>(((H119-AO119)/(1+AQ119)/1.2/$AS$1)+AS119)*(1+AQ119)*(1.2)*$AS$1+AO119</f>
        <v>9156849.0999999996</v>
      </c>
      <c r="L119" s="64">
        <f>K119/$K$122*$L$122</f>
        <v>110.96187487336783</v>
      </c>
      <c r="M119" s="157"/>
      <c r="N119" s="63">
        <f>AN119*1.2*(1+AV119)+AO119</f>
        <v>8699006.6449999977</v>
      </c>
      <c r="O119" s="63">
        <f>AK119*1.2*(1+AV119)+AO119</f>
        <v>9230492.5999999996</v>
      </c>
      <c r="P119" s="64">
        <f>IF(ISNUMBER(O119),O119/$O$122*$P$122,"")</f>
        <v>118.9939150971154</v>
      </c>
      <c r="Q119" s="64">
        <f>IF(ISNUMBER(N119),N119/$N$122*$Q$122,"")</f>
        <v>112.14232035074406</v>
      </c>
      <c r="R119" s="67">
        <f>_xlfn.XLOOKUP(A119,'[1]My Input'!$B:$B,'[1]My Input'!$F:$F)</f>
        <v>0</v>
      </c>
      <c r="S119" s="157"/>
      <c r="T119" s="63">
        <f>IF(X119&lt;&gt;0,AM119*1.2*(1+AW119)+AO119-X119,AN119*1.2*(1+AV119)+AO119)</f>
        <v>8699006.6449999977</v>
      </c>
      <c r="U119" s="63">
        <f>IF(X119&lt;&gt;0,AJ119*1.2*(1+AW119)+AO119-X119,AK119*1.2*(1+AV119)+AO119)</f>
        <v>9230492.5999999996</v>
      </c>
      <c r="V119" s="64">
        <f>IF(ISNUMBER(U119),U119/U122*V122,"")</f>
        <v>118.9939150971154</v>
      </c>
      <c r="W119" s="64">
        <f>IF(ISNUMBER(T119),T119/T122*W122,"")</f>
        <v>112.14232035074406</v>
      </c>
      <c r="X119" s="68">
        <f>_xlfn.XLOOKUP(A119,'[1]My Input'!$B:$B,'[1]My Input'!$I:$I)</f>
        <v>0</v>
      </c>
      <c r="Y119" s="157"/>
      <c r="Z119" s="63">
        <f t="shared" si="441"/>
        <v>8618189.8149999976</v>
      </c>
      <c r="AA119" s="63">
        <f>IF(AD119&lt;&gt;0,AJ119*1.2*(1+AX119)+AO119-AD119,AH119*(1-AG119)*1.2*(1+AV119)+AO119)</f>
        <v>9149675.7699999996</v>
      </c>
      <c r="AB119" s="64">
        <f>IF(ISNUMBER(AA119),AA119/AA122*AB122,"")</f>
        <v>116.12107284159647</v>
      </c>
      <c r="AC119" s="64">
        <f>IF(ISNUMBER(Z119),Z119/Z122*AC122,"")</f>
        <v>109.37583718011024</v>
      </c>
      <c r="AD119" s="69">
        <f>_xlfn.XLOOKUP(A119,'[1]My Input'!$B:$B,'[1]My Input'!$N:$N)</f>
        <v>80816.83</v>
      </c>
      <c r="AE119" s="70"/>
      <c r="AF119" s="71">
        <v>0.05</v>
      </c>
      <c r="AG119" s="131">
        <v>0.05</v>
      </c>
      <c r="AH119" s="132">
        <f>(H119-AO119)/1.2/(1+AQ119)</f>
        <v>2998860.4938271604</v>
      </c>
      <c r="AJ119" s="132">
        <f>AH119*(1-AF119)</f>
        <v>2848917.4691358022</v>
      </c>
      <c r="AK119" s="133">
        <f>AH119*(1-AF119-R119)</f>
        <v>2848917.4691358022</v>
      </c>
      <c r="AL119" s="134">
        <f>(K119-AO119)/1.2/(1+AQ119)</f>
        <v>2826187.99382716</v>
      </c>
      <c r="AM119" s="134">
        <f>AL119*(1-AF119)</f>
        <v>2684878.5941358018</v>
      </c>
      <c r="AN119" s="134">
        <f>AL119*(1-AF119-R119)</f>
        <v>2684878.5941358018</v>
      </c>
      <c r="AO119" s="135">
        <f>_xlfn.XLOOKUP(A119,'[1]My Input'!$B:$B,'[1]My Input'!$T:$T)</f>
        <v>0</v>
      </c>
      <c r="AP119" s="136">
        <f>_xlfn.XLOOKUP(A119,'[1]My Input'!$B:$B,'[1]My Input'!$S:$S)</f>
        <v>2000</v>
      </c>
      <c r="AQ119" s="137">
        <f>_xlfn.XLOOKUP(A119,'[1]My Input'!$B:$B,'[1]My Input'!$U:$U)</f>
        <v>1.7</v>
      </c>
      <c r="AS119" s="186">
        <v>-3289</v>
      </c>
      <c r="AT119" s="236"/>
      <c r="AU119" s="17" t="s">
        <v>41</v>
      </c>
      <c r="AV119" s="137" cm="1">
        <f t="array" ref="AV119">_xlfn.IFS(
 AND(AY119="ICE",  AP119&lt;=1400,AND(AK119&gt;900000,  AK119&lt;=1100000)),                    80%,
 AND(AY119="ICE",  AP119&lt;=1400,AK119&gt;1100000),                                       90%,
 AND(AY119="ICE",  AND(AP119&gt;1400,AP119&lt;=1600),   AK119&lt;=850000),                      75%,
 AND(AY119="ICE",  AND(AP119&gt;1400,AP119&lt;=1600),   AND(AK119&gt;850000,AK119&lt;=1100000)),     80%,
 AND(AY119="ICE",  AND(AP119&gt;1400,AP119&lt;=1600),   AND(AK119&gt;1100000,AK119&lt;=1650000)),    90%,
 AND(AY119="ICE",  AND(AP119&gt;1400,AP119&lt;=1600),   AK119&gt;1650000),                      100%,
 AND(AY119="ICE",  AND(AP119&gt;1600,AP119&lt;=2000),   AK119&lt;=1650000),                     150%,
 AND(AY119="ICE",  AND(AP119&gt;1600,AP119&lt;=2000),   AK119&gt;1650000),                      170%,
 AND(AY119="ICE",  AP119&gt;2000),                                                    220%,
 AND(AY119="PHEV",  AP119&lt;=1600,                AK119&lt;=1350000),                     45%,
 AND(AY119="PHEV",  AP119&lt;=1600,                AK119&gt;1350000),                      75%,
 AND(AY119="PHEV",  AND(AP119&gt;1600,AP119&lt;=1800),  AK119&lt;=1350000),                     85%,
 AND(AY119="BEV",    AZ119&lt;=160,                 AK119&lt;=1650000),                     25%,
 AND(AY119="BEV",    AZ119&lt;=160,                 AK119&gt;1650000),                      55%,
 AND(AY119="BEV",    AZ119&gt; 160,                 AK119&lt;=1650000),                     65%,
 AND(AY119="BEV",    AZ119&gt; 160,                 AK119&gt;1650000),                      75%)</f>
        <v>1.7</v>
      </c>
      <c r="AW119" s="137" cm="1">
        <f t="array" ref="AW119">_xlfn.IFS(
 X119=0,AV119,
 AND(AY119="ICE",  AP119&lt;=1400,AND((AJ119-BA119)&gt;900000,  (AJ119-BA119)&lt;=1100000)),                    80%,
 AND(AY119="ICE",  AP119&lt;=1400,(AJ119-BA119)&gt;1100000),                                       90%,
 AND(AY119="ICE",  AND(AP119&gt;1400,AP119&lt;=1600),   (AJ119-BA119)&lt;=850000),                      75%,
 AND(AY119="ICE",  AND(AP119&gt;1400,AP119&lt;=1600),   AND((AJ119-BA119)&gt;850000,(AJ119-BA119)&lt;=1100000)),     80%,
 AND(AY119="ICE",  AND(AP119&gt;1400,AP119&lt;=1600),   AND((AJ119-BA119)&gt;1100000,(AJ119-BA119)&lt;=1650000)),    90%,
 AND(AY119="ICE",  AND(AP119&gt;1400,AP119&lt;=1600),   (AJ119-BA119)&gt;1650000),                      100%,
 AND(AY119="ICE",  AND(AP119&gt;1600,AP119&lt;=2000),   (AJ119-BA119)&lt;=1650000),                     150%,
 AND(AY119="ICE",  AND(AP119&gt;1600,AP119&lt;=2000),   (AJ119-BA119)&gt;1650000),                      170%,
 AND(AY119="ICE",  AP119&gt;2000),                                                    220%,
 AND(AY119="PHEV",  AP119&lt;=1600,                (AJ119-BA119)&lt;=1350000),                     45%,
 AND(AY119="PHEV",  AP119&lt;=1600,                (AJ119-BA119)&gt;1350000),                      75%,
 AND(AY119="PHEV",  AND(AP119&gt;1600,AP119&lt;=1800),  (AJ119-BA119)&lt;=1350000),                     85%,
 AND(AY119="BEV",    AZ119&lt;=160,                 (AJ119-BA119)&lt;=1650000),                     25%,
 AND(AY119="BEV",    AZ119&lt;=160,                 (AJ119-BA119)&gt;1650000),                      55%,
 AND(AY119="BEV",    AZ119&gt; 160,                 (AJ119-BA119)&lt;=1650000),                     65%,
 AND(AY119="BEV",    AZ119&gt; 160,                 (AJ119-BA119)&gt;1650000),                      75%)</f>
        <v>1.7</v>
      </c>
      <c r="AX119" s="137" cm="1">
        <f t="array" ref="AX119">_xlfn.IFS(
 AD119=0,AV119,
 AND(AY119="ICE",  AP119&lt;=1400,AND(AJ119&gt;900000,  AJ119&lt;=1100000)),                    80%,
 AND(AY119="ICE",  AP119&lt;=1400,AJ119&gt;1100000),                                       90%,
 AND(AY119="ICE",  AND(AP119&gt;1400,AP119&lt;=1600),   AJ119&lt;=850000),                      75%,
 AND(AY119="ICE",  AND(AP119&gt;1400,AP119&lt;=1600),   AND(AJ119&gt;850000,AJ119&lt;=1100000)),     80%,
 AND(AY119="ICE",  AND(AP119&gt;1400,AP119&lt;=1600),   AND(AJ119&gt;1100000,AJ119&lt;=1650000)),    90%,
 AND(AY119="ICE",  AND(AP119&gt;1400,AP119&lt;=1600),   AJ119&gt;1650000),                      100%,
 AND(AY119="ICE",  AND(AP119&gt;1600,AP119&lt;=2000),   AJ119&lt;=1650000),                     150%,
 AND(AY119="ICE",  AND(AP119&gt;1600,AP119&lt;=2000),   AJ119&gt;1650000),                      170%,
 AND(AY119="ICE",  AP119&gt;2000),                                                    220%,
 AND(AY119="PHEV",  AP119&lt;=1600,                AJ119&lt;=1350000),                     45%,
 AND(AY119="PHEV",  AP119&lt;=1600,                AJ119&gt;1350000),                      75%,
 AND(AY119="PHEV",  AND(AP119&gt;1600,AP119&lt;=1800),  AJ119&lt;=1350000),                     85%,
 AND(AY119="BEV",    AZ119&lt;=160,                 AJ119&lt;=1650000),                     25%,
 AND(AY119="BEV",    AZ119&lt;=160,                 AJ119&gt;1650000),                      55%,
 AND(AY119="BEV",    AZ119&gt; 160,                 AJ119&lt;=1650000),                     65%,
 AND(AY119="BEV",    AZ119&gt; 160,                 AJ119&gt;1650000),                      75%)</f>
        <v>1.7</v>
      </c>
      <c r="AY119" s="139" t="str">
        <f>_xlfn.XLOOKUP(A119,'[1]My Input'!$B:$B,'[1]My Input'!$V:$V)</f>
        <v>ICE</v>
      </c>
      <c r="AZ119" s="139" t="str">
        <f>_xlfn.IFNA(_xlfn.XLOOKUP(A119,'[1]kW Tescil'!$A:$A,'[1]kW Tescil'!$C:$C),"-")</f>
        <v>-</v>
      </c>
      <c r="BA119" s="140">
        <f>_xlfn.XLOOKUP(A119,'[1]My Input'!$B:$B,'[1]My Input'!$H:$H)</f>
        <v>0</v>
      </c>
      <c r="BC119" s="141">
        <v>4.3148085584369937</v>
      </c>
      <c r="BD119" s="141">
        <v>9.1244762290108525</v>
      </c>
      <c r="BF119" s="142">
        <v>7.4967640776715001</v>
      </c>
      <c r="BG119" s="142">
        <v>12.011494479235552</v>
      </c>
      <c r="BI119" s="143">
        <v>1111345.5618000021</v>
      </c>
      <c r="BL119" s="142">
        <v>-1.4583201621130115</v>
      </c>
    </row>
    <row r="120" spans="1:68" s="74" customFormat="1" ht="15" hidden="1" customHeight="1" thickBot="1" x14ac:dyDescent="0.3">
      <c r="A120" s="57" t="s">
        <v>175</v>
      </c>
      <c r="B120" s="57" t="str">
        <f t="shared" si="440"/>
        <v>VolvoXC60B5 AWD Ultimate</v>
      </c>
      <c r="C120" s="58" t="s">
        <v>106</v>
      </c>
      <c r="D120" s="86" t="s">
        <v>151</v>
      </c>
      <c r="E120" s="87" t="s">
        <v>176</v>
      </c>
      <c r="F120" s="88" t="s">
        <v>177</v>
      </c>
      <c r="G120" s="65"/>
      <c r="H120" s="89" t="e">
        <v>#N/A</v>
      </c>
      <c r="I120" s="238" t="e">
        <f>H120/$H$122*$I$122</f>
        <v>#N/A</v>
      </c>
      <c r="J120" s="65"/>
      <c r="K120" s="89" t="e">
        <f>(((H120-AO120)/(1+AQ120)/1.2/$AS$1)+AS120)*(1+AQ120)*(1.2)*$AS$1+AO120</f>
        <v>#N/A</v>
      </c>
      <c r="L120" s="238" t="e">
        <f>K120/$K$122*$L$122</f>
        <v>#N/A</v>
      </c>
      <c r="M120" s="65"/>
      <c r="N120" s="243" t="e">
        <f>AN120*1.2*(1+AV120)+AO120</f>
        <v>#N/A</v>
      </c>
      <c r="O120" s="89" t="e">
        <f>AK120*1.2*(1+AV120)+AO120</f>
        <v>#N/A</v>
      </c>
      <c r="P120" s="238" t="str">
        <f>IF(ISNUMBER(O120),O120/$O$122*$P$122,"")</f>
        <v/>
      </c>
      <c r="Q120" s="238" t="str">
        <f>IF(ISNUMBER(N120),N120/$N$122*$Q$122,"")</f>
        <v/>
      </c>
      <c r="R120" s="67">
        <f>_xlfn.XLOOKUP(A120,'[1]My Input'!$B:$B,'[1]My Input'!$F:$F)</f>
        <v>0</v>
      </c>
      <c r="S120" s="65"/>
      <c r="T120" s="243" t="e">
        <f>IF(X120&lt;&gt;0,AM120*1.2*(1+AW120)+AO120-X120,AN120*1.2*(1+AV120)+AO120)</f>
        <v>#N/A</v>
      </c>
      <c r="U120" s="89" t="e">
        <f>IF(X120&lt;&gt;0,AJ120*1.2*(1+AW120)+AO120-X120,AK120*1.2*(1+AV120)+AO120)</f>
        <v>#N/A</v>
      </c>
      <c r="V120" s="238" t="str">
        <f>IF(ISNUMBER(U120),U120/U122*V122,"")</f>
        <v/>
      </c>
      <c r="W120" s="252" t="str">
        <f>IF(ISNUMBER(T120),T120/T122*W122,"")</f>
        <v/>
      </c>
      <c r="X120" s="243">
        <f>_xlfn.XLOOKUP(A120,'[1]My Input'!$B:$B,'[1]My Input'!$I:$I)</f>
        <v>0</v>
      </c>
      <c r="Y120" s="65"/>
      <c r="Z120" s="89" t="e">
        <f t="shared" si="441"/>
        <v>#N/A</v>
      </c>
      <c r="AA120" s="89" t="e">
        <f>IF(AD120&lt;&gt;0,AJ120*1.2*(1+AX120)+AO120-AD120,AH120*(1-AG120)*1.2*(1+AV120)+AO120)</f>
        <v>#N/A</v>
      </c>
      <c r="AB120" s="238" t="str">
        <f>IF(ISNUMBER(AA120),AA120/AA122*AB122,"")</f>
        <v/>
      </c>
      <c r="AC120" s="238" t="str">
        <f>IF(ISNUMBER(Z120),Z120/Z122*AC122,"")</f>
        <v/>
      </c>
      <c r="AD120" s="89">
        <f>_xlfn.XLOOKUP(A120,'[1]My Input'!$B:$B,'[1]My Input'!$N:$N)</f>
        <v>0</v>
      </c>
      <c r="AE120" s="70"/>
      <c r="AF120" s="71">
        <f>_xlfn.XLOOKUP(A120,'[1]My Input'!$B:$B,'[1]My Input'!$E:$E)</f>
        <v>0.2</v>
      </c>
      <c r="AG120" s="72">
        <f>_xlfn.XLOOKUP(A120,'[1]My Input'!$B:$B,'[1]My Input'!$G:$G)</f>
        <v>0.2</v>
      </c>
      <c r="AH120" s="73" t="e">
        <f>(H120-AO120)/1.2/(1+AQ120)</f>
        <v>#N/A</v>
      </c>
      <c r="AJ120" s="73" t="e">
        <f>AH120*(1-AF120)</f>
        <v>#N/A</v>
      </c>
      <c r="AK120" s="75" t="e">
        <f>AH120*(1-AF120-R120)</f>
        <v>#N/A</v>
      </c>
      <c r="AL120" s="199" t="e">
        <f>(K120-AO120)/1.2/(1+AQ120)</f>
        <v>#N/A</v>
      </c>
      <c r="AM120" s="76" t="e">
        <f>AL120*(1-AF120)</f>
        <v>#N/A</v>
      </c>
      <c r="AN120" s="76" t="e">
        <f>AL120*(1-AF120-R120)</f>
        <v>#N/A</v>
      </c>
      <c r="AO120" s="77">
        <f>_xlfn.XLOOKUP(A120,'[1]My Input'!$B:$B,'[1]My Input'!$T:$T)</f>
        <v>0</v>
      </c>
      <c r="AP120" s="78">
        <f>_xlfn.XLOOKUP(A120,'[1]My Input'!$B:$B,'[1]My Input'!$S:$S)</f>
        <v>2000</v>
      </c>
      <c r="AQ120" s="67">
        <f>_xlfn.XLOOKUP(A120,'[1]My Input'!$B:$B,'[1]My Input'!$U:$U)</f>
        <v>1.7</v>
      </c>
      <c r="AS120" s="103">
        <f>_xlfn.XLOOKUP(A120,'[1]My Input'!$B:$B,'[1]My Input'!$Q:$Q)</f>
        <v>-6796.9833333333336</v>
      </c>
      <c r="AV120" s="67" t="e" cm="1">
        <f t="array" ref="AV120">_xlfn.IFS(
 AND(AY120="ICE",  AP120&lt;=1400,AND(AK120&gt;900000,  AK120&lt;=1100000)),                    80%,
 AND(AY120="ICE",  AP120&lt;=1400,AK120&gt;1100000),                                       90%,
 AND(AY120="ICE",  AND(AP120&gt;1400,AP120&lt;=1600),   AK120&lt;=850000),                      75%,
 AND(AY120="ICE",  AND(AP120&gt;1400,AP120&lt;=1600),   AND(AK120&gt;850000,AK120&lt;=1100000)),     80%,
 AND(AY120="ICE",  AND(AP120&gt;1400,AP120&lt;=1600),   AND(AK120&gt;1100000,AK120&lt;=1650000)),    90%,
 AND(AY120="ICE",  AND(AP120&gt;1400,AP120&lt;=1600),   AK120&gt;1650000),                      100%,
 AND(AY120="ICE",  AND(AP120&gt;1600,AP120&lt;=2000),   AK120&lt;=1650000),                     150%,
 AND(AY120="ICE",  AND(AP120&gt;1600,AP120&lt;=2000),   AK120&gt;1650000),                      170%,
 AND(AY120="ICE",  AP120&gt;2000),                                                    220%,
 AND(AY120="PHEV",  AP120&lt;=1600,                AK120&lt;=1350000),                     45%,
 AND(AY120="PHEV",  AP120&lt;=1600,                AK120&gt;1350000),                      75%,
 AND(AY120="PHEV",  AND(AP120&gt;1600,AP120&lt;=1800),  AK120&lt;=1350000),                     85%,
 AND(AY120="BEV",    AZ120&lt;=160,                 AK120&lt;=1650000),                     25%,
 AND(AY120="BEV",    AZ120&lt;=160,                 AK120&gt;1650000),                      55%,
 AND(AY120="BEV",    AZ120&gt; 160,                 AK120&lt;=1650000),                     65%,
 AND(AY120="BEV",    AZ120&gt; 160,                 AK120&gt;1650000),                      75%)</f>
        <v>#N/A</v>
      </c>
      <c r="AW120" s="67" t="e" cm="1">
        <f t="array" ref="AW120">_xlfn.IFS(
 X120=0,AV120,
 AND(AY120="ICE",  AP120&lt;=1400,AND((AJ120-BA120)&gt;900000,  (AJ120-BA120)&lt;=1100000)),                    80%,
 AND(AY120="ICE",  AP120&lt;=1400,(AJ120-BA120)&gt;1100000),                                       90%,
 AND(AY120="ICE",  AND(AP120&gt;1400,AP120&lt;=1600),   (AJ120-BA120)&lt;=850000),                      75%,
 AND(AY120="ICE",  AND(AP120&gt;1400,AP120&lt;=1600),   AND((AJ120-BA120)&gt;850000,(AJ120-BA120)&lt;=1100000)),     80%,
 AND(AY120="ICE",  AND(AP120&gt;1400,AP120&lt;=1600),   AND((AJ120-BA120)&gt;1100000,(AJ120-BA120)&lt;=1650000)),    90%,
 AND(AY120="ICE",  AND(AP120&gt;1400,AP120&lt;=1600),   (AJ120-BA120)&gt;1650000),                      100%,
 AND(AY120="ICE",  AND(AP120&gt;1600,AP120&lt;=2000),   (AJ120-BA120)&lt;=1650000),                     150%,
 AND(AY120="ICE",  AND(AP120&gt;1600,AP120&lt;=2000),   (AJ120-BA120)&gt;1650000),                      170%,
 AND(AY120="ICE",  AP120&gt;2000),                                                    220%,
 AND(AY120="PHEV",  AP120&lt;=1600,                (AJ120-BA120)&lt;=1350000),                     45%,
 AND(AY120="PHEV",  AP120&lt;=1600,                (AJ120-BA120)&gt;1350000),                      75%,
 AND(AY120="PHEV",  AND(AP120&gt;1600,AP120&lt;=1800),  (AJ120-BA120)&lt;=1350000),                     85%,
 AND(AY120="BEV",    AZ120&lt;=160,                 (AJ120-BA120)&lt;=1650000),                     25%,
 AND(AY120="BEV",    AZ120&lt;=160,                 (AJ120-BA120)&gt;1650000),                      55%,
 AND(AY120="BEV",    AZ120&gt; 160,                 (AJ120-BA120)&lt;=1650000),                     65%,
 AND(AY120="BEV",    AZ120&gt; 160,                 (AJ120-BA120)&gt;1650000),                      75%)</f>
        <v>#N/A</v>
      </c>
      <c r="AX120" s="67" t="e" cm="1">
        <f t="array" ref="AX120">_xlfn.IFS(
 AD120=0,AV120,
 AND(AY120="ICE",  AP120&lt;=1400,AND(AJ120&gt;900000,  AJ120&lt;=1100000)),                    80%,
 AND(AY120="ICE",  AP120&lt;=1400,AJ120&gt;1100000),                                       90%,
 AND(AY120="ICE",  AND(AP120&gt;1400,AP120&lt;=1600),   AJ120&lt;=850000),                      75%,
 AND(AY120="ICE",  AND(AP120&gt;1400,AP120&lt;=1600),   AND(AJ120&gt;850000,AJ120&lt;=1100000)),     80%,
 AND(AY120="ICE",  AND(AP120&gt;1400,AP120&lt;=1600),   AND(AJ120&gt;1100000,AJ120&lt;=1650000)),    90%,
 AND(AY120="ICE",  AND(AP120&gt;1400,AP120&lt;=1600),   AJ120&gt;1650000),                      100%,
 AND(AY120="ICE",  AND(AP120&gt;1600,AP120&lt;=2000),   AJ120&lt;=1650000),                     150%,
 AND(AY120="ICE",  AND(AP120&gt;1600,AP120&lt;=2000),   AJ120&gt;1650000),                      170%,
 AND(AY120="ICE",  AP120&gt;2000),                                                    220%,
 AND(AY120="PHEV",  AP120&lt;=1600,                AJ120&lt;=1350000),                     45%,
 AND(AY120="PHEV",  AP120&lt;=1600,                AJ120&gt;1350000),                      75%,
 AND(AY120="PHEV",  AND(AP120&gt;1600,AP120&lt;=1800),  AJ120&lt;=1350000),                     85%,
 AND(AY120="BEV",    AZ120&lt;=160,                 AJ120&lt;=1650000),                     25%,
 AND(AY120="BEV",    AZ120&lt;=160,                 AJ120&gt;1650000),                      55%,
 AND(AY120="BEV",    AZ120&gt; 160,                 AJ120&lt;=1650000),                     65%,
 AND(AY120="BEV",    AZ120&gt; 160,                 AJ120&gt;1650000),                      75%)</f>
        <v>#N/A</v>
      </c>
      <c r="AY120" s="80" t="str">
        <f>_xlfn.XLOOKUP(A120,'[1]My Input'!$B:$B,'[1]My Input'!$V:$V)</f>
        <v>ICE</v>
      </c>
      <c r="AZ120" s="80" t="str">
        <f>_xlfn.IFNA(_xlfn.XLOOKUP(A120,'[1]kW Tescil'!$A:$A,'[1]kW Tescil'!$C:$C),"-")</f>
        <v>-</v>
      </c>
      <c r="BA120" s="81">
        <f>_xlfn.XLOOKUP(A120,'[1]My Input'!$B:$B,'[1]My Input'!$H:$H)</f>
        <v>0</v>
      </c>
      <c r="BC120" s="82" t="e">
        <v>#VALUE!</v>
      </c>
      <c r="BD120" s="82" t="e">
        <v>#VALUE!</v>
      </c>
      <c r="BF120" s="83" t="e">
        <v>#VALUE!</v>
      </c>
      <c r="BG120" s="83" t="e">
        <v>#VALUE!</v>
      </c>
      <c r="BI120" s="84" t="e">
        <v>#N/A</v>
      </c>
      <c r="BL120" s="83" t="e">
        <v>#VALUE!</v>
      </c>
    </row>
    <row r="121" spans="1:68" s="74" customFormat="1" ht="15" hidden="1" customHeight="1" x14ac:dyDescent="0.25">
      <c r="A121" s="156" t="s">
        <v>178</v>
      </c>
      <c r="B121" s="57" t="str">
        <f t="shared" si="440"/>
        <v>AudiQ5 TDI quattro</v>
      </c>
      <c r="C121" s="58" t="s">
        <v>37</v>
      </c>
      <c r="D121" s="86" t="s">
        <v>38</v>
      </c>
      <c r="E121" s="87" t="s">
        <v>179</v>
      </c>
      <c r="F121" s="88"/>
      <c r="G121" s="65"/>
      <c r="H121" s="89">
        <f>7442034*1.02</f>
        <v>7590874.6799999997</v>
      </c>
      <c r="I121" s="238">
        <f>H121/$H$122*$I$122</f>
        <v>91.985537516565174</v>
      </c>
      <c r="J121" s="65"/>
      <c r="K121" s="63">
        <f>(((H121-AO121)/(1+AQ121)/1.2/$AS$1)+AS121)*(1+AQ121)*(1.2)*$AS$1+AO121</f>
        <v>8455663.0800000001</v>
      </c>
      <c r="L121" s="241">
        <f>K121/$K$122*$L$122</f>
        <v>102.46496566753689</v>
      </c>
      <c r="M121" s="65"/>
      <c r="N121" s="63">
        <f>AN121*1.2*(1+AV121)+AO121</f>
        <v>7398705.1950000003</v>
      </c>
      <c r="O121" s="89">
        <f>AK121*1.2*(1+AV121)+AO121</f>
        <v>6642015.3449999997</v>
      </c>
      <c r="P121" s="238">
        <f>IF(ISNUMBER(O121),O121/$O$122*$P$122,"")</f>
        <v>85.624835454249506</v>
      </c>
      <c r="Q121" s="252">
        <f>IF(ISNUMBER(N121),N121/$N$122*$Q$122,"")</f>
        <v>95.379622296909346</v>
      </c>
      <c r="R121" s="67">
        <f>_xlfn.XLOOKUP(A121,'[1]My Input'!$B:$B,'[1]My Input'!$F:$F)</f>
        <v>0</v>
      </c>
      <c r="S121" s="65"/>
      <c r="T121" s="63">
        <f>IF(X121&lt;&gt;0,AM121*1.2*(1+AW121)+AO121-X121,AN121*1.2*(1+AV121)+AO121)</f>
        <v>7398705.1950000003</v>
      </c>
      <c r="U121" s="89">
        <f>IF(X121&lt;&gt;0,AJ121*1.2*(1+AW121)+AO121-X121,AK121*1.2*(1+AV121)+AO121)</f>
        <v>6642015.3449999997</v>
      </c>
      <c r="V121" s="238">
        <f>IF(ISNUMBER(U121),U121/U122*V122,"")</f>
        <v>85.624835454249506</v>
      </c>
      <c r="W121" s="238">
        <f>IF(ISNUMBER(T121),T121/T122*W122,"")</f>
        <v>95.379622296909346</v>
      </c>
      <c r="X121" s="243">
        <f>_xlfn.XLOOKUP(A121,'[1]My Input'!$B:$B,'[1]My Input'!$I:$I)</f>
        <v>0</v>
      </c>
      <c r="Y121" s="65"/>
      <c r="Z121" s="248">
        <f t="shared" si="441"/>
        <v>7398705.1950000003</v>
      </c>
      <c r="AA121" s="89">
        <f>IF(AD121&lt;&gt;0,AJ121*1.2*(1+AX121)+AO121-AD121,AH121*(1-AG121)*1.2*(1+AV121)+AO121)</f>
        <v>6642015.3449999997</v>
      </c>
      <c r="AB121" s="238">
        <f>IF(ISNUMBER(AA121),AA121/AA122*AB122,"")</f>
        <v>84.295658893249126</v>
      </c>
      <c r="AC121" s="252">
        <f>IF(ISNUMBER(Z121),Z121/Z122*AC122,"")</f>
        <v>93.899019646036422</v>
      </c>
      <c r="AD121" s="253">
        <f>_xlfn.XLOOKUP(A121,'[1]My Input'!$B:$B,'[1]My Input'!$N:$N)</f>
        <v>0</v>
      </c>
      <c r="AE121" s="70"/>
      <c r="AF121" s="71">
        <f>_xlfn.XLOOKUP(A121,'[1]My Input'!$B:$B,'[1]My Input'!$E:$E)</f>
        <v>0.125</v>
      </c>
      <c r="AG121" s="72">
        <f>_xlfn.XLOOKUP(A121,'[1]My Input'!$B:$B,'[1]My Input'!$G:$G)</f>
        <v>0.125</v>
      </c>
      <c r="AH121" s="73">
        <f>(H121-AO121)/1.2/(1+AQ121)</f>
        <v>2342862.5555555555</v>
      </c>
      <c r="AJ121" s="73">
        <f>AH121*(1-AF121)</f>
        <v>2050004.736111111</v>
      </c>
      <c r="AK121" s="75">
        <f>AH121*(1-AF121-R121)</f>
        <v>2050004.736111111</v>
      </c>
      <c r="AL121" s="199">
        <f>(K121-AO121)/1.2/(1+AQ121)</f>
        <v>2609772.5555555555</v>
      </c>
      <c r="AM121" s="76">
        <f>AL121*(1-AF121)</f>
        <v>2283550.986111111</v>
      </c>
      <c r="AN121" s="76">
        <f>AL121*(1-AF121-R121)</f>
        <v>2283550.986111111</v>
      </c>
      <c r="AO121" s="77">
        <f>_xlfn.XLOOKUP(A121,'[1]My Input'!$B:$B,'[1]My Input'!$T:$T)</f>
        <v>0</v>
      </c>
      <c r="AP121" s="78">
        <f>_xlfn.XLOOKUP(A121,'[1]My Input'!$B:$B,'[1]My Input'!$S:$S)</f>
        <v>2000</v>
      </c>
      <c r="AQ121" s="67">
        <f>_xlfn.XLOOKUP(A121,'[1]My Input'!$B:$B,'[1]My Input'!$U:$U)</f>
        <v>1.7</v>
      </c>
      <c r="AS121" s="103">
        <v>5084</v>
      </c>
      <c r="AV121" s="67" cm="1">
        <f t="array" ref="AV121">_xlfn.IFS(
 AND(AY121="ICE",  AP121&lt;=1400,AND(AK121&gt;900000,  AK121&lt;=1100000)),                    80%,
 AND(AY121="ICE",  AP121&lt;=1400,AK121&gt;1100000),                                       90%,
 AND(AY121="ICE",  AND(AP121&gt;1400,AP121&lt;=1600),   AK121&lt;=850000),                      75%,
 AND(AY121="ICE",  AND(AP121&gt;1400,AP121&lt;=1600),   AND(AK121&gt;850000,AK121&lt;=1100000)),     80%,
 AND(AY121="ICE",  AND(AP121&gt;1400,AP121&lt;=1600),   AND(AK121&gt;1100000,AK121&lt;=1650000)),    90%,
 AND(AY121="ICE",  AND(AP121&gt;1400,AP121&lt;=1600),   AK121&gt;1650000),                      100%,
 AND(AY121="ICE",  AND(AP121&gt;1600,AP121&lt;=2000),   AK121&lt;=1650000),                     150%,
 AND(AY121="ICE",  AND(AP121&gt;1600,AP121&lt;=2000),   AK121&gt;1650000),                      170%,
 AND(AY121="ICE",  AP121&gt;2000),                                                    220%,
 AND(AY121="PHEV",  AP121&lt;=1600,                AK121&lt;=1350000),                     45%,
 AND(AY121="PHEV",  AP121&lt;=1600,                AK121&gt;1350000),                      75%,
 AND(AY121="PHEV",  AND(AP121&gt;1600,AP121&lt;=1800),  AK121&lt;=1350000),                     85%,
 AND(AY121="BEV",    AZ121&lt;=160,                 AK121&lt;=1650000),                     25%,
 AND(AY121="BEV",    AZ121&lt;=160,                 AK121&gt;1650000),                      55%,
 AND(AY121="BEV",    AZ121&gt; 160,                 AK121&lt;=1650000),                     65%,
 AND(AY121="BEV",    AZ121&gt; 160,                 AK121&gt;1650000),                      75%)</f>
        <v>1.7</v>
      </c>
      <c r="AW121" s="67" cm="1">
        <f t="array" ref="AW121">_xlfn.IFS(
 X121=0,AV121,
 AND(AY121="ICE",  AP121&lt;=1400,AND((AJ121-BA121)&gt;900000,  (AJ121-BA121)&lt;=1100000)),                    80%,
 AND(AY121="ICE",  AP121&lt;=1400,(AJ121-BA121)&gt;1100000),                                       90%,
 AND(AY121="ICE",  AND(AP121&gt;1400,AP121&lt;=1600),   (AJ121-BA121)&lt;=850000),                      75%,
 AND(AY121="ICE",  AND(AP121&gt;1400,AP121&lt;=1600),   AND((AJ121-BA121)&gt;850000,(AJ121-BA121)&lt;=1100000)),     80%,
 AND(AY121="ICE",  AND(AP121&gt;1400,AP121&lt;=1600),   AND((AJ121-BA121)&gt;1100000,(AJ121-BA121)&lt;=1650000)),    90%,
 AND(AY121="ICE",  AND(AP121&gt;1400,AP121&lt;=1600),   (AJ121-BA121)&gt;1650000),                      100%,
 AND(AY121="ICE",  AND(AP121&gt;1600,AP121&lt;=2000),   (AJ121-BA121)&lt;=1650000),                     150%,
 AND(AY121="ICE",  AND(AP121&gt;1600,AP121&lt;=2000),   (AJ121-BA121)&gt;1650000),                      170%,
 AND(AY121="ICE",  AP121&gt;2000),                                                    220%,
 AND(AY121="PHEV",  AP121&lt;=1600,                (AJ121-BA121)&lt;=1350000),                     45%,
 AND(AY121="PHEV",  AP121&lt;=1600,                (AJ121-BA121)&gt;1350000),                      75%,
 AND(AY121="PHEV",  AND(AP121&gt;1600,AP121&lt;=1800),  (AJ121-BA121)&lt;=1350000),                     85%,
 AND(AY121="BEV",    AZ121&lt;=160,                 (AJ121-BA121)&lt;=1650000),                     25%,
 AND(AY121="BEV",    AZ121&lt;=160,                 (AJ121-BA121)&gt;1650000),                      55%,
 AND(AY121="BEV",    AZ121&gt; 160,                 (AJ121-BA121)&lt;=1650000),                     65%,
 AND(AY121="BEV",    AZ121&gt; 160,                 (AJ121-BA121)&gt;1650000),                      75%)</f>
        <v>1.7</v>
      </c>
      <c r="AX121" s="67" cm="1">
        <f t="array" ref="AX121">_xlfn.IFS(
 AD121=0,AV121,
 AND(AY121="ICE",  AP121&lt;=1400,AND(AJ121&gt;900000,  AJ121&lt;=1100000)),                    80%,
 AND(AY121="ICE",  AP121&lt;=1400,AJ121&gt;1100000),                                       90%,
 AND(AY121="ICE",  AND(AP121&gt;1400,AP121&lt;=1600),   AJ121&lt;=850000),                      75%,
 AND(AY121="ICE",  AND(AP121&gt;1400,AP121&lt;=1600),   AND(AJ121&gt;850000,AJ121&lt;=1100000)),     80%,
 AND(AY121="ICE",  AND(AP121&gt;1400,AP121&lt;=1600),   AND(AJ121&gt;1100000,AJ121&lt;=1650000)),    90%,
 AND(AY121="ICE",  AND(AP121&gt;1400,AP121&lt;=1600),   AJ121&gt;1650000),                      100%,
 AND(AY121="ICE",  AND(AP121&gt;1600,AP121&lt;=2000),   AJ121&lt;=1650000),                     150%,
 AND(AY121="ICE",  AND(AP121&gt;1600,AP121&lt;=2000),   AJ121&gt;1650000),                      170%,
 AND(AY121="ICE",  AP121&gt;2000),                                                    220%,
 AND(AY121="PHEV",  AP121&lt;=1600,                AJ121&lt;=1350000),                     45%,
 AND(AY121="PHEV",  AP121&lt;=1600,                AJ121&gt;1350000),                      75%,
 AND(AY121="PHEV",  AND(AP121&gt;1600,AP121&lt;=1800),  AJ121&lt;=1350000),                     85%,
 AND(AY121="BEV",    AZ121&lt;=160,                 AJ121&lt;=1650000),                     25%,
 AND(AY121="BEV",    AZ121&lt;=160,                 AJ121&gt;1650000),                      55%,
 AND(AY121="BEV",    AZ121&gt; 160,                 AJ121&lt;=1650000),                     65%,
 AND(AY121="BEV",    AZ121&gt; 160,                 AJ121&gt;1650000),                      75%)</f>
        <v>1.7</v>
      </c>
      <c r="AY121" s="80" t="str">
        <f>_xlfn.XLOOKUP(A121,'[1]My Input'!$B:$B,'[1]My Input'!$V:$V)</f>
        <v>ICE</v>
      </c>
      <c r="AZ121" s="80" t="str">
        <f>_xlfn.IFNA(_xlfn.XLOOKUP(A121,'[1]kW Tescil'!$A:$A,'[1]kW Tescil'!$C:$C),"-")</f>
        <v>-</v>
      </c>
      <c r="BA121" s="81">
        <f>_xlfn.XLOOKUP(A121,'[1]My Input'!$B:$B,'[1]My Input'!$H:$H)</f>
        <v>0</v>
      </c>
      <c r="BC121" s="82"/>
      <c r="BD121" s="82"/>
      <c r="BF121" s="83"/>
      <c r="BG121" s="83"/>
      <c r="BI121" s="84"/>
      <c r="BL121" s="83"/>
    </row>
    <row r="122" spans="1:68" s="74" customFormat="1" ht="15.75" thickBot="1" x14ac:dyDescent="0.3">
      <c r="A122" s="57" t="s">
        <v>180</v>
      </c>
      <c r="B122" s="57" t="str">
        <f t="shared" si="440"/>
        <v>BMWX3 20d xDriveM Sport</v>
      </c>
      <c r="C122" s="58" t="s">
        <v>37</v>
      </c>
      <c r="D122" s="94" t="s">
        <v>44</v>
      </c>
      <c r="E122" s="95" t="s">
        <v>181</v>
      </c>
      <c r="F122" s="152" t="s">
        <v>53</v>
      </c>
      <c r="G122" s="65"/>
      <c r="H122" s="98">
        <v>8252248</v>
      </c>
      <c r="I122" s="99">
        <v>100</v>
      </c>
      <c r="J122" s="65">
        <v>0.06</v>
      </c>
      <c r="K122" s="98">
        <f>(((H122-AO122)/(1+AQ122)/1.2/$AS$1)+AS122)*(1+AQ122)*(1.2)*$AS$1+AO122</f>
        <v>8252248</v>
      </c>
      <c r="L122" s="99">
        <v>100</v>
      </c>
      <c r="M122" s="65"/>
      <c r="N122" s="98">
        <f>AN122*1.2*(1+AV122)+AO122</f>
        <v>7757113.1200000001</v>
      </c>
      <c r="O122" s="98">
        <f>AK122*1.2*(1+AV122)+AO122</f>
        <v>7757113.1200000001</v>
      </c>
      <c r="P122" s="99">
        <v>100</v>
      </c>
      <c r="Q122" s="99">
        <v>100</v>
      </c>
      <c r="R122" s="67">
        <f>_xlfn.XLOOKUP(A122,'[1]My Input'!$B:$B,'[1]My Input'!$F:$F)</f>
        <v>0.03</v>
      </c>
      <c r="S122" s="65"/>
      <c r="T122" s="98">
        <f>IF(X122&lt;&gt;0,AM122*1.2*(1+AW122)+AO122-X122,AN122*1.2*(1+AV122)+AO122)</f>
        <v>7757113.1200000001</v>
      </c>
      <c r="U122" s="98">
        <f>IF(X122&lt;&gt;0,AJ122*1.2*(1+AW122)+AO122-X122,AK122*1.2*(1+AV122)+AO122)</f>
        <v>7757113.1200000001</v>
      </c>
      <c r="V122" s="99">
        <v>100</v>
      </c>
      <c r="W122" s="99">
        <v>100</v>
      </c>
      <c r="X122" s="102">
        <f>_xlfn.XLOOKUP(A122,'[1]My Input'!$B:$B,'[1]My Input'!$I:$I)</f>
        <v>0</v>
      </c>
      <c r="Y122" s="65"/>
      <c r="Z122" s="98">
        <f t="shared" si="441"/>
        <v>7879427.5200000005</v>
      </c>
      <c r="AA122" s="98">
        <f>IF(AD122&lt;&gt;0,AJ122*1.2*(1+AX122)+AO122-AD122,AH122*(1-AG122)*1.2*(1+AV122)+AO122)</f>
        <v>7879427.5200000005</v>
      </c>
      <c r="AB122" s="99">
        <v>100</v>
      </c>
      <c r="AC122" s="99">
        <v>100</v>
      </c>
      <c r="AD122" s="98">
        <f>_xlfn.XLOOKUP(A122,'[1]My Input'!$B:$B,'[1]My Input'!$N:$N)</f>
        <v>125253.04</v>
      </c>
      <c r="AE122" s="70"/>
      <c r="AF122" s="71">
        <f>_xlfn.XLOOKUP(A122,'[1]My Input'!$B:$B,'[1]My Input'!$E:$E)</f>
        <v>0.03</v>
      </c>
      <c r="AG122" s="72">
        <f>_xlfn.XLOOKUP(A122,'[1]My Input'!$B:$B,'[1]My Input'!$G:$G)</f>
        <v>0.06</v>
      </c>
      <c r="AH122" s="73">
        <f>(H122-AO122)/1.2/(1+AQ122)</f>
        <v>2546990.1234567901</v>
      </c>
      <c r="AJ122" s="73">
        <f>AH122*(1-AF122)</f>
        <v>2470580.4197530863</v>
      </c>
      <c r="AK122" s="75">
        <f>AH122*(1-AF122-R122)</f>
        <v>2394170.7160493825</v>
      </c>
      <c r="AL122" s="199">
        <f>(K122-AO122)/1.2/(1+AQ122)</f>
        <v>2546990.1234567901</v>
      </c>
      <c r="AM122" s="76">
        <f>AL122*(1-AF122)</f>
        <v>2470580.4197530863</v>
      </c>
      <c r="AN122" s="76">
        <f>AL122*(1-AF122-R122)</f>
        <v>2394170.7160493825</v>
      </c>
      <c r="AO122" s="77">
        <f>_xlfn.XLOOKUP(A122,'[1]My Input'!$B:$B,'[1]My Input'!$T:$T)</f>
        <v>0</v>
      </c>
      <c r="AP122" s="78">
        <f>_xlfn.XLOOKUP(A122,'[1]My Input'!$B:$B,'[1]My Input'!$S:$S)</f>
        <v>2000</v>
      </c>
      <c r="AQ122" s="67">
        <f>_xlfn.XLOOKUP(A122,'[1]My Input'!$B:$B,'[1]My Input'!$U:$U)</f>
        <v>1.7</v>
      </c>
      <c r="AS122" s="103">
        <f>_xlfn.XLOOKUP(A122,'[1]My Input'!$B:$B,'[1]My Input'!$Q:$Q)</f>
        <v>0</v>
      </c>
      <c r="AU122" s="74" t="s">
        <v>41</v>
      </c>
      <c r="AV122" s="67" cm="1">
        <f t="array" ref="AV122">_xlfn.IFS(
 AND(AY122="ICE",  AP122&lt;=1400,AND(AK122&gt;900000,  AK122&lt;=1100000)),                    80%,
 AND(AY122="ICE",  AP122&lt;=1400,AK122&gt;1100000),                                       90%,
 AND(AY122="ICE",  AND(AP122&gt;1400,AP122&lt;=1600),   AK122&lt;=850000),                      75%,
 AND(AY122="ICE",  AND(AP122&gt;1400,AP122&lt;=1600),   AND(AK122&gt;850000,AK122&lt;=1100000)),     80%,
 AND(AY122="ICE",  AND(AP122&gt;1400,AP122&lt;=1600),   AND(AK122&gt;1100000,AK122&lt;=1650000)),    90%,
 AND(AY122="ICE",  AND(AP122&gt;1400,AP122&lt;=1600),   AK122&gt;1650000),                      100%,
 AND(AY122="ICE",  AND(AP122&gt;1600,AP122&lt;=2000),   AK122&lt;=1650000),                     150%,
 AND(AY122="ICE",  AND(AP122&gt;1600,AP122&lt;=2000),   AK122&gt;1650000),                      170%,
 AND(AY122="ICE",  AP122&gt;2000),                                                    220%,
 AND(AY122="PHEV",  AP122&lt;=1600,                AK122&lt;=1350000),                     45%,
 AND(AY122="PHEV",  AP122&lt;=1600,                AK122&gt;1350000),                      75%,
 AND(AY122="PHEV",  AND(AP122&gt;1600,AP122&lt;=1800),  AK122&lt;=1350000),                     85%,
 AND(AY122="BEV",    AZ122&lt;=160,                 AK122&lt;=1650000),                     25%,
 AND(AY122="BEV",    AZ122&lt;=160,                 AK122&gt;1650000),                      55%,
 AND(AY122="BEV",    AZ122&gt; 160,                 AK122&lt;=1650000),                     65%,
 AND(AY122="BEV",    AZ122&gt; 160,                 AK122&gt;1650000),                      75%)</f>
        <v>1.7</v>
      </c>
      <c r="AW122" s="67" cm="1">
        <f t="array" ref="AW122">_xlfn.IFS(
 X122=0,AV122,
 AND(AY122="ICE",  AP122&lt;=1400,AND((AJ122-BA122)&gt;900000,  (AJ122-BA122)&lt;=1100000)),                    80%,
 AND(AY122="ICE",  AP122&lt;=1400,(AJ122-BA122)&gt;1100000),                                       90%,
 AND(AY122="ICE",  AND(AP122&gt;1400,AP122&lt;=1600),   (AJ122-BA122)&lt;=850000),                      75%,
 AND(AY122="ICE",  AND(AP122&gt;1400,AP122&lt;=1600),   AND((AJ122-BA122)&gt;850000,(AJ122-BA122)&lt;=1100000)),     80%,
 AND(AY122="ICE",  AND(AP122&gt;1400,AP122&lt;=1600),   AND((AJ122-BA122)&gt;1100000,(AJ122-BA122)&lt;=1650000)),    90%,
 AND(AY122="ICE",  AND(AP122&gt;1400,AP122&lt;=1600),   (AJ122-BA122)&gt;1650000),                      100%,
 AND(AY122="ICE",  AND(AP122&gt;1600,AP122&lt;=2000),   (AJ122-BA122)&lt;=1650000),                     150%,
 AND(AY122="ICE",  AND(AP122&gt;1600,AP122&lt;=2000),   (AJ122-BA122)&gt;1650000),                      170%,
 AND(AY122="ICE",  AP122&gt;2000),                                                    220%,
 AND(AY122="PHEV",  AP122&lt;=1600,                (AJ122-BA122)&lt;=1350000),                     45%,
 AND(AY122="PHEV",  AP122&lt;=1600,                (AJ122-BA122)&gt;1350000),                      75%,
 AND(AY122="PHEV",  AND(AP122&gt;1600,AP122&lt;=1800),  (AJ122-BA122)&lt;=1350000),                     85%,
 AND(AY122="BEV",    AZ122&lt;=160,                 (AJ122-BA122)&lt;=1650000),                     25%,
 AND(AY122="BEV",    AZ122&lt;=160,                 (AJ122-BA122)&gt;1650000),                      55%,
 AND(AY122="BEV",    AZ122&gt; 160,                 (AJ122-BA122)&lt;=1650000),                     65%,
 AND(AY122="BEV",    AZ122&gt; 160,                 (AJ122-BA122)&gt;1650000),                      75%)</f>
        <v>1.7</v>
      </c>
      <c r="AX122" s="67" cm="1">
        <f t="array" ref="AX122">_xlfn.IFS(
 AD122=0,AV122,
 AND(AY122="ICE",  AP122&lt;=1400,AND(AJ122&gt;900000,  AJ122&lt;=1100000)),                    80%,
 AND(AY122="ICE",  AP122&lt;=1400,AJ122&gt;1100000),                                       90%,
 AND(AY122="ICE",  AND(AP122&gt;1400,AP122&lt;=1600),   AJ122&lt;=850000),                      75%,
 AND(AY122="ICE",  AND(AP122&gt;1400,AP122&lt;=1600),   AND(AJ122&gt;850000,AJ122&lt;=1100000)),     80%,
 AND(AY122="ICE",  AND(AP122&gt;1400,AP122&lt;=1600),   AND(AJ122&gt;1100000,AJ122&lt;=1650000)),    90%,
 AND(AY122="ICE",  AND(AP122&gt;1400,AP122&lt;=1600),   AJ122&gt;1650000),                      100%,
 AND(AY122="ICE",  AND(AP122&gt;1600,AP122&lt;=2000),   AJ122&lt;=1650000),                     150%,
 AND(AY122="ICE",  AND(AP122&gt;1600,AP122&lt;=2000),   AJ122&gt;1650000),                      170%,
 AND(AY122="ICE",  AP122&gt;2000),                                                    220%,
 AND(AY122="PHEV",  AP122&lt;=1600,                AJ122&lt;=1350000),                     45%,
 AND(AY122="PHEV",  AP122&lt;=1600,                AJ122&gt;1350000),                      75%,
 AND(AY122="PHEV",  AND(AP122&gt;1600,AP122&lt;=1800),  AJ122&lt;=1350000),                     85%,
 AND(AY122="BEV",    AZ122&lt;=160,                 AJ122&lt;=1650000),                     25%,
 AND(AY122="BEV",    AZ122&lt;=160,                 AJ122&gt;1650000),                      55%,
 AND(AY122="BEV",    AZ122&gt; 160,                 AJ122&lt;=1650000),                     65%,
 AND(AY122="BEV",    AZ122&gt; 160,                 AJ122&gt;1650000),                      75%)</f>
        <v>1.7</v>
      </c>
      <c r="AY122" s="80" t="str">
        <f>_xlfn.XLOOKUP(A122,'[1]My Input'!$B:$B,'[1]My Input'!$V:$V)</f>
        <v>ICE</v>
      </c>
      <c r="AZ122" s="80" t="str">
        <f>_xlfn.IFNA(_xlfn.XLOOKUP(A122,'[1]kW Tescil'!$A:$A,'[1]kW Tescil'!$C:$C),"-")</f>
        <v>-</v>
      </c>
      <c r="BA122" s="81">
        <f>_xlfn.XLOOKUP(A122,'[1]My Input'!$B:$B,'[1]My Input'!$H:$H)</f>
        <v>0</v>
      </c>
      <c r="BC122" s="82">
        <v>0</v>
      </c>
      <c r="BD122" s="82">
        <v>0</v>
      </c>
      <c r="BF122" s="83">
        <v>0</v>
      </c>
      <c r="BG122" s="83">
        <v>0</v>
      </c>
      <c r="BI122" s="84">
        <v>440059.872299999</v>
      </c>
      <c r="BL122" s="83">
        <v>0</v>
      </c>
    </row>
    <row r="123" spans="1:68" s="117" customFormat="1" ht="7.15" customHeight="1" thickBot="1" x14ac:dyDescent="0.3">
      <c r="A123" s="57"/>
      <c r="B123" s="57"/>
      <c r="C123" s="254"/>
      <c r="D123" s="255"/>
      <c r="E123" s="256"/>
      <c r="F123" s="257"/>
      <c r="G123" s="110"/>
      <c r="H123" s="108"/>
      <c r="I123" s="219"/>
      <c r="J123" s="65"/>
      <c r="K123" s="108"/>
      <c r="L123" s="219"/>
      <c r="M123" s="65"/>
      <c r="N123" s="108"/>
      <c r="O123" s="108"/>
      <c r="P123" s="258"/>
      <c r="Q123" s="258"/>
      <c r="R123" s="244"/>
      <c r="S123" s="65"/>
      <c r="T123" s="108"/>
      <c r="U123" s="108"/>
      <c r="V123" s="258"/>
      <c r="W123" s="258"/>
      <c r="X123" s="166"/>
      <c r="Y123" s="65"/>
      <c r="Z123" s="108"/>
      <c r="AA123" s="108"/>
      <c r="AB123" s="258"/>
      <c r="AC123" s="258"/>
      <c r="AD123" s="167"/>
      <c r="AE123" s="246"/>
      <c r="AF123" s="115"/>
      <c r="AG123" s="19"/>
      <c r="AH123" s="116"/>
      <c r="AJ123" s="116"/>
      <c r="AK123" s="21"/>
      <c r="AL123" s="20"/>
      <c r="AM123" s="76"/>
      <c r="AN123" s="20"/>
      <c r="AO123" s="116"/>
      <c r="AP123" s="78"/>
      <c r="AQ123" s="67"/>
      <c r="AS123" s="118"/>
      <c r="AU123" s="74" t="s">
        <v>41</v>
      </c>
      <c r="AV123" s="67"/>
      <c r="AW123" s="67"/>
      <c r="AX123" s="67"/>
      <c r="AY123" s="80"/>
      <c r="AZ123" s="80"/>
      <c r="BA123" s="81"/>
      <c r="BC123" s="82">
        <v>0</v>
      </c>
      <c r="BD123" s="82">
        <v>0</v>
      </c>
      <c r="BF123" s="83">
        <v>0</v>
      </c>
      <c r="BG123" s="83">
        <v>0</v>
      </c>
      <c r="BI123" s="84">
        <v>0</v>
      </c>
      <c r="BL123" s="83">
        <v>0</v>
      </c>
    </row>
    <row r="124" spans="1:68" s="74" customFormat="1" ht="15" hidden="1" customHeight="1" x14ac:dyDescent="0.25">
      <c r="A124" s="57" t="s">
        <v>182</v>
      </c>
      <c r="B124" s="57" t="str">
        <f t="shared" ref="B124:B154" si="442">D124&amp;E124&amp;F124</f>
        <v>AudiQ8 e-tronAdvanced</v>
      </c>
      <c r="C124" s="259" t="s">
        <v>183</v>
      </c>
      <c r="D124" s="260" t="s">
        <v>38</v>
      </c>
      <c r="E124" s="60" t="s">
        <v>184</v>
      </c>
      <c r="F124" s="61" t="s">
        <v>40</v>
      </c>
      <c r="G124" s="65"/>
      <c r="H124" s="63">
        <v>0</v>
      </c>
      <c r="I124" s="64" t="e">
        <f>H124/$H$126*$I$126</f>
        <v>#N/A</v>
      </c>
      <c r="J124" s="65"/>
      <c r="K124" s="63" t="e">
        <f>(((H124-AO124)/(1+AQ124)/1.2/$AS$1)+AS124)*(1+AQ124)*(1.2)*$AS$1+AO124</f>
        <v>#N/A</v>
      </c>
      <c r="L124" s="64" t="e">
        <f>K124/$K$126*$L$126</f>
        <v>#N/A</v>
      </c>
      <c r="M124" s="65"/>
      <c r="N124" s="63" t="e">
        <f>AN124*1.2*(1+AV124)+AO124</f>
        <v>#N/A</v>
      </c>
      <c r="O124" s="63" t="e">
        <f>AK124*1.2*(1+AV124)+AO124</f>
        <v>#N/A</v>
      </c>
      <c r="P124" s="241" t="str">
        <f>IF(ISNUMBER(O124),O124/$O$126*$P$126,"")</f>
        <v/>
      </c>
      <c r="Q124" s="241" t="str">
        <f>IF(ISNUMBER(N124),N124/$N$126*$Q$126,"")</f>
        <v/>
      </c>
      <c r="R124" s="67" t="e">
        <f>_xlfn.XLOOKUP(A124,'[1]My Input'!$B:$B,'[1]My Input'!$F:$F)</f>
        <v>#N/A</v>
      </c>
      <c r="S124" s="65"/>
      <c r="T124" s="63" t="e">
        <f>IF(X124&lt;&gt;0,AM124*1.2*(1+AQ124)+AO124-X124,AN124*1.2*(1+AQ124)+AO124)</f>
        <v>#N/A</v>
      </c>
      <c r="U124" s="63" t="e">
        <f>IF(X124&lt;&gt;0,AJ124*1.2*(1+AQ124)+AO124-X124,AK124*1.2*(1+AQ124)+AO124)</f>
        <v>#N/A</v>
      </c>
      <c r="V124" s="241" t="str">
        <f>IF(ISNUMBER(U124),U124/$U$126*$V$126,"")</f>
        <v/>
      </c>
      <c r="W124" s="241" t="str">
        <f>IF(ISNUMBER(T124),T124/$T$126*$W$126,"")</f>
        <v/>
      </c>
      <c r="X124" s="248" t="e">
        <f>_xlfn.XLOOKUP(A124,'[1]My Input'!$B:$B,'[1]My Input'!$I:$I)</f>
        <v>#N/A</v>
      </c>
      <c r="Y124" s="65"/>
      <c r="Z124" s="63" t="e">
        <f t="shared" ref="Z124:Z154" si="443">IF(AD124&lt;&gt;0,AM124*1.2*(1+AQ124)+AO124-AD124,AL124*(1-AG124)*1.2*(1+AQ124)+AO124)</f>
        <v>#N/A</v>
      </c>
      <c r="AA124" s="63" t="e">
        <f>IF(AD124&lt;&gt;0,AJ124*1.2*(1+AX124)+AO124-AD124,AH124*(1-AG124)*1.2*(1+AV124)+AO124)</f>
        <v>#N/A</v>
      </c>
      <c r="AB124" s="241" t="str">
        <f>IF(ISNUMBER(AA124),AA124/$AA$126*$AB$126,"")</f>
        <v/>
      </c>
      <c r="AC124" s="241" t="str">
        <f>IF(ISNUMBER(Z124),Z124/$Z$126*$AC$126,"")</f>
        <v/>
      </c>
      <c r="AD124" s="63" t="e">
        <f>_xlfn.XLOOKUP(A124,'[1]My Input'!$B:$B,'[1]My Input'!$N:$N)</f>
        <v>#N/A</v>
      </c>
      <c r="AE124" s="70"/>
      <c r="AF124" s="71" t="e">
        <f>_xlfn.XLOOKUP(A124,'[1]My Input'!$B:$B,'[1]My Input'!$E:$E)</f>
        <v>#N/A</v>
      </c>
      <c r="AG124" s="72" t="e">
        <f>_xlfn.XLOOKUP(A124,'[1]My Input'!$B:$B,'[1]My Input'!$G:$G)</f>
        <v>#N/A</v>
      </c>
      <c r="AH124" s="73" t="e">
        <f>(H124-AO124)/1.2/(1+AQ124)</f>
        <v>#N/A</v>
      </c>
      <c r="AJ124" s="73" t="e">
        <f>AH124*(1-AF124)</f>
        <v>#N/A</v>
      </c>
      <c r="AK124" s="75" t="e">
        <f>AH124*(1-AF124-R124)</f>
        <v>#N/A</v>
      </c>
      <c r="AL124" s="76" t="e">
        <f>(K124-AO124)/1.2/(1+AQ124)</f>
        <v>#N/A</v>
      </c>
      <c r="AM124" s="76" t="e">
        <f>AL124*(1-AF124)</f>
        <v>#N/A</v>
      </c>
      <c r="AN124" s="76" t="e">
        <f>AL124*(1-AF124-R124)</f>
        <v>#N/A</v>
      </c>
      <c r="AO124" s="77" t="e">
        <f>_xlfn.XLOOKUP(A124,'[1]My Input'!$B:$B,'[1]My Input'!$T:$T)</f>
        <v>#N/A</v>
      </c>
      <c r="AP124" s="78" t="e">
        <f>_xlfn.XLOOKUP(A124,'[1]My Input'!$B:$B,'[1]My Input'!$S:$S)</f>
        <v>#N/A</v>
      </c>
      <c r="AQ124" s="67" t="e">
        <f>_xlfn.XLOOKUP(A124,'[1]My Input'!$B:$B,'[1]My Input'!$U:$U)</f>
        <v>#N/A</v>
      </c>
      <c r="AS124" s="103">
        <v>11804</v>
      </c>
      <c r="AV124" s="67" t="e" cm="1">
        <f t="array" ref="AV124">_xlfn.IFS(
 AND(AY124="ICE",  AP124&lt;=1400,AND(AK124&gt;900000,  AK124&lt;=1100000)),                    80%,
 AND(AY124="ICE",  AP124&lt;=1400,AK124&gt;1100000),                                       90%,
 AND(AY124="ICE",  AND(AP124&gt;1400,AP124&lt;=1600),   AK124&lt;=850000),                      75%,
 AND(AY124="ICE",  AND(AP124&gt;1400,AP124&lt;=1600),   AND(AK124&gt;850000,AK124&lt;=1100000)),     80%,
 AND(AY124="ICE",  AND(AP124&gt;1400,AP124&lt;=1600),   AND(AK124&gt;1100000,AK124&lt;=1650000)),    90%,
 AND(AY124="ICE",  AND(AP124&gt;1400,AP124&lt;=1600),   AK124&gt;1650000),                      100%,
 AND(AY124="ICE",  AND(AP124&gt;1600,AP124&lt;=2000),   AK124&lt;=1650000),                     150%,
 AND(AY124="ICE",  AND(AP124&gt;1600,AP124&lt;=2000),   AK124&gt;1650000),                      170%,
 AND(AY124="ICE",  AP124&gt;2000),                                                    220%,
 AND(AY124="PHEV",  AP124&lt;=1600,                AK124&lt;=1350000),                     45%,
 AND(AY124="PHEV",  AP124&lt;=1600,                AK124&gt;1350000),                      75%,
 AND(AY124="PHEV",  AND(AP124&gt;1600,AP124&lt;=1800),  AK124&lt;=1350000),                     85%,
 AND(AY124="BEV",    AZ124&lt;=160,                 AK124&lt;=1650000),                     25%,
 AND(AY124="BEV",    AZ124&lt;=160,                 AK124&gt;1650000),                      55%,
 AND(AY124="BEV",    AZ124&gt; 160,                 AK124&lt;=1650000),                     65%,
 AND(AY124="BEV",    AZ124&gt; 160,                 AK124&gt;1650000),                      75%)</f>
        <v>#N/A</v>
      </c>
      <c r="AW124" s="67" t="e" cm="1">
        <f t="array" ref="AW124">_xlfn.IFS(
 X124=0,AV124,
 AND(AY124="ICE",  AP124&lt;=1400,AND((AJ124-BA124)&gt;900000,  (AJ124-BA124)&lt;=1100000)),                    80%,
 AND(AY124="ICE",  AP124&lt;=1400,(AJ124-BA124)&gt;1100000),                                       90%,
 AND(AY124="ICE",  AND(AP124&gt;1400,AP124&lt;=1600),   (AJ124-BA124)&lt;=850000),                      75%,
 AND(AY124="ICE",  AND(AP124&gt;1400,AP124&lt;=1600),   AND((AJ124-BA124)&gt;850000,(AJ124-BA124)&lt;=1100000)),     80%,
 AND(AY124="ICE",  AND(AP124&gt;1400,AP124&lt;=1600),   AND((AJ124-BA124)&gt;1100000,(AJ124-BA124)&lt;=1650000)),    90%,
 AND(AY124="ICE",  AND(AP124&gt;1400,AP124&lt;=1600),   (AJ124-BA124)&gt;1650000),                      100%,
 AND(AY124="ICE",  AND(AP124&gt;1600,AP124&lt;=2000),   (AJ124-BA124)&lt;=1650000),                     150%,
 AND(AY124="ICE",  AND(AP124&gt;1600,AP124&lt;=2000),   (AJ124-BA124)&gt;1650000),                      170%,
 AND(AY124="ICE",  AP124&gt;2000),                                                    220%,
 AND(AY124="PHEV",  AP124&lt;=1600,                (AJ124-BA124)&lt;=1350000),                     45%,
 AND(AY124="PHEV",  AP124&lt;=1600,                (AJ124-BA124)&gt;1350000),                      75%,
 AND(AY124="PHEV",  AND(AP124&gt;1600,AP124&lt;=1800),  (AJ124-BA124)&lt;=1350000),                     85%,
 AND(AY124="BEV",    AZ124&lt;=160,                 (AJ124-BA124)&lt;=1650000),                     25%,
 AND(AY124="BEV",    AZ124&lt;=160,                 (AJ124-BA124)&gt;1650000),                      55%,
 AND(AY124="BEV",    AZ124&gt; 160,                 (AJ124-BA124)&lt;=1650000),                     65%,
 AND(AY124="BEV",    AZ124&gt; 160,                 (AJ124-BA124)&gt;1650000),                      75%)</f>
        <v>#N/A</v>
      </c>
      <c r="AX124" s="67" t="e" cm="1">
        <f t="array" ref="AX124">_xlfn.IFS(
 AD124=0,AV124,
 AND(AY124="ICE",  AP124&lt;=1400,AND(AJ124&gt;900000,  AJ124&lt;=1100000)),                    80%,
 AND(AY124="ICE",  AP124&lt;=1400,AJ124&gt;1100000),                                       90%,
 AND(AY124="ICE",  AND(AP124&gt;1400,AP124&lt;=1600),   AJ124&lt;=850000),                      75%,
 AND(AY124="ICE",  AND(AP124&gt;1400,AP124&lt;=1600),   AND(AJ124&gt;850000,AJ124&lt;=1100000)),     80%,
 AND(AY124="ICE",  AND(AP124&gt;1400,AP124&lt;=1600),   AND(AJ124&gt;1100000,AJ124&lt;=1650000)),    90%,
 AND(AY124="ICE",  AND(AP124&gt;1400,AP124&lt;=1600),   AJ124&gt;1650000),                      100%,
 AND(AY124="ICE",  AND(AP124&gt;1600,AP124&lt;=2000),   AJ124&lt;=1650000),                     150%,
 AND(AY124="ICE",  AND(AP124&gt;1600,AP124&lt;=2000),   AJ124&gt;1650000),                      170%,
 AND(AY124="ICE",  AP124&gt;2000),                                                    220%,
 AND(AY124="PHEV",  AP124&lt;=1600,                AJ124&lt;=1350000),                     45%,
 AND(AY124="PHEV",  AP124&lt;=1600,                AJ124&gt;1350000),                      75%,
 AND(AY124="PHEV",  AND(AP124&gt;1600,AP124&lt;=1800),  AJ124&lt;=1350000),                     85%,
 AND(AY124="BEV",    AZ124&lt;=160,                 AJ124&lt;=1650000),                     25%,
 AND(AY124="BEV",    AZ124&lt;=160,                 AJ124&gt;1650000),                      55%,
 AND(AY124="BEV",    AZ124&gt; 160,                 AJ124&lt;=1650000),                     65%,
 AND(AY124="BEV",    AZ124&gt; 160,                 AJ124&gt;1650000),                      75%)</f>
        <v>#N/A</v>
      </c>
      <c r="AY124" s="80" t="e">
        <f>_xlfn.XLOOKUP(A124,'[1]My Input'!$B:$B,'[1]My Input'!$V:$V)</f>
        <v>#N/A</v>
      </c>
      <c r="AZ124" s="80">
        <f>_xlfn.IFNA(_xlfn.XLOOKUP(A124,'[1]kW Tescil'!$A:$A,'[1]kW Tescil'!$C:$C),"-")</f>
        <v>300</v>
      </c>
      <c r="BA124" s="81" t="e">
        <f>_xlfn.XLOOKUP(A124,'[1]My Input'!$B:$B,'[1]My Input'!$H:$H)</f>
        <v>#N/A</v>
      </c>
      <c r="BC124" s="82" t="e">
        <v>#VALUE!</v>
      </c>
      <c r="BD124" s="82" t="e">
        <v>#VALUE!</v>
      </c>
      <c r="BF124" s="83" t="e">
        <v>#VALUE!</v>
      </c>
      <c r="BG124" s="83" t="e">
        <v>#VALUE!</v>
      </c>
      <c r="BI124" s="84" t="e">
        <v>#N/A</v>
      </c>
      <c r="BL124" s="83" t="e">
        <v>#VALUE!</v>
      </c>
    </row>
    <row r="125" spans="1:68" s="74" customFormat="1" ht="15" hidden="1" customHeight="1" x14ac:dyDescent="0.25">
      <c r="A125" s="57" t="s">
        <v>185</v>
      </c>
      <c r="B125" s="57" t="str">
        <f t="shared" si="442"/>
        <v>BMWiX xDrive40First Edition Sport</v>
      </c>
      <c r="C125" s="259" t="s">
        <v>183</v>
      </c>
      <c r="D125" s="261" t="s">
        <v>44</v>
      </c>
      <c r="E125" s="87" t="s">
        <v>186</v>
      </c>
      <c r="F125" s="88" t="s">
        <v>187</v>
      </c>
      <c r="G125" s="65"/>
      <c r="H125" s="89" t="e">
        <v>#N/A</v>
      </c>
      <c r="I125" s="90" t="e">
        <f>H125/$H$126*$I$126</f>
        <v>#N/A</v>
      </c>
      <c r="J125" s="65"/>
      <c r="K125" s="89" t="e">
        <f>(((H125-AO125)/(1+AQ125)/1.2/$AS$1)+AS125)*(1+AQ125)*(1.2)*$AS$1+AO125</f>
        <v>#N/A</v>
      </c>
      <c r="L125" s="90" t="e">
        <f>K125/$K$126*$L$126</f>
        <v>#N/A</v>
      </c>
      <c r="M125" s="65"/>
      <c r="N125" s="89" t="e">
        <f>AN125*1.2*(1+AV125)+AO125</f>
        <v>#N/A</v>
      </c>
      <c r="O125" s="89" t="e">
        <f>AK125*1.2*(1+AV125)+AO125</f>
        <v>#N/A</v>
      </c>
      <c r="P125" s="238" t="str">
        <f>IF(ISNUMBER(O125),O125/$O$126*$P$126,"")</f>
        <v/>
      </c>
      <c r="Q125" s="238" t="str">
        <f>IF(ISNUMBER(N125),N125/$N$126*$Q$126,"")</f>
        <v/>
      </c>
      <c r="R125" s="67" t="e">
        <f>_xlfn.XLOOKUP(A125,'[1]My Input'!$B:$B,'[1]My Input'!$F:$F)</f>
        <v>#N/A</v>
      </c>
      <c r="S125" s="65"/>
      <c r="T125" s="89" t="e">
        <f>IF(X125&lt;&gt;0,AM125*1.2*(1+AQ125)+AO125-X125,AN125*1.2*(1+AQ125)+AO125)</f>
        <v>#N/A</v>
      </c>
      <c r="U125" s="89" t="e">
        <f>IF(X125&lt;&gt;0,AJ125*1.2*(1+AQ125)+AO125-X125,AK125*1.2*(1+AQ125)+AO125)</f>
        <v>#N/A</v>
      </c>
      <c r="V125" s="238" t="str">
        <f>IF(ISNUMBER(U125),U125/$U$126*$V$126,"")</f>
        <v/>
      </c>
      <c r="W125" s="238" t="str">
        <f>IF(ISNUMBER(T125),T125/$T$126*$W$126,"")</f>
        <v/>
      </c>
      <c r="X125" s="243" t="e">
        <f>_xlfn.XLOOKUP(A125,'[1]My Input'!$B:$B,'[1]My Input'!$I:$I)</f>
        <v>#N/A</v>
      </c>
      <c r="Y125" s="65"/>
      <c r="Z125" s="89" t="e">
        <f t="shared" si="443"/>
        <v>#N/A</v>
      </c>
      <c r="AA125" s="89" t="e">
        <f>IF(AD125&lt;&gt;0,AJ125*1.2*(1+AX125)+AO125-AD125,AH125*(1-AG125)*1.2*(1+AV125)+AO125)</f>
        <v>#N/A</v>
      </c>
      <c r="AB125" s="238" t="str">
        <f>IF(ISNUMBER(AA125),AA125/$AA$126*$AB$126,"")</f>
        <v/>
      </c>
      <c r="AC125" s="238" t="str">
        <f>IF(ISNUMBER(Z125),Z125/$Z$126*$AC$126,"")</f>
        <v/>
      </c>
      <c r="AD125" s="89" t="e">
        <f>_xlfn.XLOOKUP(A125,'[1]My Input'!$B:$B,'[1]My Input'!$N:$N)</f>
        <v>#N/A</v>
      </c>
      <c r="AE125" s="70"/>
      <c r="AF125" s="71" t="e">
        <f>_xlfn.XLOOKUP(A125,'[1]My Input'!$B:$B,'[1]My Input'!$E:$E)</f>
        <v>#N/A</v>
      </c>
      <c r="AG125" s="72" t="e">
        <f>_xlfn.XLOOKUP(A125,'[1]My Input'!$B:$B,'[1]My Input'!$G:$G)</f>
        <v>#N/A</v>
      </c>
      <c r="AH125" s="73" t="e">
        <f>(H125-AO125)/1.2/(1+AQ125)</f>
        <v>#N/A</v>
      </c>
      <c r="AJ125" s="73" t="e">
        <f>AH125*(1-AF125)</f>
        <v>#N/A</v>
      </c>
      <c r="AK125" s="75" t="e">
        <f>AH125*(1-AF125-R125)</f>
        <v>#N/A</v>
      </c>
      <c r="AL125" s="76" t="e">
        <f>(K125-AO125)/1.2/(1+AQ125)</f>
        <v>#N/A</v>
      </c>
      <c r="AM125" s="76" t="e">
        <f>AL125*(1-AF125)</f>
        <v>#N/A</v>
      </c>
      <c r="AN125" s="76" t="e">
        <f>AL125*(1-AF125-R125)</f>
        <v>#N/A</v>
      </c>
      <c r="AO125" s="77" t="e">
        <f>_xlfn.XLOOKUP(A125,'[1]My Input'!$B:$B,'[1]My Input'!$T:$T)</f>
        <v>#N/A</v>
      </c>
      <c r="AP125" s="78" t="e">
        <f>_xlfn.XLOOKUP(A125,'[1]My Input'!$B:$B,'[1]My Input'!$S:$S)</f>
        <v>#N/A</v>
      </c>
      <c r="AQ125" s="67" t="e">
        <f>_xlfn.XLOOKUP(A125,'[1]My Input'!$B:$B,'[1]My Input'!$U:$U)</f>
        <v>#N/A</v>
      </c>
      <c r="AS125" s="103" t="e">
        <f>_xlfn.XLOOKUP(A125,'[1]My Input'!$B:$B,'[1]My Input'!$Q:$Q)</f>
        <v>#N/A</v>
      </c>
      <c r="AU125" s="237"/>
      <c r="AV125" s="67" t="e" cm="1">
        <f t="array" ref="AV125">_xlfn.IFS(
 AND(AY125="ICE",  AP125&lt;=1400,AND(AK125&gt;900000,  AK125&lt;=1100000)),                    80%,
 AND(AY125="ICE",  AP125&lt;=1400,AK125&gt;1100000),                                       90%,
 AND(AY125="ICE",  AND(AP125&gt;1400,AP125&lt;=1600),   AK125&lt;=850000),                      75%,
 AND(AY125="ICE",  AND(AP125&gt;1400,AP125&lt;=1600),   AND(AK125&gt;850000,AK125&lt;=1100000)),     80%,
 AND(AY125="ICE",  AND(AP125&gt;1400,AP125&lt;=1600),   AND(AK125&gt;1100000,AK125&lt;=1650000)),    90%,
 AND(AY125="ICE",  AND(AP125&gt;1400,AP125&lt;=1600),   AK125&gt;1650000),                      100%,
 AND(AY125="ICE",  AND(AP125&gt;1600,AP125&lt;=2000),   AK125&lt;=1650000),                     150%,
 AND(AY125="ICE",  AND(AP125&gt;1600,AP125&lt;=2000),   AK125&gt;1650000),                      170%,
 AND(AY125="ICE",  AP125&gt;2000),                                                    220%,
 AND(AY125="PHEV",  AP125&lt;=1600,                AK125&lt;=1350000),                     45%,
 AND(AY125="PHEV",  AP125&lt;=1600,                AK125&gt;1350000),                      75%,
 AND(AY125="PHEV",  AND(AP125&gt;1600,AP125&lt;=1800),  AK125&lt;=1350000),                     85%,
 AND(AY125="BEV",    AZ125&lt;=160,                 AK125&lt;=1650000),                     25%,
 AND(AY125="BEV",    AZ125&lt;=160,                 AK125&gt;1650000),                      55%,
 AND(AY125="BEV",    AZ125&gt; 160,                 AK125&lt;=1650000),                     65%,
 AND(AY125="BEV",    AZ125&gt; 160,                 AK125&gt;1650000),                      75%)</f>
        <v>#N/A</v>
      </c>
      <c r="AW125" s="67" t="e" cm="1">
        <f t="array" ref="AW125">_xlfn.IFS(
 X125=0,AV125,
 AND(AY125="ICE",  AP125&lt;=1400,AND((AJ125-BA125)&gt;900000,  (AJ125-BA125)&lt;=1100000)),                    80%,
 AND(AY125="ICE",  AP125&lt;=1400,(AJ125-BA125)&gt;1100000),                                       90%,
 AND(AY125="ICE",  AND(AP125&gt;1400,AP125&lt;=1600),   (AJ125-BA125)&lt;=850000),                      75%,
 AND(AY125="ICE",  AND(AP125&gt;1400,AP125&lt;=1600),   AND((AJ125-BA125)&gt;850000,(AJ125-BA125)&lt;=1100000)),     80%,
 AND(AY125="ICE",  AND(AP125&gt;1400,AP125&lt;=1600),   AND((AJ125-BA125)&gt;1100000,(AJ125-BA125)&lt;=1650000)),    90%,
 AND(AY125="ICE",  AND(AP125&gt;1400,AP125&lt;=1600),   (AJ125-BA125)&gt;1650000),                      100%,
 AND(AY125="ICE",  AND(AP125&gt;1600,AP125&lt;=2000),   (AJ125-BA125)&lt;=1650000),                     150%,
 AND(AY125="ICE",  AND(AP125&gt;1600,AP125&lt;=2000),   (AJ125-BA125)&gt;1650000),                      170%,
 AND(AY125="ICE",  AP125&gt;2000),                                                    220%,
 AND(AY125="PHEV",  AP125&lt;=1600,                (AJ125-BA125)&lt;=1350000),                     45%,
 AND(AY125="PHEV",  AP125&lt;=1600,                (AJ125-BA125)&gt;1350000),                      75%,
 AND(AY125="PHEV",  AND(AP125&gt;1600,AP125&lt;=1800),  (AJ125-BA125)&lt;=1350000),                     85%,
 AND(AY125="BEV",    AZ125&lt;=160,                 (AJ125-BA125)&lt;=1650000),                     25%,
 AND(AY125="BEV",    AZ125&lt;=160,                 (AJ125-BA125)&gt;1650000),                      55%,
 AND(AY125="BEV",    AZ125&gt; 160,                 (AJ125-BA125)&lt;=1650000),                     65%,
 AND(AY125="BEV",    AZ125&gt; 160,                 (AJ125-BA125)&gt;1650000),                      75%)</f>
        <v>#N/A</v>
      </c>
      <c r="AX125" s="67" t="e" cm="1">
        <f t="array" ref="AX125">_xlfn.IFS(
 AD125=0,AV125,
 AND(AY125="ICE",  AP125&lt;=1400,AND(AJ125&gt;900000,  AJ125&lt;=1100000)),                    80%,
 AND(AY125="ICE",  AP125&lt;=1400,AJ125&gt;1100000),                                       90%,
 AND(AY125="ICE",  AND(AP125&gt;1400,AP125&lt;=1600),   AJ125&lt;=850000),                      75%,
 AND(AY125="ICE",  AND(AP125&gt;1400,AP125&lt;=1600),   AND(AJ125&gt;850000,AJ125&lt;=1100000)),     80%,
 AND(AY125="ICE",  AND(AP125&gt;1400,AP125&lt;=1600),   AND(AJ125&gt;1100000,AJ125&lt;=1650000)),    90%,
 AND(AY125="ICE",  AND(AP125&gt;1400,AP125&lt;=1600),   AJ125&gt;1650000),                      100%,
 AND(AY125="ICE",  AND(AP125&gt;1600,AP125&lt;=2000),   AJ125&lt;=1650000),                     150%,
 AND(AY125="ICE",  AND(AP125&gt;1600,AP125&lt;=2000),   AJ125&gt;1650000),                      170%,
 AND(AY125="ICE",  AP125&gt;2000),                                                    220%,
 AND(AY125="PHEV",  AP125&lt;=1600,                AJ125&lt;=1350000),                     45%,
 AND(AY125="PHEV",  AP125&lt;=1600,                AJ125&gt;1350000),                      75%,
 AND(AY125="PHEV",  AND(AP125&gt;1600,AP125&lt;=1800),  AJ125&lt;=1350000),                     85%,
 AND(AY125="BEV",    AZ125&lt;=160,                 AJ125&lt;=1650000),                     25%,
 AND(AY125="BEV",    AZ125&lt;=160,                 AJ125&gt;1650000),                      55%,
 AND(AY125="BEV",    AZ125&gt; 160,                 AJ125&lt;=1650000),                     65%,
 AND(AY125="BEV",    AZ125&gt; 160,                 AJ125&gt;1650000),                      75%)</f>
        <v>#N/A</v>
      </c>
      <c r="AY125" s="80" t="e">
        <f>_xlfn.XLOOKUP(A125,'[1]My Input'!$B:$B,'[1]My Input'!$V:$V)</f>
        <v>#N/A</v>
      </c>
      <c r="AZ125" s="80" t="str">
        <f>_xlfn.IFNA(_xlfn.XLOOKUP(A125,'[1]kW Tescil'!$A:$A,'[1]kW Tescil'!$C:$C),"-")</f>
        <v>-</v>
      </c>
      <c r="BA125" s="81" t="e">
        <f>_xlfn.XLOOKUP(A125,'[1]My Input'!$B:$B,'[1]My Input'!$H:$H)</f>
        <v>#N/A</v>
      </c>
      <c r="BC125" s="82" t="e">
        <v>#VALUE!</v>
      </c>
      <c r="BD125" s="82" t="e">
        <v>#VALUE!</v>
      </c>
      <c r="BF125" s="83" t="e">
        <v>#VALUE!</v>
      </c>
      <c r="BG125" s="83" t="e">
        <v>#VALUE!</v>
      </c>
      <c r="BI125" s="84" t="e">
        <v>#N/A</v>
      </c>
      <c r="BL125" s="83" t="e">
        <v>#VALUE!</v>
      </c>
    </row>
    <row r="126" spans="1:68" s="74" customFormat="1" ht="15" hidden="1" customHeight="1" thickBot="1" x14ac:dyDescent="0.3">
      <c r="A126" s="57" t="s">
        <v>188</v>
      </c>
      <c r="B126" s="57" t="str">
        <f t="shared" si="442"/>
        <v>BMWiX xDrive50First Edition Sport</v>
      </c>
      <c r="C126" s="259"/>
      <c r="D126" s="262" t="s">
        <v>44</v>
      </c>
      <c r="E126" s="95" t="s">
        <v>189</v>
      </c>
      <c r="F126" s="152" t="s">
        <v>187</v>
      </c>
      <c r="G126" s="65"/>
      <c r="H126" s="98" t="e">
        <v>#N/A</v>
      </c>
      <c r="I126" s="99">
        <v>100</v>
      </c>
      <c r="J126" s="65"/>
      <c r="K126" s="98" t="e">
        <f>(((H126-AO126)/(1+AQ126)/1.2/$AS$1)+AS126)*(1+AQ126)*(1.2)*$AS$1+AO126</f>
        <v>#N/A</v>
      </c>
      <c r="L126" s="99">
        <v>100</v>
      </c>
      <c r="M126" s="65"/>
      <c r="N126" s="98" t="e">
        <f>AN126*1.2*(1+AV126)+AO126</f>
        <v>#N/A</v>
      </c>
      <c r="O126" s="98" t="e">
        <f>AK126*1.2*(1+AV126)+AO126</f>
        <v>#N/A</v>
      </c>
      <c r="P126" s="99">
        <v>100</v>
      </c>
      <c r="Q126" s="99">
        <v>100</v>
      </c>
      <c r="R126" s="67" t="e">
        <f>_xlfn.XLOOKUP(A126,'[1]My Input'!$B:$B,'[1]My Input'!$F:$F)</f>
        <v>#N/A</v>
      </c>
      <c r="S126" s="65"/>
      <c r="T126" s="98" t="e">
        <f>IF(X126&lt;&gt;0,AM126*1.2*(1+AQ126)+AO126-X126,AN126*1.2*(1+AQ126)+AO126)</f>
        <v>#N/A</v>
      </c>
      <c r="U126" s="98" t="e">
        <f>IF(X126&lt;&gt;0,AJ126*1.2*(1+AQ126)+AO126-X126,AK126*1.2*(1+AQ126)+AO126)</f>
        <v>#N/A</v>
      </c>
      <c r="V126" s="99">
        <v>100</v>
      </c>
      <c r="W126" s="99">
        <v>100</v>
      </c>
      <c r="X126" s="102" t="e">
        <f>_xlfn.XLOOKUP(A126,'[1]My Input'!$B:$B,'[1]My Input'!$I:$I)</f>
        <v>#N/A</v>
      </c>
      <c r="Y126" s="65"/>
      <c r="Z126" s="98" t="e">
        <f t="shared" si="443"/>
        <v>#N/A</v>
      </c>
      <c r="AA126" s="98" t="e">
        <f>IF(AD126&lt;&gt;0,AJ126*1.2*(1+AX126)+AO126-AD126,AH126*(1-AG126)*1.2*(1+AV126)+AO126)</f>
        <v>#N/A</v>
      </c>
      <c r="AB126" s="99">
        <v>100</v>
      </c>
      <c r="AC126" s="99">
        <v>100</v>
      </c>
      <c r="AD126" s="98" t="e">
        <f>_xlfn.XLOOKUP(A126,'[1]My Input'!$B:$B,'[1]My Input'!$N:$N)</f>
        <v>#N/A</v>
      </c>
      <c r="AE126" s="70"/>
      <c r="AF126" s="71" t="e">
        <f>_xlfn.XLOOKUP(A126,'[1]My Input'!$B:$B,'[1]My Input'!$E:$E)</f>
        <v>#N/A</v>
      </c>
      <c r="AG126" s="72" t="e">
        <f>_xlfn.XLOOKUP(A126,'[1]My Input'!$B:$B,'[1]My Input'!$G:$G)</f>
        <v>#N/A</v>
      </c>
      <c r="AH126" s="73" t="e">
        <f>(H126-AO126)/1.2/(1+AQ126)</f>
        <v>#N/A</v>
      </c>
      <c r="AJ126" s="73" t="e">
        <f>AH126*(1-AF126)</f>
        <v>#N/A</v>
      </c>
      <c r="AK126" s="75" t="e">
        <f>AH126*(1-AF126-R126)</f>
        <v>#N/A</v>
      </c>
      <c r="AL126" s="76" t="e">
        <f>(K126-AO126)/1.2/(1+AQ126)</f>
        <v>#N/A</v>
      </c>
      <c r="AM126" s="76" t="e">
        <f>AL126*(1-AF126)</f>
        <v>#N/A</v>
      </c>
      <c r="AN126" s="76" t="e">
        <f>AL126*(1-AF126-R126)</f>
        <v>#N/A</v>
      </c>
      <c r="AO126" s="77" t="e">
        <f>_xlfn.XLOOKUP(A126,'[1]My Input'!$B:$B,'[1]My Input'!$T:$T)</f>
        <v>#N/A</v>
      </c>
      <c r="AP126" s="78" t="e">
        <f>_xlfn.XLOOKUP(A126,'[1]My Input'!$B:$B,'[1]My Input'!$S:$S)</f>
        <v>#N/A</v>
      </c>
      <c r="AQ126" s="67" t="e">
        <f>_xlfn.XLOOKUP(A126,'[1]My Input'!$B:$B,'[1]My Input'!$U:$U)</f>
        <v>#N/A</v>
      </c>
      <c r="AS126" s="103" t="e">
        <f>_xlfn.XLOOKUP(A126,'[1]My Input'!$B:$B,'[1]My Input'!$Q:$Q)</f>
        <v>#N/A</v>
      </c>
      <c r="AV126" s="67" t="e" cm="1">
        <f t="array" ref="AV126">_xlfn.IFS(
 AND(AY126="ICE",  AP126&lt;=1400,AND(AK126&gt;900000,  AK126&lt;=1100000)),                    80%,
 AND(AY126="ICE",  AP126&lt;=1400,AK126&gt;1100000),                                       90%,
 AND(AY126="ICE",  AND(AP126&gt;1400,AP126&lt;=1600),   AK126&lt;=850000),                      75%,
 AND(AY126="ICE",  AND(AP126&gt;1400,AP126&lt;=1600),   AND(AK126&gt;850000,AK126&lt;=1100000)),     80%,
 AND(AY126="ICE",  AND(AP126&gt;1400,AP126&lt;=1600),   AND(AK126&gt;1100000,AK126&lt;=1650000)),    90%,
 AND(AY126="ICE",  AND(AP126&gt;1400,AP126&lt;=1600),   AK126&gt;1650000),                      100%,
 AND(AY126="ICE",  AND(AP126&gt;1600,AP126&lt;=2000),   AK126&lt;=1650000),                     150%,
 AND(AY126="ICE",  AND(AP126&gt;1600,AP126&lt;=2000),   AK126&gt;1650000),                      170%,
 AND(AY126="ICE",  AP126&gt;2000),                                                    220%,
 AND(AY126="PHEV",  AP126&lt;=1600,                AK126&lt;=1350000),                     45%,
 AND(AY126="PHEV",  AP126&lt;=1600,                AK126&gt;1350000),                      75%,
 AND(AY126="PHEV",  AND(AP126&gt;1600,AP126&lt;=1800),  AK126&lt;=1350000),                     85%,
 AND(AY126="BEV",    AZ126&lt;=160,                 AK126&lt;=1650000),                     25%,
 AND(AY126="BEV",    AZ126&lt;=160,                 AK126&gt;1650000),                      55%,
 AND(AY126="BEV",    AZ126&gt; 160,                 AK126&lt;=1650000),                     65%,
 AND(AY126="BEV",    AZ126&gt; 160,                 AK126&gt;1650000),                      75%)</f>
        <v>#N/A</v>
      </c>
      <c r="AW126" s="67" t="e" cm="1">
        <f t="array" ref="AW126">_xlfn.IFS(
 X126=0,AV126,
 AND(AY126="ICE",  AP126&lt;=1400,AND((AJ126-BA126)&gt;900000,  (AJ126-BA126)&lt;=1100000)),                    80%,
 AND(AY126="ICE",  AP126&lt;=1400,(AJ126-BA126)&gt;1100000),                                       90%,
 AND(AY126="ICE",  AND(AP126&gt;1400,AP126&lt;=1600),   (AJ126-BA126)&lt;=850000),                      75%,
 AND(AY126="ICE",  AND(AP126&gt;1400,AP126&lt;=1600),   AND((AJ126-BA126)&gt;850000,(AJ126-BA126)&lt;=1100000)),     80%,
 AND(AY126="ICE",  AND(AP126&gt;1400,AP126&lt;=1600),   AND((AJ126-BA126)&gt;1100000,(AJ126-BA126)&lt;=1650000)),    90%,
 AND(AY126="ICE",  AND(AP126&gt;1400,AP126&lt;=1600),   (AJ126-BA126)&gt;1650000),                      100%,
 AND(AY126="ICE",  AND(AP126&gt;1600,AP126&lt;=2000),   (AJ126-BA126)&lt;=1650000),                     150%,
 AND(AY126="ICE",  AND(AP126&gt;1600,AP126&lt;=2000),   (AJ126-BA126)&gt;1650000),                      170%,
 AND(AY126="ICE",  AP126&gt;2000),                                                    220%,
 AND(AY126="PHEV",  AP126&lt;=1600,                (AJ126-BA126)&lt;=1350000),                     45%,
 AND(AY126="PHEV",  AP126&lt;=1600,                (AJ126-BA126)&gt;1350000),                      75%,
 AND(AY126="PHEV",  AND(AP126&gt;1600,AP126&lt;=1800),  (AJ126-BA126)&lt;=1350000),                     85%,
 AND(AY126="BEV",    AZ126&lt;=160,                 (AJ126-BA126)&lt;=1650000),                     25%,
 AND(AY126="BEV",    AZ126&lt;=160,                 (AJ126-BA126)&gt;1650000),                      55%,
 AND(AY126="BEV",    AZ126&gt; 160,                 (AJ126-BA126)&lt;=1650000),                     65%,
 AND(AY126="BEV",    AZ126&gt; 160,                 (AJ126-BA126)&gt;1650000),                      75%)</f>
        <v>#N/A</v>
      </c>
      <c r="AX126" s="67" t="e" cm="1">
        <f t="array" ref="AX126">_xlfn.IFS(
 AD126=0,AV126,
 AND(AY126="ICE",  AP126&lt;=1400,AND(AJ126&gt;900000,  AJ126&lt;=1100000)),                    80%,
 AND(AY126="ICE",  AP126&lt;=1400,AJ126&gt;1100000),                                       90%,
 AND(AY126="ICE",  AND(AP126&gt;1400,AP126&lt;=1600),   AJ126&lt;=850000),                      75%,
 AND(AY126="ICE",  AND(AP126&gt;1400,AP126&lt;=1600),   AND(AJ126&gt;850000,AJ126&lt;=1100000)),     80%,
 AND(AY126="ICE",  AND(AP126&gt;1400,AP126&lt;=1600),   AND(AJ126&gt;1100000,AJ126&lt;=1650000)),    90%,
 AND(AY126="ICE",  AND(AP126&gt;1400,AP126&lt;=1600),   AJ126&gt;1650000),                      100%,
 AND(AY126="ICE",  AND(AP126&gt;1600,AP126&lt;=2000),   AJ126&lt;=1650000),                     150%,
 AND(AY126="ICE",  AND(AP126&gt;1600,AP126&lt;=2000),   AJ126&gt;1650000),                      170%,
 AND(AY126="ICE",  AP126&gt;2000),                                                    220%,
 AND(AY126="PHEV",  AP126&lt;=1600,                AJ126&lt;=1350000),                     45%,
 AND(AY126="PHEV",  AP126&lt;=1600,                AJ126&gt;1350000),                      75%,
 AND(AY126="PHEV",  AND(AP126&gt;1600,AP126&lt;=1800),  AJ126&lt;=1350000),                     85%,
 AND(AY126="BEV",    AZ126&lt;=160,                 AJ126&lt;=1650000),                     25%,
 AND(AY126="BEV",    AZ126&lt;=160,                 AJ126&gt;1650000),                      55%,
 AND(AY126="BEV",    AZ126&gt; 160,                 AJ126&lt;=1650000),                     65%,
 AND(AY126="BEV",    AZ126&gt; 160,                 AJ126&gt;1650000),                      75%)</f>
        <v>#N/A</v>
      </c>
      <c r="AY126" s="80" t="e">
        <f>_xlfn.XLOOKUP(A126,'[1]My Input'!$B:$B,'[1]My Input'!$V:$V)</f>
        <v>#N/A</v>
      </c>
      <c r="AZ126" s="80" t="str">
        <f>_xlfn.IFNA(_xlfn.XLOOKUP(A126,'[1]kW Tescil'!$A:$A,'[1]kW Tescil'!$C:$C),"-")</f>
        <v>-</v>
      </c>
      <c r="BA126" s="81" t="e">
        <f>_xlfn.XLOOKUP(A126,'[1]My Input'!$B:$B,'[1]My Input'!$H:$H)</f>
        <v>#N/A</v>
      </c>
      <c r="BC126" s="82">
        <v>0</v>
      </c>
      <c r="BD126" s="82">
        <v>0</v>
      </c>
      <c r="BF126" s="83">
        <v>0</v>
      </c>
      <c r="BG126" s="83">
        <v>0</v>
      </c>
      <c r="BI126" s="84" t="e">
        <v>#N/A</v>
      </c>
      <c r="BL126" s="83">
        <v>0</v>
      </c>
    </row>
    <row r="127" spans="1:68" s="117" customFormat="1" ht="7.15" hidden="1" customHeight="1" thickBot="1" x14ac:dyDescent="0.3">
      <c r="A127" s="57"/>
      <c r="B127" s="57"/>
      <c r="C127" s="104"/>
      <c r="D127" s="245"/>
      <c r="E127" s="224"/>
      <c r="F127" s="224"/>
      <c r="G127" s="110"/>
      <c r="H127" s="108"/>
      <c r="I127" s="219"/>
      <c r="J127" s="65"/>
      <c r="K127" s="108"/>
      <c r="L127" s="219"/>
      <c r="M127" s="65"/>
      <c r="N127" s="108"/>
      <c r="O127" s="108"/>
      <c r="P127" s="219"/>
      <c r="Q127" s="219"/>
      <c r="R127" s="244"/>
      <c r="S127" s="65"/>
      <c r="T127" s="108"/>
      <c r="U127" s="108"/>
      <c r="V127" s="219"/>
      <c r="W127" s="219"/>
      <c r="X127" s="166"/>
      <c r="Y127" s="65"/>
      <c r="Z127" s="108"/>
      <c r="AA127" s="108" t="e">
        <f>IF(AD127&lt;&gt;0,AJ127*1.2*(1+AX127)+AO127-AD127,AH127*(1-AG127)*1.2*(1+AV127)+AO127)</f>
        <v>#N/A</v>
      </c>
      <c r="AB127" s="219"/>
      <c r="AC127" s="219"/>
      <c r="AD127" s="167"/>
      <c r="AE127" s="246"/>
      <c r="AF127" s="115"/>
      <c r="AG127" s="19"/>
      <c r="AH127" s="116"/>
      <c r="AJ127" s="116"/>
      <c r="AK127" s="21"/>
      <c r="AL127" s="20"/>
      <c r="AM127" s="76"/>
      <c r="AN127" s="20"/>
      <c r="AO127" s="116"/>
      <c r="AP127" s="78"/>
      <c r="AQ127" s="67"/>
      <c r="AS127" s="118"/>
      <c r="AV127" s="67" t="e" cm="1">
        <f t="array" ref="AV127">_xlfn.IFS(
 AND(AY127="ICE",  AP127&lt;=1400,AND(AK127&gt;900000,  AK127&lt;=1100000)),                    80%,
 AND(AY127="ICE",  AP127&lt;=1400,AK127&gt;1100000),                                       90%,
 AND(AY127="ICE",  AND(AP127&gt;1400,AP127&lt;=1600),   AK127&lt;=850000),                      75%,
 AND(AY127="ICE",  AND(AP127&gt;1400,AP127&lt;=1600),   AND(AK127&gt;850000,AK127&lt;=1100000)),     80%,
 AND(AY127="ICE",  AND(AP127&gt;1400,AP127&lt;=1600),   AND(AK127&gt;1100000,AK127&lt;=1650000)),    90%,
 AND(AY127="ICE",  AND(AP127&gt;1400,AP127&lt;=1600),   AK127&gt;1650000),                      100%,
 AND(AY127="ICE",  AND(AP127&gt;1600,AP127&lt;=2000),   AK127&lt;=1650000),                     150%,
 AND(AY127="ICE",  AND(AP127&gt;1600,AP127&lt;=2000),   AK127&gt;1650000),                      170%,
 AND(AY127="ICE",  AP127&gt;2000),                                                    220%,
 AND(AY127="PHEV",  AP127&lt;=1600,                AK127&lt;=1350000),                     45%,
 AND(AY127="PHEV",  AP127&lt;=1600,                AK127&gt;1350000),                      75%,
 AND(AY127="PHEV",  AND(AP127&gt;1600,AP127&lt;=1800),  AK127&lt;=1350000),                     85%,
 AND(AY127="BEV",    AZ127&lt;=160,                 AK127&lt;=1650000),                     25%,
 AND(AY127="BEV",    AZ127&lt;=160,                 AK127&gt;1650000),                      55%,
 AND(AY127="BEV",    AZ127&gt; 160,                 AK127&lt;=1650000),                     65%,
 AND(AY127="BEV",    AZ127&gt; 160,                 AK127&gt;1650000),                      75%)</f>
        <v>#N/A</v>
      </c>
      <c r="AW127" s="67" t="e" cm="1">
        <f t="array" ref="AW127">_xlfn.IFS(
 X127=0,AV127,
 AND(AY127="ICE",  AP127&lt;=1400,AND((AJ127-BA127)&gt;900000,  (AJ127-BA127)&lt;=1100000)),                    80%,
 AND(AY127="ICE",  AP127&lt;=1400,(AJ127-BA127)&gt;1100000),                                       90%,
 AND(AY127="ICE",  AND(AP127&gt;1400,AP127&lt;=1600),   (AJ127-BA127)&lt;=850000),                      75%,
 AND(AY127="ICE",  AND(AP127&gt;1400,AP127&lt;=1600),   AND((AJ127-BA127)&gt;850000,(AJ127-BA127)&lt;=1100000)),     80%,
 AND(AY127="ICE",  AND(AP127&gt;1400,AP127&lt;=1600),   AND((AJ127-BA127)&gt;1100000,(AJ127-BA127)&lt;=1650000)),    90%,
 AND(AY127="ICE",  AND(AP127&gt;1400,AP127&lt;=1600),   (AJ127-BA127)&gt;1650000),                      100%,
 AND(AY127="ICE",  AND(AP127&gt;1600,AP127&lt;=2000),   (AJ127-BA127)&lt;=1650000),                     150%,
 AND(AY127="ICE",  AND(AP127&gt;1600,AP127&lt;=2000),   (AJ127-BA127)&gt;1650000),                      170%,
 AND(AY127="ICE",  AP127&gt;2000),                                                    220%,
 AND(AY127="PHEV",  AP127&lt;=1600,                (AJ127-BA127)&lt;=1350000),                     45%,
 AND(AY127="PHEV",  AP127&lt;=1600,                (AJ127-BA127)&gt;1350000),                      75%,
 AND(AY127="PHEV",  AND(AP127&gt;1600,AP127&lt;=1800),  (AJ127-BA127)&lt;=1350000),                     85%,
 AND(AY127="BEV",    AZ127&lt;=160,                 (AJ127-BA127)&lt;=1650000),                     25%,
 AND(AY127="BEV",    AZ127&lt;=160,                 (AJ127-BA127)&gt;1650000),                      55%,
 AND(AY127="BEV",    AZ127&gt; 160,                 (AJ127-BA127)&lt;=1650000),                     65%,
 AND(AY127="BEV",    AZ127&gt; 160,                 (AJ127-BA127)&gt;1650000),                      75%)</f>
        <v>#N/A</v>
      </c>
      <c r="AX127" s="67" t="e" cm="1">
        <f t="array" ref="AX127">_xlfn.IFS(
 AD127=0,AV127,
 AND(AY127="ICE",  AP127&lt;=1400,AND(AJ127&gt;900000,  AJ127&lt;=1100000)),                    80%,
 AND(AY127="ICE",  AP127&lt;=1400,AJ127&gt;1100000),                                       90%,
 AND(AY127="ICE",  AND(AP127&gt;1400,AP127&lt;=1600),   AJ127&lt;=850000),                      75%,
 AND(AY127="ICE",  AND(AP127&gt;1400,AP127&lt;=1600),   AND(AJ127&gt;850000,AJ127&lt;=1100000)),     80%,
 AND(AY127="ICE",  AND(AP127&gt;1400,AP127&lt;=1600),   AND(AJ127&gt;1100000,AJ127&lt;=1650000)),    90%,
 AND(AY127="ICE",  AND(AP127&gt;1400,AP127&lt;=1600),   AJ127&gt;1650000),                      100%,
 AND(AY127="ICE",  AND(AP127&gt;1600,AP127&lt;=2000),   AJ127&lt;=1650000),                     150%,
 AND(AY127="ICE",  AND(AP127&gt;1600,AP127&lt;=2000),   AJ127&gt;1650000),                      170%,
 AND(AY127="ICE",  AP127&gt;2000),                                                    220%,
 AND(AY127="PHEV",  AP127&lt;=1600,                AJ127&lt;=1350000),                     45%,
 AND(AY127="PHEV",  AP127&lt;=1600,                AJ127&gt;1350000),                      75%,
 AND(AY127="PHEV",  AND(AP127&gt;1600,AP127&lt;=1800),  AJ127&lt;=1350000),                     85%,
 AND(AY127="BEV",    AZ127&lt;=160,                 AJ127&lt;=1650000),                     25%,
 AND(AY127="BEV",    AZ127&lt;=160,                 AJ127&gt;1650000),                      55%,
 AND(AY127="BEV",    AZ127&gt; 160,                 AJ127&lt;=1650000),                     65%,
 AND(AY127="BEV",    AZ127&gt; 160,                 AJ127&gt;1650000),                      75%)</f>
        <v>#N/A</v>
      </c>
      <c r="AY127" s="80">
        <f>_xlfn.XLOOKUP(A127,'[1]My Input'!$B:$B,'[1]My Input'!$V:$V)</f>
        <v>0</v>
      </c>
      <c r="AZ127" s="80">
        <f>_xlfn.IFNA(_xlfn.XLOOKUP(A127,'[1]kW Tescil'!$A:$A,'[1]kW Tescil'!$C:$C),"-")</f>
        <v>0</v>
      </c>
      <c r="BA127" s="81">
        <f>_xlfn.XLOOKUP(A127,'[1]My Input'!$B:$B,'[1]My Input'!$H:$H)</f>
        <v>0</v>
      </c>
      <c r="BC127" s="82">
        <v>0</v>
      </c>
      <c r="BD127" s="82">
        <v>0</v>
      </c>
      <c r="BF127" s="83">
        <v>0</v>
      </c>
      <c r="BG127" s="83">
        <v>0</v>
      </c>
      <c r="BI127" s="84" t="e">
        <v>#N/A</v>
      </c>
      <c r="BL127" s="83">
        <v>0</v>
      </c>
    </row>
    <row r="128" spans="1:68" s="74" customFormat="1" ht="15" customHeight="1" thickBot="1" x14ac:dyDescent="0.3">
      <c r="A128" s="57" t="s">
        <v>190</v>
      </c>
      <c r="B128" s="57" t="str">
        <f>D128&amp;E128&amp;F128</f>
        <v>AudiQ6 e-tron quattroBase Line</v>
      </c>
      <c r="C128" s="168" t="s">
        <v>37</v>
      </c>
      <c r="D128" s="169" t="s">
        <v>38</v>
      </c>
      <c r="E128" s="170" t="s">
        <v>191</v>
      </c>
      <c r="F128" s="171" t="s">
        <v>164</v>
      </c>
      <c r="G128" s="65"/>
      <c r="H128" s="172">
        <v>8452185</v>
      </c>
      <c r="I128" s="173">
        <v>100</v>
      </c>
      <c r="J128" s="65">
        <v>0.26500000000000001</v>
      </c>
      <c r="K128" s="172">
        <f>(((H128-AO128)/(1+AQ128)/1.2/$AS$1)+AS128)*(1+AQ128)*(1.2)*$AS$1+AO128</f>
        <v>8452185.0000000019</v>
      </c>
      <c r="L128" s="173">
        <v>100</v>
      </c>
      <c r="M128" s="101"/>
      <c r="N128" s="176">
        <f>AN128*1.2*(1+AV128)+AO128</f>
        <v>6212355.9750000015</v>
      </c>
      <c r="O128" s="172">
        <f>AK128*1.2*(1+AV128)+AO128</f>
        <v>6212355.9749999996</v>
      </c>
      <c r="P128" s="173">
        <v>100</v>
      </c>
      <c r="Q128" s="173">
        <v>100</v>
      </c>
      <c r="R128" s="67">
        <f>_xlfn.XLOOKUP(A128,'[1]My Input'!$B:$B,'[1]My Input'!$F:$F)</f>
        <v>0.02</v>
      </c>
      <c r="S128" s="101"/>
      <c r="T128" s="176">
        <f>IF(X128&lt;&gt;0,AM128*1.2*(1+AW128)+AO128-X128,AN128*1.2*(1+AV128)+AO128)</f>
        <v>6212355.9750000015</v>
      </c>
      <c r="U128" s="172">
        <f>IF(X128&lt;&gt;0,AJ128*1.2*(1+AW128)+AO128-X128,AK128*1.2*(1+AV128)+AO128)</f>
        <v>6212355.9749999996</v>
      </c>
      <c r="V128" s="173">
        <v>100</v>
      </c>
      <c r="W128" s="173">
        <v>100</v>
      </c>
      <c r="X128" s="176">
        <f>_xlfn.XLOOKUP(A128,'[1]My Input'!$B:$B,'[1]My Input'!$I:$I)</f>
        <v>0</v>
      </c>
      <c r="Y128" s="101"/>
      <c r="Z128" s="176">
        <f>IF(AD128&lt;&gt;0,AM128*1.2*(1+AQ128)+AO128-AD128,AL128*(1-AG128)*1.2*(1+AQ128)+AO128)</f>
        <v>6140892.3450000016</v>
      </c>
      <c r="AA128" s="172">
        <f>IF(AD128&lt;&gt;0,AJ128*1.2*(1+AX128)+AO128-AD128,AH128*(1-AG128)*1.2*(1+AV128)+AO128)</f>
        <v>6140892.3449999997</v>
      </c>
      <c r="AB128" s="173">
        <v>100</v>
      </c>
      <c r="AC128" s="173">
        <v>100</v>
      </c>
      <c r="AD128" s="172">
        <f>_xlfn.XLOOKUP(A128,'[1]My Input'!$B:$B,'[1]My Input'!$N:$N)</f>
        <v>240507.33</v>
      </c>
      <c r="AE128" s="70"/>
      <c r="AF128" s="71">
        <f>_xlfn.XLOOKUP(A128,'[1]My Input'!$B:$B,'[1]My Input'!$E:$E)</f>
        <v>0.245</v>
      </c>
      <c r="AG128" s="72">
        <f>_xlfn.XLOOKUP(A128,'[1]My Input'!$B:$B,'[1]My Input'!$G:$G)</f>
        <v>0.26500000000000001</v>
      </c>
      <c r="AH128" s="73">
        <f>(H128-AO128)/1.2/(1+AQ128)</f>
        <v>4024850</v>
      </c>
      <c r="AJ128" s="73">
        <f>AH128*(1-AF128)</f>
        <v>3038761.75</v>
      </c>
      <c r="AK128" s="75">
        <f>AH128*(1-AF128-R128)</f>
        <v>2958264.75</v>
      </c>
      <c r="AL128" s="76">
        <f>(K128-AO128)/1.2/(1+AQ128)</f>
        <v>4024850.0000000009</v>
      </c>
      <c r="AM128" s="76">
        <f>AL128*(1-AF128)</f>
        <v>3038761.7500000009</v>
      </c>
      <c r="AN128" s="76">
        <f>AL128*(1-AF128-R128)</f>
        <v>2958264.7500000005</v>
      </c>
      <c r="AO128" s="77">
        <f>_xlfn.XLOOKUP(A128,'[1]My Input'!$B:$B,'[1]My Input'!$T:$T)</f>
        <v>0</v>
      </c>
      <c r="AP128" s="78">
        <f>_xlfn.XLOOKUP(A128,'[1]My Input'!$B:$B,'[1]My Input'!$S:$S)</f>
        <v>0</v>
      </c>
      <c r="AQ128" s="67">
        <f>_xlfn.XLOOKUP(A128,'[1]My Input'!$B:$B,'[1]My Input'!$U:$U)</f>
        <v>0.75</v>
      </c>
      <c r="AS128" s="103">
        <f>_xlfn.XLOOKUP(A128,'[1]My Input'!$B:$B,'[1]My Input'!$Q:$Q)</f>
        <v>0</v>
      </c>
      <c r="AU128" s="74" t="s">
        <v>41</v>
      </c>
      <c r="AV128" s="67" cm="1">
        <f t="array" ref="AV128">_xlfn.IFS(
 AND(AY128="ICE",  AP128&lt;=1400,AND(AK128&gt;900000,  AK128&lt;=1100000)),                    80%,
 AND(AY128="ICE",  AP128&lt;=1400,AK128&gt;1100000),                                       90%,
 AND(AY128="ICE",  AND(AP128&gt;1400,AP128&lt;=1600),   AK128&lt;=850000),                      75%,
 AND(AY128="ICE",  AND(AP128&gt;1400,AP128&lt;=1600),   AND(AK128&gt;850000,AK128&lt;=1100000)),     80%,
 AND(AY128="ICE",  AND(AP128&gt;1400,AP128&lt;=1600),   AND(AK128&gt;1100000,AK128&lt;=1650000)),    90%,
 AND(AY128="ICE",  AND(AP128&gt;1400,AP128&lt;=1600),   AK128&gt;1650000),                      100%,
 AND(AY128="ICE",  AND(AP128&gt;1600,AP128&lt;=2000),   AK128&lt;=1650000),                     150%,
 AND(AY128="ICE",  AND(AP128&gt;1600,AP128&lt;=2000),   AK128&gt;1650000),                      170%,
 AND(AY128="ICE",  AP128&gt;2000),                                                    220%,
 AND(AY128="PHEV",  AP128&lt;=1600,                AK128&lt;=1350000),                     45%,
 AND(AY128="PHEV",  AP128&lt;=1600,                AK128&gt;1350000),                      75%,
 AND(AY128="PHEV",  AND(AP128&gt;1600,AP128&lt;=1800),  AK128&lt;=1350000),                     85%,
 AND(AY128="BEV",    AZ128&lt;=160,                 AK128&lt;=1650000),                     25%,
 AND(AY128="BEV",    AZ128&lt;=160,                 AK128&gt;1650000),                      55%,
 AND(AY128="BEV",    AZ128&gt; 160,                 AK128&lt;=1650000),                     65%,
 AND(AY128="BEV",    AZ128&gt; 160,                 AK128&gt;1650000),                      75%)</f>
        <v>0.75</v>
      </c>
      <c r="AW128" s="67" cm="1">
        <f t="array" ref="AW128">_xlfn.IFS(
 X128=0,AV128,
 AND(AY128="ICE",  AP128&lt;=1400,AND((AJ128-BA128)&gt;900000,  (AJ128-BA128)&lt;=1100000)),                    80%,
 AND(AY128="ICE",  AP128&lt;=1400,(AJ128-BA128)&gt;1100000),                                       90%,
 AND(AY128="ICE",  AND(AP128&gt;1400,AP128&lt;=1600),   (AJ128-BA128)&lt;=850000),                      75%,
 AND(AY128="ICE",  AND(AP128&gt;1400,AP128&lt;=1600),   AND((AJ128-BA128)&gt;850000,(AJ128-BA128)&lt;=1100000)),     80%,
 AND(AY128="ICE",  AND(AP128&gt;1400,AP128&lt;=1600),   AND((AJ128-BA128)&gt;1100000,(AJ128-BA128)&lt;=1650000)),    90%,
 AND(AY128="ICE",  AND(AP128&gt;1400,AP128&lt;=1600),   (AJ128-BA128)&gt;1650000),                      100%,
 AND(AY128="ICE",  AND(AP128&gt;1600,AP128&lt;=2000),   (AJ128-BA128)&lt;=1650000),                     150%,
 AND(AY128="ICE",  AND(AP128&gt;1600,AP128&lt;=2000),   (AJ128-BA128)&gt;1650000),                      170%,
 AND(AY128="ICE",  AP128&gt;2000),                                                    220%,
 AND(AY128="PHEV",  AP128&lt;=1600,                (AJ128-BA128)&lt;=1350000),                     45%,
 AND(AY128="PHEV",  AP128&lt;=1600,                (AJ128-BA128)&gt;1350000),                      75%,
 AND(AY128="PHEV",  AND(AP128&gt;1600,AP128&lt;=1800),  (AJ128-BA128)&lt;=1350000),                     85%,
 AND(AY128="BEV",    AZ128&lt;=160,                 (AJ128-BA128)&lt;=1650000),                     25%,
 AND(AY128="BEV",    AZ128&lt;=160,                 (AJ128-BA128)&gt;1650000),                      55%,
 AND(AY128="BEV",    AZ128&gt; 160,                 (AJ128-BA128)&lt;=1650000),                     65%,
 AND(AY128="BEV",    AZ128&gt; 160,                 (AJ128-BA128)&gt;1650000),                      75%)</f>
        <v>0.75</v>
      </c>
      <c r="AX128" s="67" cm="1">
        <f t="array" ref="AX128">_xlfn.IFS(
 AD128=0,AV128,
 AND(AY128="ICE",  AP128&lt;=1400,AND(AJ128&gt;900000,  AJ128&lt;=1100000)),                    80%,
 AND(AY128="ICE",  AP128&lt;=1400,AJ128&gt;1100000),                                       90%,
 AND(AY128="ICE",  AND(AP128&gt;1400,AP128&lt;=1600),   AJ128&lt;=850000),                      75%,
 AND(AY128="ICE",  AND(AP128&gt;1400,AP128&lt;=1600),   AND(AJ128&gt;850000,AJ128&lt;=1100000)),     80%,
 AND(AY128="ICE",  AND(AP128&gt;1400,AP128&lt;=1600),   AND(AJ128&gt;1100000,AJ128&lt;=1650000)),    90%,
 AND(AY128="ICE",  AND(AP128&gt;1400,AP128&lt;=1600),   AJ128&gt;1650000),                      100%,
 AND(AY128="ICE",  AND(AP128&gt;1600,AP128&lt;=2000),   AJ128&lt;=1650000),                     150%,
 AND(AY128="ICE",  AND(AP128&gt;1600,AP128&lt;=2000),   AJ128&gt;1650000),                      170%,
 AND(AY128="ICE",  AP128&gt;2000),                                                    220%,
 AND(AY128="PHEV",  AP128&lt;=1600,                AJ128&lt;=1350000),                     45%,
 AND(AY128="PHEV",  AP128&lt;=1600,                AJ128&gt;1350000),                      75%,
 AND(AY128="PHEV",  AND(AP128&gt;1600,AP128&lt;=1800),  AJ128&lt;=1350000),                     85%,
 AND(AY128="BEV",    AZ128&lt;=160,                 AJ128&lt;=1650000),                     25%,
 AND(AY128="BEV",    AZ128&lt;=160,                 AJ128&gt;1650000),                      55%,
 AND(AY128="BEV",    AZ128&gt; 160,                 AJ128&lt;=1650000),                     65%,
 AND(AY128="BEV",    AZ128&gt; 160,                 AJ128&gt;1650000),                      75%)</f>
        <v>0.75</v>
      </c>
      <c r="AY128" s="80" t="str">
        <f>_xlfn.XLOOKUP(A128,'[1]My Input'!$B:$B,'[1]My Input'!$V:$V)</f>
        <v>BEV</v>
      </c>
      <c r="AZ128" s="80">
        <f>_xlfn.IFNA(_xlfn.XLOOKUP(A128,'[1]kW Tescil'!$A:$A,'[1]kW Tescil'!$C:$C),"-")</f>
        <v>285</v>
      </c>
      <c r="BA128" s="81">
        <f>_xlfn.XLOOKUP(A128,'[1]My Input'!$B:$B,'[1]My Input'!$H:$H)</f>
        <v>0</v>
      </c>
      <c r="BC128" s="82">
        <v>0</v>
      </c>
      <c r="BD128" s="82">
        <v>0</v>
      </c>
      <c r="BF128" s="83">
        <v>0</v>
      </c>
      <c r="BG128" s="83">
        <v>0</v>
      </c>
      <c r="BI128" s="84">
        <v>662059.88434559945</v>
      </c>
      <c r="BL128" s="83">
        <v>0</v>
      </c>
      <c r="BP128" s="119"/>
    </row>
    <row r="129" spans="1:68" s="117" customFormat="1" ht="7.15" customHeight="1" thickBot="1" x14ac:dyDescent="0.3">
      <c r="A129" s="57"/>
      <c r="B129" s="57"/>
      <c r="C129" s="254"/>
      <c r="D129" s="255"/>
      <c r="E129" s="256"/>
      <c r="F129" s="257"/>
      <c r="G129" s="110"/>
      <c r="H129" s="108"/>
      <c r="I129" s="219"/>
      <c r="J129" s="65"/>
      <c r="K129" s="108"/>
      <c r="L129" s="219"/>
      <c r="M129" s="65"/>
      <c r="N129" s="108"/>
      <c r="O129" s="108"/>
      <c r="P129" s="258"/>
      <c r="Q129" s="258"/>
      <c r="R129" s="244"/>
      <c r="S129" s="65"/>
      <c r="T129" s="108"/>
      <c r="U129" s="108"/>
      <c r="V129" s="258"/>
      <c r="W129" s="258"/>
      <c r="X129" s="166"/>
      <c r="Y129" s="65"/>
      <c r="Z129" s="108"/>
      <c r="AA129" s="108"/>
      <c r="AB129" s="258"/>
      <c r="AC129" s="258"/>
      <c r="AD129" s="167"/>
      <c r="AE129" s="246"/>
      <c r="AF129" s="115"/>
      <c r="AG129" s="19"/>
      <c r="AH129" s="116"/>
      <c r="AJ129" s="116"/>
      <c r="AK129" s="21"/>
      <c r="AL129" s="20"/>
      <c r="AM129" s="76"/>
      <c r="AN129" s="20"/>
      <c r="AO129" s="116"/>
      <c r="AP129" s="78"/>
      <c r="AQ129" s="67"/>
      <c r="AS129" s="118"/>
      <c r="AU129" s="74" t="s">
        <v>41</v>
      </c>
      <c r="AV129" s="67"/>
      <c r="AW129" s="67"/>
      <c r="AX129" s="67"/>
      <c r="AY129" s="80"/>
      <c r="AZ129" s="80"/>
      <c r="BA129" s="81"/>
      <c r="BC129" s="82">
        <v>0</v>
      </c>
      <c r="BD129" s="82">
        <v>0</v>
      </c>
      <c r="BF129" s="83">
        <v>0</v>
      </c>
      <c r="BG129" s="83">
        <v>0</v>
      </c>
      <c r="BI129" s="84">
        <v>0</v>
      </c>
      <c r="BL129" s="83">
        <v>0</v>
      </c>
    </row>
    <row r="130" spans="1:68" s="74" customFormat="1" ht="15" customHeight="1" thickBot="1" x14ac:dyDescent="0.3">
      <c r="A130" s="57" t="s">
        <v>192</v>
      </c>
      <c r="B130" s="57" t="str">
        <f>D130&amp;E130&amp;F130</f>
        <v>AudiQ7 45 TFSI quattroS Line</v>
      </c>
      <c r="C130" s="168" t="s">
        <v>37</v>
      </c>
      <c r="D130" s="169" t="s">
        <v>38</v>
      </c>
      <c r="E130" s="170" t="s">
        <v>193</v>
      </c>
      <c r="F130" s="171" t="s">
        <v>51</v>
      </c>
      <c r="G130" s="65"/>
      <c r="H130" s="172">
        <v>11963835</v>
      </c>
      <c r="I130" s="173">
        <v>100</v>
      </c>
      <c r="J130" s="65">
        <v>0.28000000000000003</v>
      </c>
      <c r="K130" s="172">
        <f>(((H130-AO130)/(1+AQ130)/1.2/$AS$1)+AS130)*(1+AQ130)*(1.2)*$AS$1+AO130</f>
        <v>11963835.000000002</v>
      </c>
      <c r="L130" s="173">
        <v>100</v>
      </c>
      <c r="M130" s="101"/>
      <c r="N130" s="176">
        <f>AN130*1.2*(1+AV130)+AO130</f>
        <v>8613961.2000000011</v>
      </c>
      <c r="O130" s="172">
        <f>AK130*1.2*(1+AV130)+AO130</f>
        <v>8613961.2000000011</v>
      </c>
      <c r="P130" s="173">
        <v>100</v>
      </c>
      <c r="Q130" s="173">
        <v>100</v>
      </c>
      <c r="R130" s="67">
        <f>_xlfn.XLOOKUP(A130,'[1]My Input'!$B:$B,'[1]My Input'!$F:$F)</f>
        <v>0</v>
      </c>
      <c r="S130" s="101"/>
      <c r="T130" s="176">
        <f>IF(X130&lt;&gt;0,AM130*1.2*(1+AW130)+AO130-X130,AN130*1.2*(1+AV130)+AO130)</f>
        <v>8613961.2000000011</v>
      </c>
      <c r="U130" s="172">
        <f>IF(X130&lt;&gt;0,AJ130*1.2*(1+AW130)+AO130-X130,AK130*1.2*(1+AV130)+AO130)</f>
        <v>8613961.2000000011</v>
      </c>
      <c r="V130" s="173">
        <v>100</v>
      </c>
      <c r="W130" s="173">
        <v>100</v>
      </c>
      <c r="X130" s="176">
        <f>_xlfn.XLOOKUP(A130,'[1]My Input'!$B:$B,'[1]My Input'!$I:$I)</f>
        <v>0</v>
      </c>
      <c r="Y130" s="101"/>
      <c r="Z130" s="176">
        <f>IF(AD130&lt;&gt;0,AM130*1.2*(1+AQ130)+AO130-AD130,AL130*(1-AG130)*1.2*(1+AQ130)+AO130)</f>
        <v>8613961.2000000011</v>
      </c>
      <c r="AA130" s="172">
        <f>IF(AD130&lt;&gt;0,AJ130*1.2*(1+AX130)+AO130-AD130,AH130*(1-AG130)*1.2*(1+AV130)+AO130)</f>
        <v>8613961.2000000011</v>
      </c>
      <c r="AB130" s="173">
        <v>100</v>
      </c>
      <c r="AC130" s="173">
        <v>100</v>
      </c>
      <c r="AD130" s="172">
        <f>_xlfn.XLOOKUP(A130,'[1]My Input'!$B:$B,'[1]My Input'!$N:$N)</f>
        <v>0</v>
      </c>
      <c r="AE130" s="70"/>
      <c r="AF130" s="71">
        <f>_xlfn.XLOOKUP(A130,'[1]My Input'!$B:$B,'[1]My Input'!$E:$E)</f>
        <v>0.28000000000000003</v>
      </c>
      <c r="AG130" s="72">
        <f>_xlfn.XLOOKUP(A130,'[1]My Input'!$B:$B,'[1]My Input'!$G:$G)</f>
        <v>0.28000000000000003</v>
      </c>
      <c r="AH130" s="73">
        <f>(H130-AO130)/1.2/(1+AQ130)</f>
        <v>3692541.6666666665</v>
      </c>
      <c r="AJ130" s="73">
        <f>AH130*(1-AF130)</f>
        <v>2658630</v>
      </c>
      <c r="AK130" s="75">
        <f>AH130*(1-AF130-R130)</f>
        <v>2658630</v>
      </c>
      <c r="AL130" s="76">
        <f>(K130-AO130)/1.2/(1+AQ130)</f>
        <v>3692541.666666667</v>
      </c>
      <c r="AM130" s="76">
        <f>AL130*(1-AF130)</f>
        <v>2658630</v>
      </c>
      <c r="AN130" s="76">
        <f>AL130*(1-AF130-R130)</f>
        <v>2658630</v>
      </c>
      <c r="AO130" s="77">
        <f>_xlfn.XLOOKUP(A130,'[1]My Input'!$B:$B,'[1]My Input'!$T:$T)</f>
        <v>0</v>
      </c>
      <c r="AP130" s="78">
        <f>_xlfn.XLOOKUP(A130,'[1]My Input'!$B:$B,'[1]My Input'!$S:$S)</f>
        <v>2000</v>
      </c>
      <c r="AQ130" s="67">
        <f>_xlfn.XLOOKUP(A130,'[1]My Input'!$B:$B,'[1]My Input'!$U:$U)</f>
        <v>1.7</v>
      </c>
      <c r="AS130" s="103">
        <f>_xlfn.XLOOKUP(A130,'[1]My Input'!$B:$B,'[1]My Input'!$Q:$Q)</f>
        <v>0</v>
      </c>
      <c r="AU130" s="74" t="s">
        <v>41</v>
      </c>
      <c r="AV130" s="67" cm="1">
        <f t="array" ref="AV130">_xlfn.IFS(
 AND(AY130="ICE",  AP130&lt;=1400,AND(AK130&gt;900000,  AK130&lt;=1100000)),                    80%,
 AND(AY130="ICE",  AP130&lt;=1400,AK130&gt;1100000),                                       90%,
 AND(AY130="ICE",  AND(AP130&gt;1400,AP130&lt;=1600),   AK130&lt;=850000),                      75%,
 AND(AY130="ICE",  AND(AP130&gt;1400,AP130&lt;=1600),   AND(AK130&gt;850000,AK130&lt;=1100000)),     80%,
 AND(AY130="ICE",  AND(AP130&gt;1400,AP130&lt;=1600),   AND(AK130&gt;1100000,AK130&lt;=1650000)),    90%,
 AND(AY130="ICE",  AND(AP130&gt;1400,AP130&lt;=1600),   AK130&gt;1650000),                      100%,
 AND(AY130="ICE",  AND(AP130&gt;1600,AP130&lt;=2000),   AK130&lt;=1650000),                     150%,
 AND(AY130="ICE",  AND(AP130&gt;1600,AP130&lt;=2000),   AK130&gt;1650000),                      170%,
 AND(AY130="ICE",  AP130&gt;2000),                                                    220%,
 AND(AY130="PHEV",  AP130&lt;=1600,                AK130&lt;=1350000),                     45%,
 AND(AY130="PHEV",  AP130&lt;=1600,                AK130&gt;1350000),                      75%,
 AND(AY130="PHEV",  AND(AP130&gt;1600,AP130&lt;=1800),  AK130&lt;=1350000),                     85%,
 AND(AY130="BEV",    AZ130&lt;=160,                 AK130&lt;=1650000),                     25%,
 AND(AY130="BEV",    AZ130&lt;=160,                 AK130&gt;1650000),                      55%,
 AND(AY130="BEV",    AZ130&gt; 160,                 AK130&lt;=1650000),                     65%,
 AND(AY130="BEV",    AZ130&gt; 160,                 AK130&gt;1650000),                      75%)</f>
        <v>1.7</v>
      </c>
      <c r="AW130" s="67" cm="1">
        <f t="array" ref="AW130">_xlfn.IFS(
 X130=0,AV130,
 AND(AY130="ICE",  AP130&lt;=1400,AND((AJ130-BA130)&gt;900000,  (AJ130-BA130)&lt;=1100000)),                    80%,
 AND(AY130="ICE",  AP130&lt;=1400,(AJ130-BA130)&gt;1100000),                                       90%,
 AND(AY130="ICE",  AND(AP130&gt;1400,AP130&lt;=1600),   (AJ130-BA130)&lt;=850000),                      75%,
 AND(AY130="ICE",  AND(AP130&gt;1400,AP130&lt;=1600),   AND((AJ130-BA130)&gt;850000,(AJ130-BA130)&lt;=1100000)),     80%,
 AND(AY130="ICE",  AND(AP130&gt;1400,AP130&lt;=1600),   AND((AJ130-BA130)&gt;1100000,(AJ130-BA130)&lt;=1650000)),    90%,
 AND(AY130="ICE",  AND(AP130&gt;1400,AP130&lt;=1600),   (AJ130-BA130)&gt;1650000),                      100%,
 AND(AY130="ICE",  AND(AP130&gt;1600,AP130&lt;=2000),   (AJ130-BA130)&lt;=1650000),                     150%,
 AND(AY130="ICE",  AND(AP130&gt;1600,AP130&lt;=2000),   (AJ130-BA130)&gt;1650000),                      170%,
 AND(AY130="ICE",  AP130&gt;2000),                                                    220%,
 AND(AY130="PHEV",  AP130&lt;=1600,                (AJ130-BA130)&lt;=1350000),                     45%,
 AND(AY130="PHEV",  AP130&lt;=1600,                (AJ130-BA130)&gt;1350000),                      75%,
 AND(AY130="PHEV",  AND(AP130&gt;1600,AP130&lt;=1800),  (AJ130-BA130)&lt;=1350000),                     85%,
 AND(AY130="BEV",    AZ130&lt;=160,                 (AJ130-BA130)&lt;=1650000),                     25%,
 AND(AY130="BEV",    AZ130&lt;=160,                 (AJ130-BA130)&gt;1650000),                      55%,
 AND(AY130="BEV",    AZ130&gt; 160,                 (AJ130-BA130)&lt;=1650000),                     65%,
 AND(AY130="BEV",    AZ130&gt; 160,                 (AJ130-BA130)&gt;1650000),                      75%)</f>
        <v>1.7</v>
      </c>
      <c r="AX130" s="67" cm="1">
        <f t="array" ref="AX130">_xlfn.IFS(
 AD130=0,AV130,
 AND(AY130="ICE",  AP130&lt;=1400,AND(AJ130&gt;900000,  AJ130&lt;=1100000)),                    80%,
 AND(AY130="ICE",  AP130&lt;=1400,AJ130&gt;1100000),                                       90%,
 AND(AY130="ICE",  AND(AP130&gt;1400,AP130&lt;=1600),   AJ130&lt;=850000),                      75%,
 AND(AY130="ICE",  AND(AP130&gt;1400,AP130&lt;=1600),   AND(AJ130&gt;850000,AJ130&lt;=1100000)),     80%,
 AND(AY130="ICE",  AND(AP130&gt;1400,AP130&lt;=1600),   AND(AJ130&gt;1100000,AJ130&lt;=1650000)),    90%,
 AND(AY130="ICE",  AND(AP130&gt;1400,AP130&lt;=1600),   AJ130&gt;1650000),                      100%,
 AND(AY130="ICE",  AND(AP130&gt;1600,AP130&lt;=2000),   AJ130&lt;=1650000),                     150%,
 AND(AY130="ICE",  AND(AP130&gt;1600,AP130&lt;=2000),   AJ130&gt;1650000),                      170%,
 AND(AY130="ICE",  AP130&gt;2000),                                                    220%,
 AND(AY130="PHEV",  AP130&lt;=1600,                AJ130&lt;=1350000),                     45%,
 AND(AY130="PHEV",  AP130&lt;=1600,                AJ130&gt;1350000),                      75%,
 AND(AY130="PHEV",  AND(AP130&gt;1600,AP130&lt;=1800),  AJ130&lt;=1350000),                     85%,
 AND(AY130="BEV",    AZ130&lt;=160,                 AJ130&lt;=1650000),                     25%,
 AND(AY130="BEV",    AZ130&lt;=160,                 AJ130&gt;1650000),                      55%,
 AND(AY130="BEV",    AZ130&gt; 160,                 AJ130&lt;=1650000),                     65%,
 AND(AY130="BEV",    AZ130&gt; 160,                 AJ130&gt;1650000),                      75%)</f>
        <v>1.7</v>
      </c>
      <c r="AY130" s="80" t="str">
        <f>_xlfn.XLOOKUP(A130,'[1]My Input'!$B:$B,'[1]My Input'!$V:$V)</f>
        <v>ICE</v>
      </c>
      <c r="AZ130" s="80" t="str">
        <f>_xlfn.IFNA(_xlfn.XLOOKUP(A130,'[1]kW Tescil'!$A:$A,'[1]kW Tescil'!$C:$C),"-")</f>
        <v>-</v>
      </c>
      <c r="BA130" s="81">
        <f>_xlfn.XLOOKUP(A130,'[1]My Input'!$B:$B,'[1]My Input'!$H:$H)</f>
        <v>0</v>
      </c>
      <c r="BC130" s="82">
        <v>0</v>
      </c>
      <c r="BD130" s="82">
        <v>0</v>
      </c>
      <c r="BF130" s="83">
        <v>0</v>
      </c>
      <c r="BG130" s="83">
        <v>0</v>
      </c>
      <c r="BI130" s="84">
        <v>490760.32783999667</v>
      </c>
      <c r="BL130" s="83">
        <v>0</v>
      </c>
      <c r="BP130" s="263"/>
    </row>
    <row r="131" spans="1:68" s="117" customFormat="1" ht="7.15" customHeight="1" thickBot="1" x14ac:dyDescent="0.3">
      <c r="A131" s="57"/>
      <c r="B131" s="57"/>
      <c r="C131" s="254"/>
      <c r="D131" s="255"/>
      <c r="E131" s="256"/>
      <c r="F131" s="257"/>
      <c r="G131" s="110"/>
      <c r="H131" s="108"/>
      <c r="I131" s="219"/>
      <c r="J131" s="65"/>
      <c r="K131" s="108"/>
      <c r="L131" s="219"/>
      <c r="M131" s="65"/>
      <c r="N131" s="108"/>
      <c r="O131" s="108"/>
      <c r="P131" s="258"/>
      <c r="Q131" s="258"/>
      <c r="R131" s="244"/>
      <c r="S131" s="65"/>
      <c r="T131" s="108"/>
      <c r="U131" s="108"/>
      <c r="V131" s="258"/>
      <c r="W131" s="258"/>
      <c r="X131" s="166"/>
      <c r="Y131" s="65"/>
      <c r="Z131" s="108"/>
      <c r="AA131" s="108"/>
      <c r="AB131" s="258"/>
      <c r="AC131" s="258"/>
      <c r="AD131" s="167"/>
      <c r="AE131" s="246"/>
      <c r="AF131" s="115"/>
      <c r="AG131" s="19"/>
      <c r="AH131" s="116"/>
      <c r="AJ131" s="116"/>
      <c r="AK131" s="21"/>
      <c r="AL131" s="20"/>
      <c r="AM131" s="76"/>
      <c r="AN131" s="20"/>
      <c r="AO131" s="116"/>
      <c r="AP131" s="78"/>
      <c r="AQ131" s="67"/>
      <c r="AS131" s="118"/>
      <c r="AU131" s="74" t="s">
        <v>41</v>
      </c>
      <c r="AV131" s="67"/>
      <c r="AW131" s="67"/>
      <c r="AX131" s="67"/>
      <c r="AY131" s="80"/>
      <c r="AZ131" s="80"/>
      <c r="BA131" s="81"/>
      <c r="BC131" s="82">
        <v>0</v>
      </c>
      <c r="BD131" s="82">
        <v>0</v>
      </c>
      <c r="BF131" s="83">
        <v>0</v>
      </c>
      <c r="BG131" s="83">
        <v>0</v>
      </c>
      <c r="BI131" s="84">
        <v>0</v>
      </c>
      <c r="BL131" s="83">
        <v>0</v>
      </c>
    </row>
    <row r="132" spans="1:68" s="74" customFormat="1" ht="15" customHeight="1" thickBot="1" x14ac:dyDescent="0.3">
      <c r="A132" s="57" t="s">
        <v>194</v>
      </c>
      <c r="B132" s="57" t="str">
        <f>D132&amp;E132&amp;F132</f>
        <v>AudiQ8 45 TFSI quattro</v>
      </c>
      <c r="C132" s="168" t="s">
        <v>37</v>
      </c>
      <c r="D132" s="169" t="s">
        <v>38</v>
      </c>
      <c r="E132" s="170" t="s">
        <v>195</v>
      </c>
      <c r="F132" s="171"/>
      <c r="G132" s="65"/>
      <c r="H132" s="172">
        <v>14845297</v>
      </c>
      <c r="I132" s="173">
        <v>100</v>
      </c>
      <c r="J132" s="65">
        <v>0.26</v>
      </c>
      <c r="K132" s="172">
        <f>(((H132-AO132)/(1+AQ132)/1.2/$AS$1)+AS132)*(1+AQ132)*(1.2)*$AS$1+AO132</f>
        <v>14845296.999999998</v>
      </c>
      <c r="L132" s="173">
        <v>100</v>
      </c>
      <c r="M132" s="101"/>
      <c r="N132" s="176">
        <f>AN132*1.2*(1+AV132)+AO132</f>
        <v>10985519.779999999</v>
      </c>
      <c r="O132" s="172">
        <f>AK132*1.2*(1+AV132)+AO132</f>
        <v>10985519.780000001</v>
      </c>
      <c r="P132" s="173">
        <v>100</v>
      </c>
      <c r="Q132" s="173">
        <v>100</v>
      </c>
      <c r="R132" s="67">
        <f>_xlfn.XLOOKUP(A132,'[1]My Input'!$B:$B,'[1]My Input'!$F:$F)</f>
        <v>0</v>
      </c>
      <c r="S132" s="101"/>
      <c r="T132" s="176">
        <f>IF(X132&lt;&gt;0,AM132*1.2*(1+AW132)+AO132-X132,AN132*1.2*(1+AV132)+AO132)</f>
        <v>10985519.779999999</v>
      </c>
      <c r="U132" s="172">
        <f>IF(X132&lt;&gt;0,AJ132*1.2*(1+AW132)+AO132-X132,AK132*1.2*(1+AV132)+AO132)</f>
        <v>10985519.780000001</v>
      </c>
      <c r="V132" s="173">
        <v>100</v>
      </c>
      <c r="W132" s="173">
        <v>100</v>
      </c>
      <c r="X132" s="176">
        <f>_xlfn.XLOOKUP(A132,'[1]My Input'!$B:$B,'[1]My Input'!$I:$I)</f>
        <v>0</v>
      </c>
      <c r="Y132" s="101"/>
      <c r="Z132" s="176">
        <f>IF(AD132&lt;&gt;0,AM132*1.2*(1+AQ132)+AO132-AD132,AL132*(1-AG132)*1.2*(1+AQ132)+AO132)</f>
        <v>10985519.779999999</v>
      </c>
      <c r="AA132" s="172">
        <f>IF(AD132&lt;&gt;0,AJ132*1.2*(1+AX132)+AO132-AD132,AH132*(1-AG132)*1.2*(1+AV132)+AO132)</f>
        <v>10985519.780000001</v>
      </c>
      <c r="AB132" s="173">
        <v>100</v>
      </c>
      <c r="AC132" s="173">
        <v>100</v>
      </c>
      <c r="AD132" s="172">
        <f>_xlfn.XLOOKUP(A132,'[1]My Input'!$B:$B,'[1]My Input'!$N:$N)</f>
        <v>0</v>
      </c>
      <c r="AE132" s="70"/>
      <c r="AF132" s="71">
        <f>_xlfn.XLOOKUP(A132,'[1]My Input'!$B:$B,'[1]My Input'!$E:$E)</f>
        <v>0.26</v>
      </c>
      <c r="AG132" s="72">
        <f>_xlfn.XLOOKUP(A132,'[1]My Input'!$B:$B,'[1]My Input'!$G:$G)</f>
        <v>0.26</v>
      </c>
      <c r="AH132" s="73">
        <f>(H132-AO132)/1.2/(1+AQ132)</f>
        <v>4581881.7901234571</v>
      </c>
      <c r="AJ132" s="73">
        <f>AH132*(1-AF132)</f>
        <v>3390592.5246913582</v>
      </c>
      <c r="AK132" s="75">
        <f>AH132*(1-AF132-R132)</f>
        <v>3390592.5246913582</v>
      </c>
      <c r="AL132" s="76">
        <f>(K132-AO132)/1.2/(1+AQ132)</f>
        <v>4581881.7901234562</v>
      </c>
      <c r="AM132" s="76">
        <f>AL132*(1-AF132)</f>
        <v>3390592.5246913577</v>
      </c>
      <c r="AN132" s="76">
        <f>AL132*(1-AF132-R132)</f>
        <v>3390592.5246913577</v>
      </c>
      <c r="AO132" s="77">
        <f>_xlfn.XLOOKUP(A132,'[1]My Input'!$B:$B,'[1]My Input'!$T:$T)</f>
        <v>0</v>
      </c>
      <c r="AP132" s="78">
        <f>_xlfn.XLOOKUP(A132,'[1]My Input'!$B:$B,'[1]My Input'!$S:$S)</f>
        <v>2000</v>
      </c>
      <c r="AQ132" s="67">
        <f>_xlfn.XLOOKUP(A132,'[1]My Input'!$B:$B,'[1]My Input'!$U:$U)</f>
        <v>1.7</v>
      </c>
      <c r="AS132" s="103">
        <f>_xlfn.XLOOKUP(A132,'[1]My Input'!$B:$B,'[1]My Input'!$Q:$Q)</f>
        <v>0</v>
      </c>
      <c r="AU132" s="74" t="s">
        <v>41</v>
      </c>
      <c r="AV132" s="67" cm="1">
        <f t="array" ref="AV132">_xlfn.IFS(
 AND(AY132="ICE",  AP132&lt;=1400,AND(AK132&gt;900000,  AK132&lt;=1100000)),                    80%,
 AND(AY132="ICE",  AP132&lt;=1400,AK132&gt;1100000),                                       90%,
 AND(AY132="ICE",  AND(AP132&gt;1400,AP132&lt;=1600),   AK132&lt;=850000),                      75%,
 AND(AY132="ICE",  AND(AP132&gt;1400,AP132&lt;=1600),   AND(AK132&gt;850000,AK132&lt;=1100000)),     80%,
 AND(AY132="ICE",  AND(AP132&gt;1400,AP132&lt;=1600),   AND(AK132&gt;1100000,AK132&lt;=1650000)),    90%,
 AND(AY132="ICE",  AND(AP132&gt;1400,AP132&lt;=1600),   AK132&gt;1650000),                      100%,
 AND(AY132="ICE",  AND(AP132&gt;1600,AP132&lt;=2000),   AK132&lt;=1650000),                     150%,
 AND(AY132="ICE",  AND(AP132&gt;1600,AP132&lt;=2000),   AK132&gt;1650000),                      170%,
 AND(AY132="ICE",  AP132&gt;2000),                                                    220%,
 AND(AY132="PHEV",  AP132&lt;=1600,                AK132&lt;=1350000),                     45%,
 AND(AY132="PHEV",  AP132&lt;=1600,                AK132&gt;1350000),                      75%,
 AND(AY132="PHEV",  AND(AP132&gt;1600,AP132&lt;=1800),  AK132&lt;=1350000),                     85%,
 AND(AY132="BEV",    AZ132&lt;=160,                 AK132&lt;=1650000),                     25%,
 AND(AY132="BEV",    AZ132&lt;=160,                 AK132&gt;1650000),                      55%,
 AND(AY132="BEV",    AZ132&gt; 160,                 AK132&lt;=1650000),                     65%,
 AND(AY132="BEV",    AZ132&gt; 160,                 AK132&gt;1650000),                      75%)</f>
        <v>1.7</v>
      </c>
      <c r="AW132" s="67" cm="1">
        <f t="array" ref="AW132">_xlfn.IFS(
 X132=0,AV132,
 AND(AY132="ICE",  AP132&lt;=1400,AND((AJ132-BA132)&gt;900000,  (AJ132-BA132)&lt;=1100000)),                    80%,
 AND(AY132="ICE",  AP132&lt;=1400,(AJ132-BA132)&gt;1100000),                                       90%,
 AND(AY132="ICE",  AND(AP132&gt;1400,AP132&lt;=1600),   (AJ132-BA132)&lt;=850000),                      75%,
 AND(AY132="ICE",  AND(AP132&gt;1400,AP132&lt;=1600),   AND((AJ132-BA132)&gt;850000,(AJ132-BA132)&lt;=1100000)),     80%,
 AND(AY132="ICE",  AND(AP132&gt;1400,AP132&lt;=1600),   AND((AJ132-BA132)&gt;1100000,(AJ132-BA132)&lt;=1650000)),    90%,
 AND(AY132="ICE",  AND(AP132&gt;1400,AP132&lt;=1600),   (AJ132-BA132)&gt;1650000),                      100%,
 AND(AY132="ICE",  AND(AP132&gt;1600,AP132&lt;=2000),   (AJ132-BA132)&lt;=1650000),                     150%,
 AND(AY132="ICE",  AND(AP132&gt;1600,AP132&lt;=2000),   (AJ132-BA132)&gt;1650000),                      170%,
 AND(AY132="ICE",  AP132&gt;2000),                                                    220%,
 AND(AY132="PHEV",  AP132&lt;=1600,                (AJ132-BA132)&lt;=1350000),                     45%,
 AND(AY132="PHEV",  AP132&lt;=1600,                (AJ132-BA132)&gt;1350000),                      75%,
 AND(AY132="PHEV",  AND(AP132&gt;1600,AP132&lt;=1800),  (AJ132-BA132)&lt;=1350000),                     85%,
 AND(AY132="BEV",    AZ132&lt;=160,                 (AJ132-BA132)&lt;=1650000),                     25%,
 AND(AY132="BEV",    AZ132&lt;=160,                 (AJ132-BA132)&gt;1650000),                      55%,
 AND(AY132="BEV",    AZ132&gt; 160,                 (AJ132-BA132)&lt;=1650000),                     65%,
 AND(AY132="BEV",    AZ132&gt; 160,                 (AJ132-BA132)&gt;1650000),                      75%)</f>
        <v>1.7</v>
      </c>
      <c r="AX132" s="67" cm="1">
        <f t="array" ref="AX132">_xlfn.IFS(
 AD132=0,AV132,
 AND(AY132="ICE",  AP132&lt;=1400,AND(AJ132&gt;900000,  AJ132&lt;=1100000)),                    80%,
 AND(AY132="ICE",  AP132&lt;=1400,AJ132&gt;1100000),                                       90%,
 AND(AY132="ICE",  AND(AP132&gt;1400,AP132&lt;=1600),   AJ132&lt;=850000),                      75%,
 AND(AY132="ICE",  AND(AP132&gt;1400,AP132&lt;=1600),   AND(AJ132&gt;850000,AJ132&lt;=1100000)),     80%,
 AND(AY132="ICE",  AND(AP132&gt;1400,AP132&lt;=1600),   AND(AJ132&gt;1100000,AJ132&lt;=1650000)),    90%,
 AND(AY132="ICE",  AND(AP132&gt;1400,AP132&lt;=1600),   AJ132&gt;1650000),                      100%,
 AND(AY132="ICE",  AND(AP132&gt;1600,AP132&lt;=2000),   AJ132&lt;=1650000),                     150%,
 AND(AY132="ICE",  AND(AP132&gt;1600,AP132&lt;=2000),   AJ132&gt;1650000),                      170%,
 AND(AY132="ICE",  AP132&gt;2000),                                                    220%,
 AND(AY132="PHEV",  AP132&lt;=1600,                AJ132&lt;=1350000),                     45%,
 AND(AY132="PHEV",  AP132&lt;=1600,                AJ132&gt;1350000),                      75%,
 AND(AY132="PHEV",  AND(AP132&gt;1600,AP132&lt;=1800),  AJ132&lt;=1350000),                     85%,
 AND(AY132="BEV",    AZ132&lt;=160,                 AJ132&lt;=1650000),                     25%,
 AND(AY132="BEV",    AZ132&lt;=160,                 AJ132&gt;1650000),                      55%,
 AND(AY132="BEV",    AZ132&gt; 160,                 AJ132&lt;=1650000),                     65%,
 AND(AY132="BEV",    AZ132&gt; 160,                 AJ132&gt;1650000),                      75%)</f>
        <v>1.7</v>
      </c>
      <c r="AY132" s="80" t="str">
        <f>_xlfn.XLOOKUP(A132,'[1]My Input'!$B:$B,'[1]My Input'!$V:$V)</f>
        <v>ICE</v>
      </c>
      <c r="AZ132" s="80" t="str">
        <f>_xlfn.IFNA(_xlfn.XLOOKUP(A132,'[1]kW Tescil'!$A:$A,'[1]kW Tescil'!$C:$C),"-")</f>
        <v>-</v>
      </c>
      <c r="BA132" s="81">
        <f>_xlfn.XLOOKUP(A132,'[1]My Input'!$B:$B,'[1]My Input'!$H:$H)</f>
        <v>0</v>
      </c>
      <c r="BC132" s="82">
        <v>0</v>
      </c>
      <c r="BD132" s="82">
        <v>0</v>
      </c>
      <c r="BF132" s="83">
        <v>0</v>
      </c>
      <c r="BG132" s="83">
        <v>0</v>
      </c>
      <c r="BI132" s="84">
        <v>1527958.1128572803</v>
      </c>
      <c r="BL132" s="83">
        <v>0</v>
      </c>
      <c r="BP132" s="263"/>
    </row>
    <row r="133" spans="1:68" s="117" customFormat="1" ht="7.15" customHeight="1" thickBot="1" x14ac:dyDescent="0.3">
      <c r="A133" s="57"/>
      <c r="B133" s="57"/>
      <c r="C133" s="254"/>
      <c r="D133" s="255"/>
      <c r="E133" s="256"/>
      <c r="F133" s="257"/>
      <c r="G133" s="110"/>
      <c r="H133" s="108"/>
      <c r="I133" s="219"/>
      <c r="J133" s="65"/>
      <c r="K133" s="108"/>
      <c r="L133" s="219"/>
      <c r="M133" s="65"/>
      <c r="N133" s="108"/>
      <c r="O133" s="108"/>
      <c r="P133" s="258"/>
      <c r="Q133" s="258"/>
      <c r="R133" s="244"/>
      <c r="S133" s="65"/>
      <c r="T133" s="108"/>
      <c r="U133" s="108"/>
      <c r="V133" s="258"/>
      <c r="W133" s="258"/>
      <c r="X133" s="166"/>
      <c r="Y133" s="65"/>
      <c r="Z133" s="108"/>
      <c r="AA133" s="108"/>
      <c r="AB133" s="258"/>
      <c r="AC133" s="258"/>
      <c r="AD133" s="167"/>
      <c r="AE133" s="246"/>
      <c r="AF133" s="115"/>
      <c r="AG133" s="19"/>
      <c r="AH133" s="116"/>
      <c r="AJ133" s="116"/>
      <c r="AK133" s="21"/>
      <c r="AL133" s="20"/>
      <c r="AM133" s="76"/>
      <c r="AN133" s="20"/>
      <c r="AO133" s="116"/>
      <c r="AP133" s="78"/>
      <c r="AQ133" s="67"/>
      <c r="AS133" s="118"/>
      <c r="AU133" s="74" t="s">
        <v>41</v>
      </c>
      <c r="AV133" s="67"/>
      <c r="AW133" s="67"/>
      <c r="AX133" s="67"/>
      <c r="AY133" s="80"/>
      <c r="AZ133" s="80"/>
      <c r="BA133" s="81"/>
      <c r="BC133" s="82">
        <v>0</v>
      </c>
      <c r="BD133" s="82">
        <v>0</v>
      </c>
      <c r="BF133" s="83">
        <v>0</v>
      </c>
      <c r="BG133" s="83">
        <v>0</v>
      </c>
      <c r="BI133" s="84">
        <v>0</v>
      </c>
      <c r="BL133" s="83">
        <v>0</v>
      </c>
    </row>
    <row r="134" spans="1:68" ht="15" customHeight="1" x14ac:dyDescent="0.25">
      <c r="A134" s="1" t="s">
        <v>196</v>
      </c>
      <c r="B134" s="1" t="str">
        <f>D134&amp;E134&amp;F134</f>
        <v>VolvoXC90 B5 Mild Hybrid AWDPlus Bright</v>
      </c>
      <c r="C134" s="85" t="s">
        <v>42</v>
      </c>
      <c r="D134" s="59" t="s">
        <v>151</v>
      </c>
      <c r="E134" s="222" t="s">
        <v>197</v>
      </c>
      <c r="F134" s="61" t="s">
        <v>198</v>
      </c>
      <c r="G134" s="234"/>
      <c r="H134" s="63">
        <f>11257348*(1+5%)</f>
        <v>11820215.4</v>
      </c>
      <c r="I134" s="64">
        <f>H134/$H$135*$I$135</f>
        <v>118.38055349411563</v>
      </c>
      <c r="J134" s="65">
        <v>0.25</v>
      </c>
      <c r="K134" s="63">
        <f>(((H134-AO134)/(1+AQ134)/1.2/$AS$1)+AS134)*(1+AQ134)*(1.2)*$AS$1+AO134</f>
        <v>10826491.200000001</v>
      </c>
      <c r="L134" s="64">
        <f>K134/$K$122*$L$122</f>
        <v>131.194447864388</v>
      </c>
      <c r="M134" s="157"/>
      <c r="N134" s="63">
        <f>AN134*1.2*(1+AV134)+AO134</f>
        <v>8119868.4000000013</v>
      </c>
      <c r="O134" s="63">
        <f>AK134*1.2*(1+AV134)+AO134</f>
        <v>8865161.5500000007</v>
      </c>
      <c r="P134" s="64">
        <f>IF(ISNUMBER(O134),O134/$O$135*$P$135,"")</f>
        <v>96.505886000637773</v>
      </c>
      <c r="Q134" s="64" t="s">
        <v>199</v>
      </c>
      <c r="R134" s="67">
        <f>_xlfn.XLOOKUP(A134,'[1]My Input'!$B:$B,'[1]My Input'!$F:$F)</f>
        <v>0</v>
      </c>
      <c r="S134" s="157"/>
      <c r="T134" s="63">
        <f>IF(X134&lt;&gt;0,AM134*1.2*(1+AW134)+AO134-X134,AN134*1.2*(1+AV134)+AO134)</f>
        <v>8119868.4000000013</v>
      </c>
      <c r="U134" s="63">
        <f>IF(X134&lt;&gt;0,AJ134*1.2*(1+AW134)+AO134-X134,AK134*1.2*(1+AV134)+AO134)</f>
        <v>8865161.5500000007</v>
      </c>
      <c r="V134" s="64">
        <f>IF(ISNUMBER(U134),U134/U135*V135,"")</f>
        <v>97.576100294119712</v>
      </c>
      <c r="W134" s="64" t="s">
        <v>199</v>
      </c>
      <c r="X134" s="68">
        <f>_xlfn.XLOOKUP(A134,'[1]My Input'!$B:$B,'[1]My Input'!$I:$I)</f>
        <v>0</v>
      </c>
      <c r="Y134" s="157"/>
      <c r="Z134" s="63">
        <f>IF(AD134&lt;&gt;0,AM134*1.2*(1+AQ134)+AO134-AD134,AL134*(1-AG134)*1.2*(1+AQ134)+AO134)</f>
        <v>8119868.4000000013</v>
      </c>
      <c r="AA134" s="63">
        <f>IF(AD134&lt;&gt;0,AJ134*1.2*(1+AX134)+AO134-AD134,AH134*(1-AG134)*1.2*(1+AV134)+AO134)</f>
        <v>8865161.5500000007</v>
      </c>
      <c r="AB134" s="64">
        <f>IF(ISNUMBER(AA134),AA134/AA135*AB135,"")</f>
        <v>94.906563236434792</v>
      </c>
      <c r="AC134" s="64" t="s">
        <v>199</v>
      </c>
      <c r="AD134" s="69">
        <f>_xlfn.XLOOKUP(A134,'[1]My Input'!$B:$B,'[1]My Input'!$N:$N)</f>
        <v>0</v>
      </c>
      <c r="AE134" s="70"/>
      <c r="AF134" s="71">
        <f>_xlfn.XLOOKUP(A134,'[1]My Input'!$B:$B,'[1]My Input'!$E:$E)</f>
        <v>0.25</v>
      </c>
      <c r="AG134" s="131">
        <f>_xlfn.XLOOKUP(A134,'[1]My Input'!$B:$B,'[1]My Input'!$G:$G)</f>
        <v>0.25</v>
      </c>
      <c r="AH134" s="132">
        <f>(H134-AO134)/1.2/(1+AQ134)</f>
        <v>3648214.6296296292</v>
      </c>
      <c r="AJ134" s="132">
        <f>AH134*(1-AF134)</f>
        <v>2736160.972222222</v>
      </c>
      <c r="AK134" s="133">
        <f>AH134*(1-AF134-R134)</f>
        <v>2736160.972222222</v>
      </c>
      <c r="AL134" s="134">
        <f>(K134-AO134)/1.2/(1+AQ134)</f>
        <v>3341509.6296296301</v>
      </c>
      <c r="AM134" s="134">
        <f>AL134*(1-AF134)</f>
        <v>2506132.2222222225</v>
      </c>
      <c r="AN134" s="134">
        <f>AL134*(1-AF134-R134)</f>
        <v>2506132.2222222225</v>
      </c>
      <c r="AO134" s="135">
        <f>_xlfn.XLOOKUP(A134,'[1]My Input'!$B:$B,'[1]My Input'!$T:$T)</f>
        <v>0</v>
      </c>
      <c r="AP134" s="136">
        <f>_xlfn.XLOOKUP(A134,'[1]My Input'!$B:$B,'[1]My Input'!$S:$S)</f>
        <v>2000</v>
      </c>
      <c r="AQ134" s="137">
        <f>_xlfn.XLOOKUP(A134,'[1]My Input'!$B:$B,'[1]My Input'!$U:$U)</f>
        <v>1.7</v>
      </c>
      <c r="AS134" s="186">
        <v>-5842</v>
      </c>
      <c r="AT134" s="236"/>
      <c r="AU134" s="17" t="s">
        <v>41</v>
      </c>
      <c r="AV134" s="137" cm="1">
        <f t="array" ref="AV134">_xlfn.IFS(
 AND(AY134="ICE",  AP134&lt;=1400,AND(AK134&gt;900000,  AK134&lt;=1100000)),                    80%,
 AND(AY134="ICE",  AP134&lt;=1400,AK134&gt;1100000),                                       90%,
 AND(AY134="ICE",  AND(AP134&gt;1400,AP134&lt;=1600),   AK134&lt;=850000),                      75%,
 AND(AY134="ICE",  AND(AP134&gt;1400,AP134&lt;=1600),   AND(AK134&gt;850000,AK134&lt;=1100000)),     80%,
 AND(AY134="ICE",  AND(AP134&gt;1400,AP134&lt;=1600),   AND(AK134&gt;1100000,AK134&lt;=1650000)),    90%,
 AND(AY134="ICE",  AND(AP134&gt;1400,AP134&lt;=1600),   AK134&gt;1650000),                      100%,
 AND(AY134="ICE",  AND(AP134&gt;1600,AP134&lt;=2000),   AK134&lt;=1650000),                     150%,
 AND(AY134="ICE",  AND(AP134&gt;1600,AP134&lt;=2000),   AK134&gt;1650000),                      170%,
 AND(AY134="ICE",  AP134&gt;2000),                                                    220%,
 AND(AY134="PHEV",  AP134&lt;=1600,                AK134&lt;=1350000),                     45%,
 AND(AY134="PHEV",  AP134&lt;=1600,                AK134&gt;1350000),                      75%,
 AND(AY134="PHEV",  AND(AP134&gt;1600,AP134&lt;=1800),  AK134&lt;=1350000),                     85%,
 AND(AY134="BEV",    AZ134&lt;=160,                 AK134&lt;=1650000),                     25%,
 AND(AY134="BEV",    AZ134&lt;=160,                 AK134&gt;1650000),                      55%,
 AND(AY134="BEV",    AZ134&gt; 160,                 AK134&lt;=1650000),                     65%,
 AND(AY134="BEV",    AZ134&gt; 160,                 AK134&gt;1650000),                      75%)</f>
        <v>1.7</v>
      </c>
      <c r="AW134" s="137" cm="1">
        <f t="array" ref="AW134">_xlfn.IFS(
 X134=0,AV134,
 AND(AY134="ICE",  AP134&lt;=1400,AND((AJ134-BA134)&gt;900000,  (AJ134-BA134)&lt;=1100000)),                    80%,
 AND(AY134="ICE",  AP134&lt;=1400,(AJ134-BA134)&gt;1100000),                                       90%,
 AND(AY134="ICE",  AND(AP134&gt;1400,AP134&lt;=1600),   (AJ134-BA134)&lt;=850000),                      75%,
 AND(AY134="ICE",  AND(AP134&gt;1400,AP134&lt;=1600),   AND((AJ134-BA134)&gt;850000,(AJ134-BA134)&lt;=1100000)),     80%,
 AND(AY134="ICE",  AND(AP134&gt;1400,AP134&lt;=1600),   AND((AJ134-BA134)&gt;1100000,(AJ134-BA134)&lt;=1650000)),    90%,
 AND(AY134="ICE",  AND(AP134&gt;1400,AP134&lt;=1600),   (AJ134-BA134)&gt;1650000),                      100%,
 AND(AY134="ICE",  AND(AP134&gt;1600,AP134&lt;=2000),   (AJ134-BA134)&lt;=1650000),                     150%,
 AND(AY134="ICE",  AND(AP134&gt;1600,AP134&lt;=2000),   (AJ134-BA134)&gt;1650000),                      170%,
 AND(AY134="ICE",  AP134&gt;2000),                                                    220%,
 AND(AY134="PHEV",  AP134&lt;=1600,                (AJ134-BA134)&lt;=1350000),                     45%,
 AND(AY134="PHEV",  AP134&lt;=1600,                (AJ134-BA134)&gt;1350000),                      75%,
 AND(AY134="PHEV",  AND(AP134&gt;1600,AP134&lt;=1800),  (AJ134-BA134)&lt;=1350000),                     85%,
 AND(AY134="BEV",    AZ134&lt;=160,                 (AJ134-BA134)&lt;=1650000),                     25%,
 AND(AY134="BEV",    AZ134&lt;=160,                 (AJ134-BA134)&gt;1650000),                      55%,
 AND(AY134="BEV",    AZ134&gt; 160,                 (AJ134-BA134)&lt;=1650000),                     65%,
 AND(AY134="BEV",    AZ134&gt; 160,                 (AJ134-BA134)&gt;1650000),                      75%)</f>
        <v>1.7</v>
      </c>
      <c r="AX134" s="137" cm="1">
        <f t="array" ref="AX134">_xlfn.IFS(
 AD134=0,AV134,
 AND(AY134="ICE",  AP134&lt;=1400,AND(AJ134&gt;900000,  AJ134&lt;=1100000)),                    80%,
 AND(AY134="ICE",  AP134&lt;=1400,AJ134&gt;1100000),                                       90%,
 AND(AY134="ICE",  AND(AP134&gt;1400,AP134&lt;=1600),   AJ134&lt;=850000),                      75%,
 AND(AY134="ICE",  AND(AP134&gt;1400,AP134&lt;=1600),   AND(AJ134&gt;850000,AJ134&lt;=1100000)),     80%,
 AND(AY134="ICE",  AND(AP134&gt;1400,AP134&lt;=1600),   AND(AJ134&gt;1100000,AJ134&lt;=1650000)),    90%,
 AND(AY134="ICE",  AND(AP134&gt;1400,AP134&lt;=1600),   AJ134&gt;1650000),                      100%,
 AND(AY134="ICE",  AND(AP134&gt;1600,AP134&lt;=2000),   AJ134&lt;=1650000),                     150%,
 AND(AY134="ICE",  AND(AP134&gt;1600,AP134&lt;=2000),   AJ134&gt;1650000),                      170%,
 AND(AY134="ICE",  AP134&gt;2000),                                                    220%,
 AND(AY134="PHEV",  AP134&lt;=1600,                AJ134&lt;=1350000),                     45%,
 AND(AY134="PHEV",  AP134&lt;=1600,                AJ134&gt;1350000),                      75%,
 AND(AY134="PHEV",  AND(AP134&gt;1600,AP134&lt;=1800),  AJ134&lt;=1350000),                     85%,
 AND(AY134="BEV",    AZ134&lt;=160,                 AJ134&lt;=1650000),                     25%,
 AND(AY134="BEV",    AZ134&lt;=160,                 AJ134&gt;1650000),                      55%,
 AND(AY134="BEV",    AZ134&gt; 160,                 AJ134&lt;=1650000),                     65%,
 AND(AY134="BEV",    AZ134&gt; 160,                 AJ134&gt;1650000),                      75%)</f>
        <v>1.7</v>
      </c>
      <c r="AY134" s="139" t="str">
        <f>_xlfn.XLOOKUP(A134,'[1]My Input'!$B:$B,'[1]My Input'!$V:$V)</f>
        <v>ICE</v>
      </c>
      <c r="AZ134" s="139" t="str">
        <f>_xlfn.IFNA(_xlfn.XLOOKUP(A134,'[1]kW Tescil'!$A:$A,'[1]kW Tescil'!$C:$C),"-")</f>
        <v>-</v>
      </c>
      <c r="BA134" s="140">
        <f>_xlfn.XLOOKUP(A134,'[1]My Input'!$B:$B,'[1]My Input'!$H:$H)</f>
        <v>0</v>
      </c>
      <c r="BC134" s="141">
        <v>-14.539333233406467</v>
      </c>
      <c r="BD134" s="141" t="e">
        <v>#VALUE!</v>
      </c>
      <c r="BF134" s="142">
        <v>-8.9785324565195879</v>
      </c>
      <c r="BG134" s="142" t="e">
        <v>#VALUE!</v>
      </c>
      <c r="BI134" s="143">
        <v>-235715.94142004009</v>
      </c>
      <c r="BL134" s="142">
        <v>-12.729102521578085</v>
      </c>
    </row>
    <row r="135" spans="1:68" s="74" customFormat="1" ht="15.75" thickBot="1" x14ac:dyDescent="0.3">
      <c r="A135" s="57" t="s">
        <v>200</v>
      </c>
      <c r="B135" s="57" t="str">
        <f>D135&amp;E135&amp;F135</f>
        <v>BMWiX xDrive60M Sport</v>
      </c>
      <c r="C135" s="58" t="s">
        <v>37</v>
      </c>
      <c r="D135" s="94" t="s">
        <v>44</v>
      </c>
      <c r="E135" s="95" t="s">
        <v>201</v>
      </c>
      <c r="F135" s="152" t="s">
        <v>53</v>
      </c>
      <c r="G135" s="65"/>
      <c r="H135" s="98">
        <v>9984930</v>
      </c>
      <c r="I135" s="99">
        <v>100</v>
      </c>
      <c r="J135" s="65">
        <v>0.08</v>
      </c>
      <c r="K135" s="98">
        <f>(((H135-AO135)/(1+AQ135)/1.2/$AS$1)+AS135)*(1+AQ135)*(1.2)*$AS$1+AO135</f>
        <v>9984930</v>
      </c>
      <c r="L135" s="99">
        <v>100</v>
      </c>
      <c r="M135" s="65"/>
      <c r="N135" s="98">
        <f>AN135*1.2*(1+AV135)+AO135</f>
        <v>9186135.5999999978</v>
      </c>
      <c r="O135" s="98">
        <f>AK135*1.2*(1+AV135)+AO135</f>
        <v>9186135.5999999978</v>
      </c>
      <c r="P135" s="99">
        <v>100</v>
      </c>
      <c r="Q135" s="99">
        <v>100</v>
      </c>
      <c r="R135" s="67">
        <f>_xlfn.XLOOKUP(A135,'[1]My Input'!$B:$B,'[1]My Input'!$F:$F)</f>
        <v>0.05</v>
      </c>
      <c r="S135" s="65"/>
      <c r="T135" s="98">
        <f>IF(X135&lt;&gt;0,AM135*1.2*(1+AW135)+AO135-X135,AN135*1.2*(1+AV135)+AO135)</f>
        <v>9085382.1000000015</v>
      </c>
      <c r="U135" s="98">
        <f>IF(X135&lt;&gt;0,AJ135*1.2*(1+AW135)+AO135-X135,AK135*1.2*(1+AV135)+AO135)</f>
        <v>9085382.1000000015</v>
      </c>
      <c r="V135" s="99">
        <v>100</v>
      </c>
      <c r="W135" s="99">
        <v>100</v>
      </c>
      <c r="X135" s="102">
        <f>_xlfn.XLOOKUP(A135,'[1]My Input'!$B:$B,'[1]My Input'!$I:$I)</f>
        <v>600000</v>
      </c>
      <c r="Y135" s="65"/>
      <c r="Z135" s="98">
        <f>IF(AD135&lt;&gt;0,AM135*1.2*(1+AQ135)+AO135-AD135,AL135*(1-AG135)*1.2*(1+AQ135)+AO135)</f>
        <v>9340936.2300000023</v>
      </c>
      <c r="AA135" s="98">
        <f>IF(AD135&lt;&gt;0,AJ135*1.2*(1+AX135)+AO135-AD135,AH135*(1-AG135)*1.2*(1+AV135)+AO135)</f>
        <v>9340936.2300000023</v>
      </c>
      <c r="AB135" s="99">
        <v>100</v>
      </c>
      <c r="AC135" s="99">
        <v>100</v>
      </c>
      <c r="AD135" s="98">
        <f>_xlfn.XLOOKUP(A135,'[1]My Input'!$B:$B,'[1]My Input'!$N:$N)</f>
        <v>344445.87</v>
      </c>
      <c r="AE135" s="70"/>
      <c r="AF135" s="71">
        <f>_xlfn.XLOOKUP(A135,'[1]My Input'!$B:$B,'[1]My Input'!$E:$E)</f>
        <v>0.03</v>
      </c>
      <c r="AG135" s="72">
        <f>_xlfn.XLOOKUP(A135,'[1]My Input'!$B:$B,'[1]My Input'!$G:$G)</f>
        <v>0.08</v>
      </c>
      <c r="AH135" s="73">
        <f>(H135-AO135)/1.2/(1+AQ135)</f>
        <v>4754728.5714285718</v>
      </c>
      <c r="AJ135" s="73">
        <f>AH135*(1-AF135)</f>
        <v>4612086.7142857146</v>
      </c>
      <c r="AK135" s="75">
        <f>AH135*(1-AF135-R135)</f>
        <v>4374350.2857142854</v>
      </c>
      <c r="AL135" s="199">
        <f>(K135-AO135)/1.2/(1+AQ135)</f>
        <v>4754728.5714285718</v>
      </c>
      <c r="AM135" s="76">
        <f>AL135*(1-AF135)</f>
        <v>4612086.7142857146</v>
      </c>
      <c r="AN135" s="76">
        <f>AL135*(1-AF135-R135)</f>
        <v>4374350.2857142854</v>
      </c>
      <c r="AO135" s="77">
        <f>_xlfn.XLOOKUP(A135,'[1]My Input'!$B:$B,'[1]My Input'!$T:$T)</f>
        <v>0</v>
      </c>
      <c r="AP135" s="78">
        <f>_xlfn.XLOOKUP(A135,'[1]My Input'!$B:$B,'[1]My Input'!$S:$S)</f>
        <v>0</v>
      </c>
      <c r="AQ135" s="67">
        <f>_xlfn.XLOOKUP(A135,'[1]My Input'!$B:$B,'[1]My Input'!$U:$U)</f>
        <v>0.75</v>
      </c>
      <c r="AS135" s="103">
        <f>_xlfn.XLOOKUP(A135,'[1]My Input'!$B:$B,'[1]My Input'!$Q:$Q)</f>
        <v>0</v>
      </c>
      <c r="AU135" s="74" t="s">
        <v>41</v>
      </c>
      <c r="AV135" s="67" cm="1">
        <f t="array" ref="AV135">_xlfn.IFS(
 AND(AY135="ICE",  AP135&lt;=1400,AND(AK135&gt;900000,  AK135&lt;=1100000)),                    80%,
 AND(AY135="ICE",  AP135&lt;=1400,AK135&gt;1100000),                                       90%,
 AND(AY135="ICE",  AND(AP135&gt;1400,AP135&lt;=1600),   AK135&lt;=850000),                      75%,
 AND(AY135="ICE",  AND(AP135&gt;1400,AP135&lt;=1600),   AND(AK135&gt;850000,AK135&lt;=1100000)),     80%,
 AND(AY135="ICE",  AND(AP135&gt;1400,AP135&lt;=1600),   AND(AK135&gt;1100000,AK135&lt;=1650000)),    90%,
 AND(AY135="ICE",  AND(AP135&gt;1400,AP135&lt;=1600),   AK135&gt;1650000),                      100%,
 AND(AY135="ICE",  AND(AP135&gt;1600,AP135&lt;=2000),   AK135&lt;=1650000),                     150%,
 AND(AY135="ICE",  AND(AP135&gt;1600,AP135&lt;=2000),   AK135&gt;1650000),                      170%,
 AND(AY135="ICE",  AP135&gt;2000),                                                    220%,
 AND(AY135="PHEV",  AP135&lt;=1600,                AK135&lt;=1350000),                     45%,
 AND(AY135="PHEV",  AP135&lt;=1600,                AK135&gt;1350000),                      75%,
 AND(AY135="PHEV",  AND(AP135&gt;1600,AP135&lt;=1800),  AK135&lt;=1350000),                     85%,
 AND(AY135="BEV",    AZ135&lt;=160,                 AK135&lt;=1650000),                     25%,
 AND(AY135="BEV",    AZ135&lt;=160,                 AK135&gt;1650000),                      55%,
 AND(AY135="BEV",    AZ135&gt; 160,                 AK135&lt;=1650000),                     65%,
 AND(AY135="BEV",    AZ135&gt; 160,                 AK135&gt;1650000),                      75%)</f>
        <v>0.75</v>
      </c>
      <c r="AW135" s="67" cm="1">
        <f t="array" ref="AW135">_xlfn.IFS(
 X135=0,AV135,
 AND(AY135="ICE",  AP135&lt;=1400,AND((AJ135-BA135)&gt;900000,  (AJ135-BA135)&lt;=1100000)),                    80%,
 AND(AY135="ICE",  AP135&lt;=1400,(AJ135-BA135)&gt;1100000),                                       90%,
 AND(AY135="ICE",  AND(AP135&gt;1400,AP135&lt;=1600),   (AJ135-BA135)&lt;=850000),                      75%,
 AND(AY135="ICE",  AND(AP135&gt;1400,AP135&lt;=1600),   AND((AJ135-BA135)&gt;850000,(AJ135-BA135)&lt;=1100000)),     80%,
 AND(AY135="ICE",  AND(AP135&gt;1400,AP135&lt;=1600),   AND((AJ135-BA135)&gt;1100000,(AJ135-BA135)&lt;=1650000)),    90%,
 AND(AY135="ICE",  AND(AP135&gt;1400,AP135&lt;=1600),   (AJ135-BA135)&gt;1650000),                      100%,
 AND(AY135="ICE",  AND(AP135&gt;1600,AP135&lt;=2000),   (AJ135-BA135)&lt;=1650000),                     150%,
 AND(AY135="ICE",  AND(AP135&gt;1600,AP135&lt;=2000),   (AJ135-BA135)&gt;1650000),                      170%,
 AND(AY135="ICE",  AP135&gt;2000),                                                    220%,
 AND(AY135="PHEV",  AP135&lt;=1600,                (AJ135-BA135)&lt;=1350000),                     45%,
 AND(AY135="PHEV",  AP135&lt;=1600,                (AJ135-BA135)&gt;1350000),                      75%,
 AND(AY135="PHEV",  AND(AP135&gt;1600,AP135&lt;=1800),  (AJ135-BA135)&lt;=1350000),                     85%,
 AND(AY135="BEV",    AZ135&lt;=160,                 (AJ135-BA135)&lt;=1650000),                     25%,
 AND(AY135="BEV",    AZ135&lt;=160,                 (AJ135-BA135)&gt;1650000),                      55%,
 AND(AY135="BEV",    AZ135&gt; 160,                 (AJ135-BA135)&lt;=1650000),                     65%,
 AND(AY135="BEV",    AZ135&gt; 160,                 (AJ135-BA135)&gt;1650000),                      75%)</f>
        <v>0.75</v>
      </c>
      <c r="AX135" s="67" cm="1">
        <f t="array" ref="AX135">_xlfn.IFS(
 AD135=0,AV135,
 AND(AY135="ICE",  AP135&lt;=1400,AND(AJ135&gt;900000,  AJ135&lt;=1100000)),                    80%,
 AND(AY135="ICE",  AP135&lt;=1400,AJ135&gt;1100000),                                       90%,
 AND(AY135="ICE",  AND(AP135&gt;1400,AP135&lt;=1600),   AJ135&lt;=850000),                      75%,
 AND(AY135="ICE",  AND(AP135&gt;1400,AP135&lt;=1600),   AND(AJ135&gt;850000,AJ135&lt;=1100000)),     80%,
 AND(AY135="ICE",  AND(AP135&gt;1400,AP135&lt;=1600),   AND(AJ135&gt;1100000,AJ135&lt;=1650000)),    90%,
 AND(AY135="ICE",  AND(AP135&gt;1400,AP135&lt;=1600),   AJ135&gt;1650000),                      100%,
 AND(AY135="ICE",  AND(AP135&gt;1600,AP135&lt;=2000),   AJ135&lt;=1650000),                     150%,
 AND(AY135="ICE",  AND(AP135&gt;1600,AP135&lt;=2000),   AJ135&gt;1650000),                      170%,
 AND(AY135="ICE",  AP135&gt;2000),                                                    220%,
 AND(AY135="PHEV",  AP135&lt;=1600,                AJ135&lt;=1350000),                     45%,
 AND(AY135="PHEV",  AP135&lt;=1600,                AJ135&gt;1350000),                      75%,
 AND(AY135="PHEV",  AND(AP135&gt;1600,AP135&lt;=1800),  AJ135&lt;=1350000),                     85%,
 AND(AY135="BEV",    AZ135&lt;=160,                 AJ135&lt;=1650000),                     25%,
 AND(AY135="BEV",    AZ135&lt;=160,                 AJ135&gt;1650000),                      55%,
 AND(AY135="BEV",    AZ135&gt; 160,                 AJ135&lt;=1650000),                     65%,
 AND(AY135="BEV",    AZ135&gt; 160,                 AJ135&gt;1650000),                      75%)</f>
        <v>0.75</v>
      </c>
      <c r="AY135" s="80" t="str">
        <f>_xlfn.XLOOKUP(A135,'[1]My Input'!$B:$B,'[1]My Input'!$V:$V)</f>
        <v>BEV</v>
      </c>
      <c r="AZ135" s="80">
        <f>_xlfn.IFNA(_xlfn.XLOOKUP(A135,'[1]kW Tescil'!$A:$A,'[1]kW Tescil'!$C:$C),"-")</f>
        <v>400</v>
      </c>
      <c r="BA135" s="81">
        <f>_xlfn.XLOOKUP(A135,'[1]My Input'!$B:$B,'[1]My Input'!$H:$H)</f>
        <v>285714.28571428574</v>
      </c>
      <c r="BC135" s="82">
        <v>0</v>
      </c>
      <c r="BD135" s="82">
        <v>0</v>
      </c>
      <c r="BF135" s="83">
        <v>0</v>
      </c>
      <c r="BG135" s="83">
        <v>0</v>
      </c>
      <c r="BI135" s="84">
        <v>761215.87352000456</v>
      </c>
      <c r="BL135" s="83">
        <v>0</v>
      </c>
    </row>
    <row r="136" spans="1:68" x14ac:dyDescent="0.25">
      <c r="A136" s="57"/>
      <c r="B136" s="57"/>
    </row>
    <row r="137" spans="1:68" x14ac:dyDescent="0.25">
      <c r="A137" s="57"/>
      <c r="B137" s="57"/>
      <c r="P137" s="266"/>
    </row>
    <row r="138" spans="1:68" ht="21" x14ac:dyDescent="0.25">
      <c r="A138" s="57"/>
      <c r="B138" s="57"/>
      <c r="C138" s="267" t="s">
        <v>202</v>
      </c>
      <c r="D138" s="267"/>
    </row>
    <row r="139" spans="1:68" ht="15.75" x14ac:dyDescent="0.25">
      <c r="A139" s="57"/>
      <c r="B139" s="57"/>
      <c r="C139" s="268" t="s">
        <v>203</v>
      </c>
      <c r="D139" s="268"/>
    </row>
    <row r="140" spans="1:68" x14ac:dyDescent="0.25">
      <c r="A140" s="57"/>
      <c r="B140" s="57"/>
    </row>
    <row r="141" spans="1:68" x14ac:dyDescent="0.25">
      <c r="A141" s="57"/>
      <c r="B141" s="57"/>
    </row>
    <row r="142" spans="1:68" x14ac:dyDescent="0.25">
      <c r="A142" s="57"/>
      <c r="B142" s="57"/>
    </row>
    <row r="143" spans="1:68" x14ac:dyDescent="0.25">
      <c r="A143" s="57"/>
      <c r="B143" s="57"/>
    </row>
    <row r="144" spans="1:68" x14ac:dyDescent="0.25">
      <c r="A144" s="57"/>
      <c r="B144" s="57"/>
    </row>
    <row r="145" spans="1:2" x14ac:dyDescent="0.25">
      <c r="A145" s="57"/>
      <c r="B145" s="57"/>
    </row>
    <row r="146" spans="1:2" x14ac:dyDescent="0.25">
      <c r="A146" s="57"/>
      <c r="B146" s="57"/>
    </row>
    <row r="147" spans="1:2" x14ac:dyDescent="0.25">
      <c r="A147" s="57"/>
      <c r="B147" s="57"/>
    </row>
    <row r="148" spans="1:2" x14ac:dyDescent="0.25">
      <c r="A148" s="57"/>
      <c r="B148" s="57"/>
    </row>
    <row r="149" spans="1:2" x14ac:dyDescent="0.25">
      <c r="A149" s="57"/>
      <c r="B149" s="57"/>
    </row>
    <row r="150" spans="1:2" x14ac:dyDescent="0.25">
      <c r="A150" s="57"/>
      <c r="B150" s="57"/>
    </row>
    <row r="151" spans="1:2" x14ac:dyDescent="0.25">
      <c r="A151" s="57"/>
      <c r="B151" s="57"/>
    </row>
    <row r="152" spans="1:2" x14ac:dyDescent="0.25">
      <c r="A152" s="57"/>
      <c r="B152" s="57"/>
    </row>
  </sheetData>
  <mergeCells count="8">
    <mergeCell ref="D35:F35"/>
    <mergeCell ref="D38:F38"/>
    <mergeCell ref="O1:R1"/>
    <mergeCell ref="U1:X1"/>
    <mergeCell ref="AA1:AD1"/>
    <mergeCell ref="C2:F2"/>
    <mergeCell ref="D30:F30"/>
    <mergeCell ref="D33:F33"/>
  </mergeCells>
  <conditionalFormatting sqref="I4:I6">
    <cfRule type="cellIs" dxfId="247" priority="134" operator="greaterThan">
      <formula>100</formula>
    </cfRule>
    <cfRule type="cellIs" dxfId="248" priority="135" operator="lessThan">
      <formula>100</formula>
    </cfRule>
  </conditionalFormatting>
  <conditionalFormatting sqref="I8:I11">
    <cfRule type="cellIs" dxfId="246" priority="248" operator="greaterThan">
      <formula>100</formula>
    </cfRule>
    <cfRule type="cellIs" dxfId="245" priority="249" operator="lessThan">
      <formula>100</formula>
    </cfRule>
  </conditionalFormatting>
  <conditionalFormatting sqref="I13:I14">
    <cfRule type="cellIs" dxfId="243" priority="242" operator="greaterThan">
      <formula>100</formula>
    </cfRule>
    <cfRule type="cellIs" dxfId="244" priority="243" operator="lessThan">
      <formula>100</formula>
    </cfRule>
  </conditionalFormatting>
  <conditionalFormatting sqref="I16:I21">
    <cfRule type="cellIs" dxfId="242" priority="113" operator="greaterThan">
      <formula>100</formula>
    </cfRule>
    <cfRule type="cellIs" dxfId="241" priority="114" operator="lessThan">
      <formula>100</formula>
    </cfRule>
  </conditionalFormatting>
  <conditionalFormatting sqref="I23">
    <cfRule type="cellIs" dxfId="239" priority="123" operator="greaterThan">
      <formula>100</formula>
    </cfRule>
    <cfRule type="cellIs" dxfId="240" priority="124" operator="lessThan">
      <formula>100</formula>
    </cfRule>
  </conditionalFormatting>
  <conditionalFormatting sqref="I25:I29">
    <cfRule type="cellIs" dxfId="238" priority="89" operator="greaterThan">
      <formula>100</formula>
    </cfRule>
    <cfRule type="cellIs" dxfId="237" priority="90" operator="lessThan">
      <formula>100</formula>
    </cfRule>
  </conditionalFormatting>
  <conditionalFormatting sqref="I31:I32 L31:L32 P31:Q32 V31:W32 AB31:AC32">
    <cfRule type="cellIs" dxfId="235" priority="166" operator="greaterThan">
      <formula>100</formula>
    </cfRule>
    <cfRule type="cellIs" dxfId="236" priority="167" operator="lessThan">
      <formula>100</formula>
    </cfRule>
  </conditionalFormatting>
  <conditionalFormatting sqref="I34">
    <cfRule type="cellIs" dxfId="234" priority="188" operator="greaterThan">
      <formula>100</formula>
    </cfRule>
    <cfRule type="cellIs" dxfId="233" priority="189" operator="lessThan">
      <formula>100</formula>
    </cfRule>
  </conditionalFormatting>
  <conditionalFormatting sqref="I36:I37">
    <cfRule type="cellIs" dxfId="231" priority="246" operator="greaterThan">
      <formula>100</formula>
    </cfRule>
    <cfRule type="cellIs" dxfId="232" priority="247" operator="lessThan">
      <formula>100</formula>
    </cfRule>
  </conditionalFormatting>
  <conditionalFormatting sqref="I39:I40">
    <cfRule type="cellIs" dxfId="229" priority="228" operator="greaterThan">
      <formula>100</formula>
    </cfRule>
    <cfRule type="cellIs" dxfId="230" priority="229" operator="lessThan">
      <formula>100</formula>
    </cfRule>
  </conditionalFormatting>
  <conditionalFormatting sqref="I45:I49">
    <cfRule type="cellIs" dxfId="228" priority="9" operator="greaterThan">
      <formula>100</formula>
    </cfRule>
    <cfRule type="cellIs" dxfId="227" priority="10" operator="lessThan">
      <formula>100</formula>
    </cfRule>
  </conditionalFormatting>
  <conditionalFormatting sqref="I51:I58">
    <cfRule type="cellIs" dxfId="225" priority="39" operator="greaterThan">
      <formula>100</formula>
    </cfRule>
    <cfRule type="cellIs" dxfId="226" priority="40" operator="lessThan">
      <formula>100</formula>
    </cfRule>
  </conditionalFormatting>
  <conditionalFormatting sqref="I60:I67">
    <cfRule type="cellIs" dxfId="223" priority="29" operator="greaterThan">
      <formula>100</formula>
    </cfRule>
    <cfRule type="cellIs" dxfId="224" priority="30" operator="lessThan">
      <formula>100</formula>
    </cfRule>
  </conditionalFormatting>
  <conditionalFormatting sqref="I69:I72">
    <cfRule type="cellIs" dxfId="221" priority="79" operator="greaterThan">
      <formula>100</formula>
    </cfRule>
    <cfRule type="cellIs" dxfId="222" priority="80" operator="lessThan">
      <formula>100</formula>
    </cfRule>
  </conditionalFormatting>
  <conditionalFormatting sqref="I74:I77">
    <cfRule type="cellIs" dxfId="220" priority="69" operator="greaterThan">
      <formula>100</formula>
    </cfRule>
    <cfRule type="cellIs" dxfId="219" priority="70" operator="lessThan">
      <formula>100</formula>
    </cfRule>
  </conditionalFormatting>
  <conditionalFormatting sqref="I79:I81">
    <cfRule type="cellIs" dxfId="217" priority="244" operator="greaterThan">
      <formula>100</formula>
    </cfRule>
    <cfRule type="cellIs" dxfId="218" priority="245" operator="lessThan">
      <formula>100</formula>
    </cfRule>
  </conditionalFormatting>
  <conditionalFormatting sqref="I83">
    <cfRule type="cellIs" dxfId="215" priority="144" operator="greaterThan">
      <formula>100</formula>
    </cfRule>
    <cfRule type="cellIs" dxfId="216" priority="145" operator="lessThan">
      <formula>100</formula>
    </cfRule>
  </conditionalFormatting>
  <conditionalFormatting sqref="I85:I91">
    <cfRule type="cellIs" dxfId="214" priority="99" operator="greaterThan">
      <formula>100</formula>
    </cfRule>
    <cfRule type="cellIs" dxfId="213" priority="100" operator="lessThan">
      <formula>100</formula>
    </cfRule>
  </conditionalFormatting>
  <conditionalFormatting sqref="I93:I99">
    <cfRule type="cellIs" dxfId="211" priority="19" operator="greaterThan">
      <formula>100</formula>
    </cfRule>
    <cfRule type="cellIs" dxfId="212" priority="20" operator="lessThan">
      <formula>100</formula>
    </cfRule>
  </conditionalFormatting>
  <conditionalFormatting sqref="I101:I105 L101:L105 P101:Q105 V101:W105 AB101:AC105">
    <cfRule type="cellIs" dxfId="209" priority="178" operator="greaterThan">
      <formula>100</formula>
    </cfRule>
    <cfRule type="cellIs" dxfId="210" priority="179" operator="lessThan">
      <formula>100</formula>
    </cfRule>
  </conditionalFormatting>
  <conditionalFormatting sqref="I107:I112 L107:L112 P107:Q112 V107:W112 AB107:AC112">
    <cfRule type="cellIs" dxfId="208" priority="101" operator="greaterThan">
      <formula>100</formula>
    </cfRule>
    <cfRule type="cellIs" dxfId="207" priority="102" operator="lessThan">
      <formula>100</formula>
    </cfRule>
  </conditionalFormatting>
  <conditionalFormatting sqref="I114:I116 L114:L116 P114:Q116 V114:W116 AB114:AC116">
    <cfRule type="cellIs" dxfId="205" priority="103" operator="greaterThan">
      <formula>100</formula>
    </cfRule>
    <cfRule type="cellIs" dxfId="206" priority="104" operator="lessThan">
      <formula>100</formula>
    </cfRule>
  </conditionalFormatting>
  <conditionalFormatting sqref="I118:I122">
    <cfRule type="cellIs" dxfId="204" priority="59" operator="greaterThan">
      <formula>100</formula>
    </cfRule>
    <cfRule type="cellIs" dxfId="203" priority="60" operator="lessThan">
      <formula>100</formula>
    </cfRule>
  </conditionalFormatting>
  <conditionalFormatting sqref="I124:I126">
    <cfRule type="cellIs" dxfId="201" priority="230" operator="greaterThan">
      <formula>100</formula>
    </cfRule>
    <cfRule type="cellIs" dxfId="202" priority="231" operator="lessThan">
      <formula>100</formula>
    </cfRule>
  </conditionalFormatting>
  <conditionalFormatting sqref="I128">
    <cfRule type="cellIs" dxfId="199" priority="176" operator="greaterThan">
      <formula>100</formula>
    </cfRule>
    <cfRule type="cellIs" dxfId="200" priority="177" operator="lessThan">
      <formula>100</formula>
    </cfRule>
  </conditionalFormatting>
  <conditionalFormatting sqref="I130">
    <cfRule type="cellIs" dxfId="197" priority="164" operator="greaterThan">
      <formula>100</formula>
    </cfRule>
    <cfRule type="cellIs" dxfId="198" priority="165" operator="lessThan">
      <formula>100</formula>
    </cfRule>
  </conditionalFormatting>
  <conditionalFormatting sqref="I132">
    <cfRule type="cellIs" dxfId="196" priority="154" operator="greaterThan">
      <formula>100</formula>
    </cfRule>
    <cfRule type="cellIs" dxfId="195" priority="155" operator="lessThan">
      <formula>100</formula>
    </cfRule>
  </conditionalFormatting>
  <conditionalFormatting sqref="I134:I135">
    <cfRule type="cellIs" dxfId="194" priority="49" operator="greaterThan">
      <formula>100</formula>
    </cfRule>
    <cfRule type="cellIs" dxfId="193" priority="50" operator="lessThan">
      <formula>100</formula>
    </cfRule>
  </conditionalFormatting>
  <conditionalFormatting sqref="L4:L6">
    <cfRule type="cellIs" dxfId="191" priority="132" operator="greaterThan">
      <formula>100</formula>
    </cfRule>
    <cfRule type="cellIs" dxfId="192" priority="133" operator="lessThan">
      <formula>100</formula>
    </cfRule>
  </conditionalFormatting>
  <conditionalFormatting sqref="L8:L11">
    <cfRule type="cellIs" dxfId="189" priority="240" operator="greaterThan">
      <formula>100</formula>
    </cfRule>
    <cfRule type="cellIs" dxfId="190" priority="241" operator="lessThan">
      <formula>100</formula>
    </cfRule>
  </conditionalFormatting>
  <conditionalFormatting sqref="L13:L14">
    <cfRule type="cellIs" dxfId="187" priority="234" operator="greaterThan">
      <formula>100</formula>
    </cfRule>
    <cfRule type="cellIs" dxfId="188" priority="235" operator="lessThan">
      <formula>100</formula>
    </cfRule>
  </conditionalFormatting>
  <conditionalFormatting sqref="L16:L21">
    <cfRule type="cellIs" dxfId="186" priority="111" operator="greaterThan">
      <formula>100</formula>
    </cfRule>
    <cfRule type="cellIs" dxfId="185" priority="112" operator="lessThan">
      <formula>100</formula>
    </cfRule>
  </conditionalFormatting>
  <conditionalFormatting sqref="L23">
    <cfRule type="cellIs" dxfId="184" priority="115" operator="greaterThan">
      <formula>100</formula>
    </cfRule>
    <cfRule type="cellIs" dxfId="183" priority="116" operator="lessThan">
      <formula>100</formula>
    </cfRule>
  </conditionalFormatting>
  <conditionalFormatting sqref="L25:L29">
    <cfRule type="cellIs" dxfId="182" priority="87" operator="greaterThan">
      <formula>100</formula>
    </cfRule>
    <cfRule type="cellIs" dxfId="181" priority="88" operator="lessThan">
      <formula>100</formula>
    </cfRule>
  </conditionalFormatting>
  <conditionalFormatting sqref="L34">
    <cfRule type="cellIs" dxfId="179" priority="180" operator="greaterThan">
      <formula>100</formula>
    </cfRule>
    <cfRule type="cellIs" dxfId="180" priority="181" operator="lessThan">
      <formula>100</formula>
    </cfRule>
  </conditionalFormatting>
  <conditionalFormatting sqref="L36:L37">
    <cfRule type="cellIs" dxfId="177" priority="238" operator="greaterThan">
      <formula>100</formula>
    </cfRule>
    <cfRule type="cellIs" dxfId="178" priority="239" operator="lessThan">
      <formula>100</formula>
    </cfRule>
  </conditionalFormatting>
  <conditionalFormatting sqref="L39:L40">
    <cfRule type="cellIs" dxfId="176" priority="226" operator="greaterThan">
      <formula>100</formula>
    </cfRule>
    <cfRule type="cellIs" dxfId="175" priority="227" operator="lessThan">
      <formula>100</formula>
    </cfRule>
  </conditionalFormatting>
  <conditionalFormatting sqref="L45:L49">
    <cfRule type="cellIs" dxfId="174" priority="7" operator="greaterThan">
      <formula>100</formula>
    </cfRule>
    <cfRule type="cellIs" dxfId="173" priority="8" operator="lessThan">
      <formula>100</formula>
    </cfRule>
  </conditionalFormatting>
  <conditionalFormatting sqref="L51:L58">
    <cfRule type="cellIs" dxfId="171" priority="37" operator="greaterThan">
      <formula>100</formula>
    </cfRule>
    <cfRule type="cellIs" dxfId="172" priority="38" operator="lessThan">
      <formula>100</formula>
    </cfRule>
  </conditionalFormatting>
  <conditionalFormatting sqref="L60:L67">
    <cfRule type="cellIs" dxfId="169" priority="27" operator="greaterThan">
      <formula>100</formula>
    </cfRule>
    <cfRule type="cellIs" dxfId="170" priority="28" operator="lessThan">
      <formula>100</formula>
    </cfRule>
  </conditionalFormatting>
  <conditionalFormatting sqref="L69:L72">
    <cfRule type="cellIs" dxfId="168" priority="77" operator="greaterThan">
      <formula>100</formula>
    </cfRule>
    <cfRule type="cellIs" dxfId="167" priority="78" operator="lessThan">
      <formula>100</formula>
    </cfRule>
  </conditionalFormatting>
  <conditionalFormatting sqref="L74:L77">
    <cfRule type="cellIs" dxfId="166" priority="67" operator="greaterThan">
      <formula>100</formula>
    </cfRule>
    <cfRule type="cellIs" dxfId="165" priority="68" operator="lessThan">
      <formula>100</formula>
    </cfRule>
  </conditionalFormatting>
  <conditionalFormatting sqref="L79:L81">
    <cfRule type="cellIs" dxfId="164" priority="236" operator="greaterThan">
      <formula>100</formula>
    </cfRule>
    <cfRule type="cellIs" dxfId="163" priority="237" operator="lessThan">
      <formula>100</formula>
    </cfRule>
  </conditionalFormatting>
  <conditionalFormatting sqref="L83">
    <cfRule type="cellIs" dxfId="162" priority="136" operator="greaterThan">
      <formula>100</formula>
    </cfRule>
    <cfRule type="cellIs" dxfId="161" priority="137" operator="lessThan">
      <formula>100</formula>
    </cfRule>
  </conditionalFormatting>
  <conditionalFormatting sqref="L85:L91">
    <cfRule type="cellIs" dxfId="160" priority="97" operator="greaterThan">
      <formula>100</formula>
    </cfRule>
    <cfRule type="cellIs" dxfId="159" priority="98" operator="lessThan">
      <formula>100</formula>
    </cfRule>
  </conditionalFormatting>
  <conditionalFormatting sqref="L93:L99">
    <cfRule type="cellIs" dxfId="158" priority="17" operator="greaterThan">
      <formula>100</formula>
    </cfRule>
    <cfRule type="cellIs" dxfId="157" priority="18" operator="lessThan">
      <formula>100</formula>
    </cfRule>
  </conditionalFormatting>
  <conditionalFormatting sqref="L118:L122">
    <cfRule type="cellIs" dxfId="155" priority="57" operator="greaterThan">
      <formula>100</formula>
    </cfRule>
    <cfRule type="cellIs" dxfId="156" priority="58" operator="lessThan">
      <formula>100</formula>
    </cfRule>
  </conditionalFormatting>
  <conditionalFormatting sqref="L124:L126">
    <cfRule type="cellIs" dxfId="153" priority="232" operator="greaterThan">
      <formula>100</formula>
    </cfRule>
    <cfRule type="cellIs" dxfId="154" priority="233" operator="lessThan">
      <formula>100</formula>
    </cfRule>
  </conditionalFormatting>
  <conditionalFormatting sqref="L128">
    <cfRule type="cellIs" dxfId="151" priority="168" operator="greaterThan">
      <formula>100</formula>
    </cfRule>
    <cfRule type="cellIs" dxfId="152" priority="169" operator="lessThan">
      <formula>100</formula>
    </cfRule>
  </conditionalFormatting>
  <conditionalFormatting sqref="L130">
    <cfRule type="cellIs" dxfId="150" priority="156" operator="greaterThan">
      <formula>100</formula>
    </cfRule>
    <cfRule type="cellIs" dxfId="149" priority="157" operator="lessThan">
      <formula>100</formula>
    </cfRule>
  </conditionalFormatting>
  <conditionalFormatting sqref="L132">
    <cfRule type="cellIs" dxfId="147" priority="146" operator="greaterThan">
      <formula>100</formula>
    </cfRule>
    <cfRule type="cellIs" dxfId="148" priority="147" operator="lessThan">
      <formula>100</formula>
    </cfRule>
  </conditionalFormatting>
  <conditionalFormatting sqref="L134:L135">
    <cfRule type="cellIs" dxfId="146" priority="47" operator="greaterThan">
      <formula>100</formula>
    </cfRule>
    <cfRule type="cellIs" dxfId="145" priority="48" operator="lessThan">
      <formula>100</formula>
    </cfRule>
  </conditionalFormatting>
  <conditionalFormatting sqref="P4:Q6">
    <cfRule type="cellIs" dxfId="143" priority="130" operator="greaterThan">
      <formula>100</formula>
    </cfRule>
    <cfRule type="cellIs" dxfId="144" priority="131" operator="lessThan">
      <formula>100</formula>
    </cfRule>
  </conditionalFormatting>
  <conditionalFormatting sqref="P8:Q11">
    <cfRule type="cellIs" dxfId="141" priority="224" operator="greaterThan">
      <formula>100</formula>
    </cfRule>
    <cfRule type="cellIs" dxfId="142" priority="225" operator="lessThan">
      <formula>100</formula>
    </cfRule>
  </conditionalFormatting>
  <conditionalFormatting sqref="P13:Q14">
    <cfRule type="cellIs" dxfId="139" priority="218" operator="greaterThan">
      <formula>100</formula>
    </cfRule>
    <cfRule type="cellIs" dxfId="140" priority="219" operator="lessThan">
      <formula>100</formula>
    </cfRule>
  </conditionalFormatting>
  <conditionalFormatting sqref="P16:Q21">
    <cfRule type="cellIs" dxfId="138" priority="109" operator="greaterThan">
      <formula>100</formula>
    </cfRule>
    <cfRule type="cellIs" dxfId="137" priority="110" operator="lessThan">
      <formula>100</formula>
    </cfRule>
  </conditionalFormatting>
  <conditionalFormatting sqref="P23:Q23">
    <cfRule type="cellIs" dxfId="135" priority="121" operator="greaterThan">
      <formula>100</formula>
    </cfRule>
    <cfRule type="cellIs" dxfId="136" priority="122" operator="lessThan">
      <formula>100</formula>
    </cfRule>
  </conditionalFormatting>
  <conditionalFormatting sqref="P25:Q29">
    <cfRule type="cellIs" dxfId="133" priority="85" operator="greaterThan">
      <formula>100</formula>
    </cfRule>
    <cfRule type="cellIs" dxfId="134" priority="86" operator="lessThan">
      <formula>100</formula>
    </cfRule>
  </conditionalFormatting>
  <conditionalFormatting sqref="P34:Q34">
    <cfRule type="cellIs" dxfId="132" priority="186" operator="greaterThan">
      <formula>100</formula>
    </cfRule>
    <cfRule type="cellIs" dxfId="131" priority="187" operator="lessThan">
      <formula>100</formula>
    </cfRule>
  </conditionalFormatting>
  <conditionalFormatting sqref="P36:Q37">
    <cfRule type="cellIs" dxfId="129" priority="222" operator="greaterThan">
      <formula>100</formula>
    </cfRule>
    <cfRule type="cellIs" dxfId="130" priority="223" operator="lessThan">
      <formula>100</formula>
    </cfRule>
  </conditionalFormatting>
  <conditionalFormatting sqref="P39:Q40">
    <cfRule type="cellIs" dxfId="128" priority="214" operator="greaterThan">
      <formula>100</formula>
    </cfRule>
    <cfRule type="cellIs" dxfId="127" priority="215" operator="lessThan">
      <formula>100</formula>
    </cfRule>
  </conditionalFormatting>
  <conditionalFormatting sqref="P45:Q49">
    <cfRule type="cellIs" dxfId="126" priority="5" operator="greaterThan">
      <formula>100</formula>
    </cfRule>
    <cfRule type="cellIs" dxfId="125" priority="6" operator="lessThan">
      <formula>100</formula>
    </cfRule>
  </conditionalFormatting>
  <conditionalFormatting sqref="P51:Q58">
    <cfRule type="cellIs" dxfId="123" priority="35" operator="greaterThan">
      <formula>100</formula>
    </cfRule>
    <cfRule type="cellIs" dxfId="124" priority="36" operator="lessThan">
      <formula>100</formula>
    </cfRule>
  </conditionalFormatting>
  <conditionalFormatting sqref="P60:Q67">
    <cfRule type="cellIs" dxfId="122" priority="25" operator="greaterThan">
      <formula>100</formula>
    </cfRule>
    <cfRule type="cellIs" dxfId="121" priority="26" operator="lessThan">
      <formula>100</formula>
    </cfRule>
  </conditionalFormatting>
  <conditionalFormatting sqref="P69:Q72">
    <cfRule type="cellIs" dxfId="120" priority="75" operator="greaterThan">
      <formula>100</formula>
    </cfRule>
    <cfRule type="cellIs" dxfId="119" priority="76" operator="lessThan">
      <formula>100</formula>
    </cfRule>
  </conditionalFormatting>
  <conditionalFormatting sqref="P74:Q77">
    <cfRule type="cellIs" dxfId="117" priority="65" operator="greaterThan">
      <formula>100</formula>
    </cfRule>
    <cfRule type="cellIs" dxfId="118" priority="66" operator="lessThan">
      <formula>100</formula>
    </cfRule>
  </conditionalFormatting>
  <conditionalFormatting sqref="P79:Q81">
    <cfRule type="cellIs" dxfId="115" priority="220" operator="greaterThan">
      <formula>100</formula>
    </cfRule>
    <cfRule type="cellIs" dxfId="116" priority="221" operator="lessThan">
      <formula>100</formula>
    </cfRule>
  </conditionalFormatting>
  <conditionalFormatting sqref="P83:Q83">
    <cfRule type="cellIs" dxfId="114" priority="142" operator="greaterThan">
      <formula>100</formula>
    </cfRule>
    <cfRule type="cellIs" dxfId="113" priority="143" operator="lessThan">
      <formula>100</formula>
    </cfRule>
  </conditionalFormatting>
  <conditionalFormatting sqref="P85:Q91">
    <cfRule type="cellIs" dxfId="112" priority="95" operator="greaterThan">
      <formula>100</formula>
    </cfRule>
    <cfRule type="cellIs" dxfId="111" priority="96" operator="lessThan">
      <formula>100</formula>
    </cfRule>
  </conditionalFormatting>
  <conditionalFormatting sqref="P93:Q99">
    <cfRule type="cellIs" dxfId="110" priority="15" operator="greaterThan">
      <formula>100</formula>
    </cfRule>
    <cfRule type="cellIs" dxfId="109" priority="16" operator="lessThan">
      <formula>100</formula>
    </cfRule>
  </conditionalFormatting>
  <conditionalFormatting sqref="P118:Q122">
    <cfRule type="cellIs" dxfId="108" priority="55" operator="greaterThan">
      <formula>100</formula>
    </cfRule>
    <cfRule type="cellIs" dxfId="107" priority="56" operator="lessThan">
      <formula>100</formula>
    </cfRule>
  </conditionalFormatting>
  <conditionalFormatting sqref="P124:Q126">
    <cfRule type="cellIs" dxfId="106" priority="216" operator="greaterThan">
      <formula>100</formula>
    </cfRule>
    <cfRule type="cellIs" dxfId="105" priority="217" operator="lessThan">
      <formula>100</formula>
    </cfRule>
  </conditionalFormatting>
  <conditionalFormatting sqref="P128:Q128">
    <cfRule type="cellIs" dxfId="103" priority="174" operator="greaterThan">
      <formula>100</formula>
    </cfRule>
    <cfRule type="cellIs" dxfId="104" priority="175" operator="lessThan">
      <formula>100</formula>
    </cfRule>
  </conditionalFormatting>
  <conditionalFormatting sqref="P130:Q130">
    <cfRule type="cellIs" dxfId="101" priority="162" operator="greaterThan">
      <formula>100</formula>
    </cfRule>
    <cfRule type="cellIs" dxfId="102" priority="163" operator="lessThan">
      <formula>100</formula>
    </cfRule>
  </conditionalFormatting>
  <conditionalFormatting sqref="P132:Q132">
    <cfRule type="cellIs" dxfId="99" priority="152" operator="greaterThan">
      <formula>100</formula>
    </cfRule>
    <cfRule type="cellIs" dxfId="100" priority="153" operator="lessThan">
      <formula>100</formula>
    </cfRule>
  </conditionalFormatting>
  <conditionalFormatting sqref="P134:Q135">
    <cfRule type="cellIs" dxfId="97" priority="45" operator="greaterThan">
      <formula>100</formula>
    </cfRule>
    <cfRule type="cellIs" dxfId="98" priority="46" operator="lessThan">
      <formula>100</formula>
    </cfRule>
  </conditionalFormatting>
  <conditionalFormatting sqref="V4:W6">
    <cfRule type="cellIs" dxfId="95" priority="128" operator="greaterThan">
      <formula>100</formula>
    </cfRule>
    <cfRule type="cellIs" dxfId="96" priority="129" operator="lessThan">
      <formula>100</formula>
    </cfRule>
  </conditionalFormatting>
  <conditionalFormatting sqref="V8:W11">
    <cfRule type="cellIs" dxfId="93" priority="212" operator="greaterThan">
      <formula>100</formula>
    </cfRule>
    <cfRule type="cellIs" dxfId="94" priority="213" operator="lessThan">
      <formula>100</formula>
    </cfRule>
  </conditionalFormatting>
  <conditionalFormatting sqref="V13:W14">
    <cfRule type="cellIs" dxfId="91" priority="206" operator="greaterThan">
      <formula>100</formula>
    </cfRule>
    <cfRule type="cellIs" dxfId="92" priority="207" operator="lessThan">
      <formula>100</formula>
    </cfRule>
  </conditionalFormatting>
  <conditionalFormatting sqref="V16:W21">
    <cfRule type="cellIs" dxfId="89" priority="107" operator="greaterThan">
      <formula>100</formula>
    </cfRule>
    <cfRule type="cellIs" dxfId="90" priority="108" operator="lessThan">
      <formula>100</formula>
    </cfRule>
  </conditionalFormatting>
  <conditionalFormatting sqref="V23:W23">
    <cfRule type="cellIs" dxfId="87" priority="119" operator="greaterThan">
      <formula>100</formula>
    </cfRule>
    <cfRule type="cellIs" dxfId="88" priority="120" operator="lessThan">
      <formula>100</formula>
    </cfRule>
  </conditionalFormatting>
  <conditionalFormatting sqref="V25:W29">
    <cfRule type="cellIs" dxfId="86" priority="83" operator="greaterThan">
      <formula>100</formula>
    </cfRule>
    <cfRule type="cellIs" dxfId="85" priority="84" operator="lessThan">
      <formula>100</formula>
    </cfRule>
  </conditionalFormatting>
  <conditionalFormatting sqref="V34:W34">
    <cfRule type="cellIs" dxfId="84" priority="184" operator="greaterThan">
      <formula>100</formula>
    </cfRule>
    <cfRule type="cellIs" dxfId="83" priority="185" operator="lessThan">
      <formula>100</formula>
    </cfRule>
  </conditionalFormatting>
  <conditionalFormatting sqref="V36:W37">
    <cfRule type="cellIs" dxfId="81" priority="210" operator="greaterThan">
      <formula>100</formula>
    </cfRule>
    <cfRule type="cellIs" dxfId="82" priority="211" operator="lessThan">
      <formula>100</formula>
    </cfRule>
  </conditionalFormatting>
  <conditionalFormatting sqref="V39:W40">
    <cfRule type="cellIs" dxfId="79" priority="202" operator="greaterThan">
      <formula>100</formula>
    </cfRule>
    <cfRule type="cellIs" dxfId="80" priority="203" operator="lessThan">
      <formula>100</formula>
    </cfRule>
  </conditionalFormatting>
  <conditionalFormatting sqref="V45:W49">
    <cfRule type="cellIs" dxfId="78" priority="3" operator="greaterThan">
      <formula>100</formula>
    </cfRule>
    <cfRule type="cellIs" dxfId="77" priority="4" operator="lessThan">
      <formula>100</formula>
    </cfRule>
  </conditionalFormatting>
  <conditionalFormatting sqref="V51:W58">
    <cfRule type="cellIs" dxfId="75" priority="33" operator="greaterThan">
      <formula>100</formula>
    </cfRule>
    <cfRule type="cellIs" dxfId="76" priority="34" operator="lessThan">
      <formula>100</formula>
    </cfRule>
  </conditionalFormatting>
  <conditionalFormatting sqref="V60:W67">
    <cfRule type="cellIs" dxfId="73" priority="23" operator="greaterThan">
      <formula>100</formula>
    </cfRule>
    <cfRule type="cellIs" dxfId="74" priority="24" operator="lessThan">
      <formula>100</formula>
    </cfRule>
  </conditionalFormatting>
  <conditionalFormatting sqref="V69:W72">
    <cfRule type="cellIs" dxfId="72" priority="73" operator="greaterThan">
      <formula>100</formula>
    </cfRule>
    <cfRule type="cellIs" dxfId="71" priority="74" operator="lessThan">
      <formula>100</formula>
    </cfRule>
  </conditionalFormatting>
  <conditionalFormatting sqref="V74:W77">
    <cfRule type="cellIs" dxfId="69" priority="63" operator="greaterThan">
      <formula>100</formula>
    </cfRule>
    <cfRule type="cellIs" dxfId="70" priority="64" operator="lessThan">
      <formula>100</formula>
    </cfRule>
  </conditionalFormatting>
  <conditionalFormatting sqref="V79:W81">
    <cfRule type="cellIs" dxfId="67" priority="208" operator="greaterThan">
      <formula>100</formula>
    </cfRule>
    <cfRule type="cellIs" dxfId="68" priority="209" operator="lessThan">
      <formula>100</formula>
    </cfRule>
  </conditionalFormatting>
  <conditionalFormatting sqref="V83:W83">
    <cfRule type="cellIs" dxfId="65" priority="140" operator="greaterThan">
      <formula>100</formula>
    </cfRule>
    <cfRule type="cellIs" dxfId="66" priority="141" operator="lessThan">
      <formula>100</formula>
    </cfRule>
  </conditionalFormatting>
  <conditionalFormatting sqref="V85:W91">
    <cfRule type="cellIs" dxfId="63" priority="93" operator="greaterThan">
      <formula>100</formula>
    </cfRule>
    <cfRule type="cellIs" dxfId="64" priority="94" operator="lessThan">
      <formula>100</formula>
    </cfRule>
  </conditionalFormatting>
  <conditionalFormatting sqref="V93:W99">
    <cfRule type="cellIs" dxfId="61" priority="13" operator="greaterThan">
      <formula>100</formula>
    </cfRule>
    <cfRule type="cellIs" dxfId="62" priority="14" operator="lessThan">
      <formula>100</formula>
    </cfRule>
  </conditionalFormatting>
  <conditionalFormatting sqref="V118:W122">
    <cfRule type="cellIs" dxfId="59" priority="53" operator="greaterThan">
      <formula>100</formula>
    </cfRule>
    <cfRule type="cellIs" dxfId="60" priority="54" operator="lessThan">
      <formula>100</formula>
    </cfRule>
  </conditionalFormatting>
  <conditionalFormatting sqref="V124:W126">
    <cfRule type="cellIs" dxfId="57" priority="204" operator="greaterThan">
      <formula>100</formula>
    </cfRule>
    <cfRule type="cellIs" dxfId="58" priority="205" operator="lessThan">
      <formula>100</formula>
    </cfRule>
  </conditionalFormatting>
  <conditionalFormatting sqref="V128:W128">
    <cfRule type="cellIs" dxfId="55" priority="172" operator="greaterThan">
      <formula>100</formula>
    </cfRule>
    <cfRule type="cellIs" dxfId="56" priority="173" operator="lessThan">
      <formula>100</formula>
    </cfRule>
  </conditionalFormatting>
  <conditionalFormatting sqref="V130:W130">
    <cfRule type="cellIs" dxfId="54" priority="160" operator="greaterThan">
      <formula>100</formula>
    </cfRule>
    <cfRule type="cellIs" dxfId="53" priority="161" operator="lessThan">
      <formula>100</formula>
    </cfRule>
  </conditionalFormatting>
  <conditionalFormatting sqref="V132:W132">
    <cfRule type="cellIs" dxfId="51" priority="150" operator="greaterThan">
      <formula>100</formula>
    </cfRule>
    <cfRule type="cellIs" dxfId="52" priority="151" operator="lessThan">
      <formula>100</formula>
    </cfRule>
  </conditionalFormatting>
  <conditionalFormatting sqref="V134:W135">
    <cfRule type="cellIs" dxfId="50" priority="43" operator="greaterThan">
      <formula>100</formula>
    </cfRule>
    <cfRule type="cellIs" dxfId="49" priority="44" operator="lessThan">
      <formula>100</formula>
    </cfRule>
  </conditionalFormatting>
  <conditionalFormatting sqref="AB4:AC6">
    <cfRule type="cellIs" dxfId="47" priority="126" operator="greaterThan">
      <formula>100</formula>
    </cfRule>
    <cfRule type="cellIs" dxfId="48" priority="127" operator="lessThan">
      <formula>100</formula>
    </cfRule>
  </conditionalFormatting>
  <conditionalFormatting sqref="AB8:AC11">
    <cfRule type="cellIs" dxfId="45" priority="200" operator="greaterThan">
      <formula>100</formula>
    </cfRule>
    <cfRule type="cellIs" dxfId="46" priority="201" operator="lessThan">
      <formula>100</formula>
    </cfRule>
  </conditionalFormatting>
  <conditionalFormatting sqref="AB13:AC14">
    <cfRule type="cellIs" dxfId="43" priority="194" operator="greaterThan">
      <formula>100</formula>
    </cfRule>
    <cfRule type="cellIs" dxfId="44" priority="195" operator="lessThan">
      <formula>100</formula>
    </cfRule>
  </conditionalFormatting>
  <conditionalFormatting sqref="AB16:AC21">
    <cfRule type="cellIs" dxfId="41" priority="105" operator="greaterThan">
      <formula>100</formula>
    </cfRule>
    <cfRule type="cellIs" dxfId="42" priority="106" operator="lessThan">
      <formula>100</formula>
    </cfRule>
  </conditionalFormatting>
  <conditionalFormatting sqref="AB23:AC23">
    <cfRule type="cellIs" dxfId="39" priority="117" operator="greaterThan">
      <formula>100</formula>
    </cfRule>
    <cfRule type="cellIs" dxfId="40" priority="118" operator="lessThan">
      <formula>100</formula>
    </cfRule>
  </conditionalFormatting>
  <conditionalFormatting sqref="AB25:AC29">
    <cfRule type="cellIs" dxfId="37" priority="81" operator="greaterThan">
      <formula>100</formula>
    </cfRule>
    <cfRule type="cellIs" dxfId="38" priority="82" operator="lessThan">
      <formula>100</formula>
    </cfRule>
  </conditionalFormatting>
  <conditionalFormatting sqref="AB34:AC34">
    <cfRule type="cellIs" dxfId="36" priority="182" operator="greaterThan">
      <formula>100</formula>
    </cfRule>
    <cfRule type="cellIs" dxfId="35" priority="183" operator="lessThan">
      <formula>100</formula>
    </cfRule>
  </conditionalFormatting>
  <conditionalFormatting sqref="AB36:AC37">
    <cfRule type="cellIs" dxfId="33" priority="198" operator="greaterThan">
      <formula>100</formula>
    </cfRule>
    <cfRule type="cellIs" dxfId="34" priority="199" operator="lessThan">
      <formula>100</formula>
    </cfRule>
  </conditionalFormatting>
  <conditionalFormatting sqref="AB39:AC40">
    <cfRule type="cellIs" dxfId="31" priority="190" operator="greaterThan">
      <formula>100</formula>
    </cfRule>
    <cfRule type="cellIs" dxfId="32" priority="191" operator="lessThan">
      <formula>100</formula>
    </cfRule>
  </conditionalFormatting>
  <conditionalFormatting sqref="AB45:AC49">
    <cfRule type="cellIs" dxfId="29" priority="1" operator="greaterThan">
      <formula>100</formula>
    </cfRule>
    <cfRule type="cellIs" dxfId="30" priority="2" operator="lessThan">
      <formula>100</formula>
    </cfRule>
  </conditionalFormatting>
  <conditionalFormatting sqref="AB51:AC58">
    <cfRule type="cellIs" dxfId="27" priority="31" operator="greaterThan">
      <formula>100</formula>
    </cfRule>
    <cfRule type="cellIs" dxfId="28" priority="32" operator="lessThan">
      <formula>100</formula>
    </cfRule>
  </conditionalFormatting>
  <conditionalFormatting sqref="AB60:AC67">
    <cfRule type="cellIs" dxfId="25" priority="21" operator="greaterThan">
      <formula>100</formula>
    </cfRule>
    <cfRule type="cellIs" dxfId="26" priority="22" operator="lessThan">
      <formula>100</formula>
    </cfRule>
  </conditionalFormatting>
  <conditionalFormatting sqref="AB69:AC72">
    <cfRule type="cellIs" dxfId="23" priority="71" operator="greaterThan">
      <formula>100</formula>
    </cfRule>
    <cfRule type="cellIs" dxfId="24" priority="72" operator="lessThan">
      <formula>100</formula>
    </cfRule>
  </conditionalFormatting>
  <conditionalFormatting sqref="AB74:AC77">
    <cfRule type="cellIs" dxfId="22" priority="61" operator="greaterThan">
      <formula>100</formula>
    </cfRule>
    <cfRule type="cellIs" dxfId="21" priority="62" operator="lessThan">
      <formula>100</formula>
    </cfRule>
  </conditionalFormatting>
  <conditionalFormatting sqref="AB79:AC81">
    <cfRule type="cellIs" dxfId="19" priority="196" operator="greaterThan">
      <formula>100</formula>
    </cfRule>
    <cfRule type="cellIs" dxfId="20" priority="197" operator="lessThan">
      <formula>100</formula>
    </cfRule>
  </conditionalFormatting>
  <conditionalFormatting sqref="AB83:AC83">
    <cfRule type="cellIs" dxfId="17" priority="138" operator="greaterThan">
      <formula>100</formula>
    </cfRule>
    <cfRule type="cellIs" dxfId="18" priority="139" operator="lessThan">
      <formula>100</formula>
    </cfRule>
  </conditionalFormatting>
  <conditionalFormatting sqref="AB85:AC91">
    <cfRule type="cellIs" dxfId="15" priority="91" operator="greaterThan">
      <formula>100</formula>
    </cfRule>
    <cfRule type="cellIs" dxfId="16" priority="92" operator="lessThan">
      <formula>100</formula>
    </cfRule>
  </conditionalFormatting>
  <conditionalFormatting sqref="AB93:AC99">
    <cfRule type="cellIs" dxfId="13" priority="11" operator="greaterThan">
      <formula>100</formula>
    </cfRule>
    <cfRule type="cellIs" dxfId="14" priority="12" operator="lessThan">
      <formula>100</formula>
    </cfRule>
  </conditionalFormatting>
  <conditionalFormatting sqref="AB118:AC122">
    <cfRule type="cellIs" dxfId="12" priority="51" operator="greaterThan">
      <formula>100</formula>
    </cfRule>
    <cfRule type="cellIs" dxfId="11" priority="52" operator="lessThan">
      <formula>100</formula>
    </cfRule>
  </conditionalFormatting>
  <conditionalFormatting sqref="AB124:AC126">
    <cfRule type="cellIs" dxfId="9" priority="192" operator="greaterThan">
      <formula>100</formula>
    </cfRule>
    <cfRule type="cellIs" dxfId="10" priority="193" operator="lessThan">
      <formula>100</formula>
    </cfRule>
  </conditionalFormatting>
  <conditionalFormatting sqref="AB128:AC128">
    <cfRule type="cellIs" dxfId="8" priority="170" operator="greaterThan">
      <formula>100</formula>
    </cfRule>
    <cfRule type="cellIs" dxfId="7" priority="171" operator="lessThan">
      <formula>100</formula>
    </cfRule>
  </conditionalFormatting>
  <conditionalFormatting sqref="AB130:AC130">
    <cfRule type="cellIs" dxfId="6" priority="158" operator="greaterThan">
      <formula>100</formula>
    </cfRule>
    <cfRule type="cellIs" dxfId="5" priority="159" operator="lessThan">
      <formula>100</formula>
    </cfRule>
  </conditionalFormatting>
  <conditionalFormatting sqref="AB132:AC132">
    <cfRule type="cellIs" dxfId="3" priority="148" operator="greaterThan">
      <formula>100</formula>
    </cfRule>
    <cfRule type="cellIs" dxfId="4" priority="149" operator="lessThan">
      <formula>100</formula>
    </cfRule>
  </conditionalFormatting>
  <conditionalFormatting sqref="AB134:AC135">
    <cfRule type="cellIs" dxfId="2" priority="41" operator="greaterThan">
      <formula>100</formula>
    </cfRule>
    <cfRule type="cellIs" dxfId="1" priority="42" operator="lessThan">
      <formula>100</formula>
    </cfRule>
  </conditionalFormatting>
  <conditionalFormatting sqref="AV4:AV135">
    <cfRule type="cellIs" dxfId="0" priority="125" operator="equal">
      <formula>0</formula>
    </cfRule>
  </conditionalFormatting>
  <pageMargins left="0.70866141732283472" right="0.70866141732283472" top="0.70866141732283472" bottom="0.70866141732283472" header="0.31496062992125984" footer="0.31496062992125984"/>
  <pageSetup paperSize="9" scale="50" fitToHeight="3" orientation="landscape" r:id="rId1"/>
  <headerFooter differentOddEven="1" differentFirst="1">
    <oddFooter>&amp;R&amp;"calibri,Regular"&amp;9Sınıflandırma: &amp;KFF6600Borusan Grubu Özel&amp;"calibri,Regular"&amp;K000000
Classification:&amp;K339966 &amp;KFF6600Borusan Group Confidential</oddFooter>
    <evenFooter>&amp;R&amp;"calibri,Regular"&amp;9Sınıflandırma: &amp;KFF6600Borusan Grubu Özel&amp;"calibri,Regular"&amp;K000000
Classification:&amp;K339966 &amp;KFF6600Borusan Group Confidential</evenFooter>
    <firstFooter>&amp;R&amp;"calibri,Regular"&amp;9Sınıflandırma: &amp;KFF6600Borusan Grubu Özel&amp;"calibri,Regular"&amp;K000000
Classification:&amp;K339966 &amp;KFF6600Borusan Group Confidential</firstFooter>
  </headerFooter>
  <colBreaks count="1" manualBreakCount="1">
    <brk id="43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12.03.2026 Fiyat Karşılaştırma</vt:lpstr>
      <vt:lpstr>AG</vt:lpstr>
      <vt:lpstr>'12.03.2026 Fiyat Karşılaştırma'!Print_Area</vt:lpstr>
      <vt:lpstr>'12.03.2026 Fiyat Karşılaştırma'!Print_Titles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Oguzhan PARMAKSIZ</dc:creator>
  <cp:keywords>Hizmete Özel, Borusan Grubu Özel, Kişisel Veri İçermez</cp:keywords>
  <cp:lastModifiedBy>Oguzhan PARMAKSIZ</cp:lastModifiedBy>
  <dcterms:created xsi:type="dcterms:W3CDTF">2026-03-12T12:05:39Z</dcterms:created>
  <dcterms:modified xsi:type="dcterms:W3CDTF">2026-03-12T12:10:15Z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97c748e9-fac2-4fde-a591-2f0f339b4862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Classification">
    <vt:lpwstr>H-474f5eba</vt:lpwstr>
  </property>
  <property fmtid="{D5CDD505-2E9C-101B-9397-08002B2CF9AE}" pid="6" name="SubRestricted">
    <vt:lpwstr>SR-t5s8a41m</vt:lpwstr>
  </property>
  <property fmtid="{D5CDD505-2E9C-101B-9397-08002B2CF9AE}" pid="7" name="KVKK">
    <vt:lpwstr>N-c5b93c79</vt:lpwstr>
  </property>
  <property fmtid="{D5CDD505-2E9C-101B-9397-08002B2CF9AE}" pid="8" name="OriginatingUser">
    <vt:lpwstr>oparmaksiz</vt:lpwstr>
  </property>
</Properties>
</file>